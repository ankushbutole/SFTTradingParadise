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kush.butole\Desktop\"/>
    </mc:Choice>
  </mc:AlternateContent>
  <bookViews>
    <workbookView showSheetTabs="0" xWindow="-110" yWindow="-110" windowWidth="19420" windowHeight="104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Data!$B$1:$AA$989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31aa885b-63c6-4032-aa40-6fb0e86f5da3)$;location=Cookies" command="SELECT * FROM [Cookies]"/>
  </connection>
  <connection id="2" keepAlive="1" name="Query - Data" description="Connection to the 'Data' query in the workbook." type="5" refreshedVersion="5" background="1" saveData="1">
    <dbPr connection="provider=Microsoft.Mashup.OleDb.1;data source=$EmbeddedMashup(31aa885b-63c6-4032-aa40-6fb0e86f5da3)$;location=Data;extended properties=" command="SELECT * FROM [Data]"/>
  </connection>
</connections>
</file>

<file path=xl/sharedStrings.xml><?xml version="1.0" encoding="utf-8"?>
<sst xmlns="http://schemas.openxmlformats.org/spreadsheetml/2006/main" count="3950" uniqueCount="2078">
  <si>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</si>
  <si>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</si>
  <si>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</si>
  <si>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</si>
  <si>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</si>
  <si>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</si>
  <si>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</si>
  <si>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</si>
  <si>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</si>
  <si>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</si>
  <si>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</si>
  <si>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</si>
  <si>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</si>
  <si>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</si>
  <si>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</si>
  <si>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</si>
  <si>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</si>
  <si>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</si>
  <si>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</si>
  <si>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</si>
  <si>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</si>
  <si>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</si>
  <si>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</si>
  <si>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</si>
  <si>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</si>
  <si>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</si>
  <si>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</si>
  <si>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</si>
  <si>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</si>
  <si>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</si>
  <si>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</si>
  <si>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</si>
  <si>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</si>
  <si>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</si>
  <si>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</si>
  <si>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</si>
  <si>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</si>
  <si>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</si>
  <si>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</si>
  <si>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</si>
  <si>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</si>
  <si>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</si>
  <si>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</si>
  <si>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</si>
  <si>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</si>
  <si>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</si>
  <si>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</si>
  <si>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</si>
  <si>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</si>
  <si>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</si>
  <si>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</si>
  <si>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OFF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</si>
  <si>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</si>
  <si>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</si>
  <si>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</si>
  <si>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</si>
  <si>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</si>
  <si>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</si>
  <si>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</si>
  <si>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</si>
  <si>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</si>
  <si>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</si>
  <si>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</si>
  <si>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</si>
  <si>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</si>
  <si>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</si>
  <si>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</si>
  <si>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</si>
  <si>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</si>
  <si>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</si>
  <si>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</si>
  <si>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</si>
  <si>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</si>
  <si>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</si>
  <si>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</si>
  <si>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</si>
  <si>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</si>
  <si>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</si>
  <si>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</si>
  <si>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</si>
  <si>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</si>
  <si>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</si>
  <si>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</si>
  <si>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</si>
  <si>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</si>
  <si>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</si>
  <si>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</si>
  <si>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</si>
  <si>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</si>
  <si>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</si>
  <si>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</si>
  <si>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</si>
  <si>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</si>
  <si>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</si>
  <si>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</si>
  <si>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</si>
  <si>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</si>
  <si>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</si>
  <si>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</si>
  <si>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</si>
  <si>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</si>
  <si>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</si>
  <si>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</si>
  <si>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</si>
  <si>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</si>
  <si>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</si>
  <si>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</si>
  <si>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</si>
  <si>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</si>
  <si>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</si>
  <si>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</si>
  <si>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</si>
  <si>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</si>
  <si>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</si>
  <si>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</si>
  <si>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</si>
  <si>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</si>
  <si>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</si>
  <si>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</si>
  <si>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</si>
  <si>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</si>
  <si>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</si>
  <si>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</si>
  <si>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</si>
  <si>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</si>
  <si>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</si>
  <si>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</si>
  <si>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</si>
  <si>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</si>
  <si>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</si>
  <si>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</si>
  <si>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</si>
  <si>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</si>
  <si>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</si>
  <si>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</si>
  <si>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</si>
  <si>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</si>
  <si>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</si>
  <si>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</si>
  <si>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</si>
  <si>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</si>
  <si>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</si>
  <si>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</si>
  <si>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</si>
  <si>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</si>
  <si>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</si>
  <si>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</si>
  <si>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</si>
  <si>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</si>
  <si>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</si>
  <si>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</si>
  <si>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</si>
  <si>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</si>
  <si>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</si>
  <si>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</si>
  <si>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</si>
  <si>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</si>
  <si>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</si>
  <si>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</si>
  <si>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</si>
  <si>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</si>
  <si>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</si>
  <si>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</si>
  <si>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</si>
  <si>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</si>
  <si>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</si>
  <si>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</si>
  <si>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</si>
  <si>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</si>
  <si>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</si>
  <si>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</si>
  <si>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</si>
  <si>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</si>
  <si>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</si>
  <si>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</si>
  <si>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</si>
  <si>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</si>
  <si>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</si>
  <si>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</si>
  <si>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</si>
  <si>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</si>
  <si>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</si>
  <si>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</si>
  <si>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</si>
  <si>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</si>
  <si>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</si>
  <si>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</si>
  <si>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</si>
  <si>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</si>
  <si>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</si>
  <si>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</si>
  <si>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</si>
  <si>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</si>
  <si>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</si>
  <si>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</si>
  <si>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</si>
  <si>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</si>
  <si>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</si>
  <si>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</si>
  <si>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</si>
  <si>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</si>
  <si>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</si>
  <si>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</si>
  <si>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</si>
  <si>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</si>
  <si>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</si>
  <si>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</si>
  <si>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</si>
  <si>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</si>
  <si>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</si>
  <si>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</si>
  <si>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</si>
  <si>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</si>
  <si>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</si>
  <si>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</si>
  <si>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</si>
  <si>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</si>
  <si>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</si>
  <si>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</si>
  <si>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</si>
  <si>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</si>
  <si>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</si>
  <si>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</si>
  <si>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</si>
  <si>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</si>
  <si>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</si>
  <si>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</si>
  <si>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</si>
  <si>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</si>
  <si>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</si>
  <si>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</si>
  <si>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</si>
  <si>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</si>
  <si>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</si>
  <si>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</si>
  <si>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</si>
  <si>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</si>
  <si>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</si>
  <si>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</si>
  <si>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</si>
  <si>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</si>
  <si>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</si>
  <si>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</si>
  <si>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</si>
  <si>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</si>
  <si>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</si>
  <si>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</si>
  <si>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</si>
  <si>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</si>
  <si>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</si>
  <si>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</si>
  <si>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</si>
  <si>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</si>
  <si>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</si>
  <si>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</si>
  <si>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</si>
  <si>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</si>
  <si>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</si>
  <si>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</si>
  <si>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</si>
  <si>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</si>
  <si>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</si>
  <si>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</si>
  <si>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</si>
  <si>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</si>
  <si>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</si>
  <si>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</si>
  <si>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</si>
  <si>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</si>
  <si>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</si>
  <si>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</si>
  <si>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</si>
  <si>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</si>
  <si>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</si>
  <si>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</si>
  <si>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</si>
  <si>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</si>
  <si>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</si>
  <si>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</si>
  <si>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</si>
  <si>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</si>
  <si>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</si>
  <si>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</si>
  <si>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</si>
  <si>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</si>
  <si>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</si>
  <si>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</si>
  <si>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</si>
  <si>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</si>
  <si>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</si>
  <si>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</si>
  <si>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</si>
  <si>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</si>
  <si>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</si>
  <si>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</si>
  <si>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</si>
  <si>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</si>
  <si>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</si>
  <si>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</si>
  <si>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</si>
  <si>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</si>
  <si>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</si>
  <si>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</si>
  <si>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</si>
  <si>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</si>
  <si>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</si>
  <si>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</si>
  <si>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</si>
  <si>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</si>
  <si>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</si>
  <si>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</si>
  <si>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</si>
  <si>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</si>
  <si>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</si>
  <si>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</si>
  <si>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</si>
  <si>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</si>
  <si>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</si>
  <si>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</si>
  <si>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</si>
  <si>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</si>
  <si>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</si>
  <si>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</si>
  <si>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</si>
  <si>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</si>
  <si>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</si>
  <si>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</si>
  <si>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</si>
  <si>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</si>
  <si>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</si>
  <si>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</si>
  <si>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</si>
  <si>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</si>
  <si>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</si>
  <si>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</si>
  <si>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</si>
  <si>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</si>
  <si>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</si>
  <si>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</si>
  <si>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</si>
  <si>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</si>
  <si>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</si>
  <si>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</si>
  <si>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</si>
  <si>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</si>
  <si>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</si>
  <si>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</si>
  <si>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</si>
  <si>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</si>
  <si>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</si>
  <si>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</si>
  <si>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</si>
  <si>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</si>
  <si>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</si>
  <si>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</si>
  <si>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</si>
  <si>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</si>
  <si>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</si>
  <si>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</si>
  <si>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</si>
  <si>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</si>
  <si>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</si>
  <si>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</si>
  <si>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</si>
  <si>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</si>
  <si>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</si>
  <si>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</si>
  <si>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</si>
  <si>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</si>
  <si>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</si>
  <si>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</si>
  <si>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</si>
  <si>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</si>
  <si>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</si>
  <si>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</si>
  <si>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</si>
  <si>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</si>
  <si>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</si>
  <si>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</si>
  <si>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</si>
  <si>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</si>
  <si>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</si>
  <si>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</si>
  <si>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</si>
  <si>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</si>
  <si>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</si>
  <si>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</si>
  <si>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</si>
  <si>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</si>
  <si>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</si>
  <si>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</si>
  <si>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</si>
  <si>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</si>
  <si>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</si>
  <si>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</si>
  <si>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</si>
  <si>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</si>
  <si>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</si>
  <si>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</si>
  <si>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</si>
  <si>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</si>
  <si>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</si>
  <si>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</si>
  <si>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</si>
  <si>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</si>
  <si>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</si>
  <si>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</si>
  <si>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</si>
  <si>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</si>
  <si>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</si>
  <si>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</si>
  <si>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</si>
  <si>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</si>
  <si>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</si>
  <si>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</si>
  <si>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</si>
  <si>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</si>
  <si>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</si>
  <si>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</si>
  <si>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</si>
  <si>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</si>
  <si>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</si>
  <si>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</si>
  <si>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</si>
  <si>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</si>
  <si>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</si>
  <si>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</si>
  <si>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</si>
  <si>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</si>
  <si>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</si>
  <si>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</si>
  <si>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</si>
  <si>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</si>
  <si>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</si>
  <si>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</si>
  <si>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</si>
  <si>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</si>
  <si>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</si>
  <si>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</si>
  <si>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</si>
  <si>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</si>
  <si>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</si>
  <si>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</si>
  <si>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</si>
  <si>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</si>
  <si>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</si>
  <si>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</si>
  <si>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</si>
  <si>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</si>
  <si>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</si>
  <si>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</si>
  <si>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</si>
  <si>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</si>
  <si>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</si>
  <si>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</si>
  <si>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</si>
  <si>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</si>
  <si>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</si>
  <si>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</si>
  <si>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</si>
  <si>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</si>
  <si>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</si>
  <si>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</si>
  <si>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</si>
  <si>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</si>
  <si>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</si>
  <si>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</si>
  <si>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</si>
  <si>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</si>
  <si>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</si>
  <si>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</si>
  <si>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</si>
  <si>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</si>
  <si>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</si>
  <si>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</si>
  <si>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</si>
  <si>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</si>
  <si>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</si>
  <si>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</si>
  <si>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</si>
  <si>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</si>
  <si>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</si>
  <si>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</si>
  <si>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</si>
  <si>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</si>
  <si>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</si>
  <si>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</si>
  <si>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</si>
  <si>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</si>
  <si>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</si>
  <si>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</si>
  <si>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</si>
  <si>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</si>
  <si>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</si>
  <si>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</si>
  <si>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</si>
  <si>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</si>
  <si>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</si>
  <si>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</si>
  <si>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</si>
  <si>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</si>
  <si>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</si>
  <si>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</si>
  <si>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</si>
  <si>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</si>
  <si>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</si>
  <si>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</si>
  <si>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</si>
  <si>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</si>
  <si>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</si>
  <si>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</si>
  <si>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</si>
  <si>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</si>
  <si>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</si>
  <si>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</si>
  <si>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</si>
  <si>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</si>
  <si>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</si>
  <si>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</si>
  <si>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</si>
  <si>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</si>
  <si>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</si>
  <si>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</si>
  <si>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</si>
  <si>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</si>
  <si>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</si>
  <si>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</si>
  <si>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</si>
  <si>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</si>
  <si>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</si>
  <si>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</si>
  <si>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</si>
  <si>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</si>
  <si>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</si>
  <si>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</si>
  <si>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</si>
  <si>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</si>
  <si>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</si>
  <si>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</si>
  <si>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</si>
  <si>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</si>
  <si>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</si>
  <si>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</si>
  <si>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</si>
  <si>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</si>
  <si>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</si>
  <si>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</si>
  <si>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</si>
  <si>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</si>
  <si>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</si>
  <si>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</si>
  <si>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</si>
  <si>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</si>
  <si>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</si>
  <si>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</si>
  <si>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</si>
  <si>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</si>
  <si>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</si>
  <si>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</si>
  <si>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</si>
  <si>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</si>
  <si>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</si>
  <si>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</si>
  <si>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</si>
  <si>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</si>
  <si>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</si>
  <si>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</si>
  <si>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</si>
  <si>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</si>
  <si>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</si>
  <si>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</si>
  <si>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</si>
  <si>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</si>
  <si>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</si>
  <si>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</si>
  <si>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</si>
  <si>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</si>
  <si>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</si>
  <si>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</si>
  <si>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</si>
  <si>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</si>
  <si>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</si>
  <si>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</si>
  <si>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</si>
  <si>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</si>
  <si>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</si>
  <si>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</si>
  <si>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</si>
  <si>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</si>
  <si>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</si>
  <si>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</si>
  <si>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</si>
  <si>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</si>
  <si>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</si>
  <si>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</si>
  <si>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</si>
  <si>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</si>
  <si>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</si>
  <si>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</si>
  <si>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</si>
  <si>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</si>
  <si>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</si>
  <si>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</si>
  <si>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</si>
  <si>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</si>
  <si>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</si>
  <si>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</si>
  <si>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</si>
  <si>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</si>
  <si>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</si>
  <si>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</si>
  <si>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</si>
  <si>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</si>
  <si>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</si>
  <si>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</si>
  <si>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</si>
  <si>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</si>
  <si>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</si>
  <si>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</si>
  <si>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</si>
  <si>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</si>
  <si>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</si>
  <si>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</si>
  <si>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</si>
  <si>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</si>
  <si>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</si>
  <si>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</si>
  <si>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</si>
  <si>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</si>
  <si>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</si>
  <si>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</si>
  <si>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</si>
  <si>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</si>
  <si>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</si>
  <si>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</si>
  <si>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</si>
  <si>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</si>
  <si>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</si>
  <si>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</si>
  <si>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</si>
  <si>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</si>
  <si>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</si>
  <si>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</si>
  <si>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</si>
  <si>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</si>
  <si>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</si>
  <si>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</si>
  <si>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</si>
  <si>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</si>
  <si>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</si>
  <si>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</si>
  <si>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</si>
  <si>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</si>
  <si>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</si>
  <si>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</si>
  <si>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</si>
  <si>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</si>
  <si>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</si>
  <si>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</si>
  <si>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</si>
  <si>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</si>
  <si>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</si>
  <si>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</si>
  <si>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</si>
  <si>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</si>
  <si>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</si>
  <si>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</si>
  <si>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</si>
  <si>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</si>
  <si>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</si>
  <si>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</si>
  <si>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</si>
  <si>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</si>
  <si>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</si>
  <si>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</si>
  <si>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</si>
  <si>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</si>
  <si>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</si>
  <si>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</si>
  <si>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</si>
  <si>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</si>
  <si>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</si>
  <si>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</si>
  <si>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</si>
  <si>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</si>
  <si>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</si>
  <si>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</si>
  <si>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</si>
  <si>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</si>
  <si>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</si>
  <si>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</si>
  <si>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</si>
  <si>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</si>
  <si>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</si>
  <si>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</si>
  <si>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</si>
  <si>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</si>
  <si>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</si>
  <si>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</si>
  <si>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</si>
  <si>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</si>
  <si>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</si>
  <si>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</si>
  <si>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</si>
  <si>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</si>
  <si>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</si>
  <si>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</si>
  <si>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</si>
  <si>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</si>
  <si>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</si>
  <si>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</si>
  <si>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</si>
  <si>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</si>
  <si>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</si>
  <si>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</si>
  <si>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</si>
  <si>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</si>
  <si>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</si>
  <si>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</si>
  <si>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</si>
  <si>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</si>
  <si>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</si>
  <si>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</si>
  <si>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</si>
  <si>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</si>
  <si>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</si>
  <si>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</si>
  <si>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</si>
  <si>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</si>
  <si>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</si>
  <si>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</si>
  <si>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</si>
  <si>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</si>
  <si>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</si>
  <si>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</si>
  <si>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</si>
  <si>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</si>
  <si>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</si>
  <si>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</si>
  <si>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</si>
  <si>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</si>
  <si>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</si>
  <si>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</si>
  <si>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</si>
  <si>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</si>
  <si>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</si>
  <si>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</si>
  <si>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</si>
  <si>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</si>
  <si>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</si>
  <si>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</si>
  <si>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</si>
  <si>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</si>
  <si>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</si>
  <si>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</si>
  <si>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</si>
  <si>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</si>
  <si>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</si>
  <si>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</si>
  <si>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</si>
  <si>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</si>
  <si>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</si>
  <si>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</si>
  <si>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</si>
  <si>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</si>
  <si>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</si>
  <si>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</si>
  <si>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</si>
  <si>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</si>
  <si>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</si>
  <si>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</si>
  <si>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</si>
  <si>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</si>
  <si>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</si>
  <si>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</si>
  <si>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</si>
  <si>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</si>
  <si>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</si>
  <si>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</si>
  <si>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</si>
  <si>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</si>
  <si>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</si>
  <si>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</si>
  <si>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</si>
  <si>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</si>
  <si>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</si>
  <si>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</si>
  <si>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</si>
  <si>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</si>
  <si>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</si>
  <si>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</si>
  <si>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</si>
  <si>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</si>
  <si>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</si>
  <si>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</si>
  <si>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</si>
  <si>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</si>
  <si>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</si>
  <si>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</si>
  <si>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</si>
  <si>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</si>
  <si>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</si>
  <si>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</si>
  <si>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</si>
  <si>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</si>
  <si>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</si>
  <si>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</si>
  <si>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</si>
  <si>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</si>
  <si>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</si>
  <si>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</si>
  <si>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</si>
  <si>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</si>
  <si>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</si>
  <si>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</si>
  <si>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</si>
  <si>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</si>
  <si>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</si>
  <si>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</si>
  <si>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</si>
  <si>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</si>
  <si>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</si>
  <si>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</si>
  <si>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</si>
  <si>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</si>
  <si>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</si>
  <si>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</si>
  <si>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</si>
  <si>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</si>
  <si>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</si>
  <si>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</si>
  <si>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</si>
  <si>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</si>
  <si>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</si>
  <si>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</si>
  <si>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</si>
  <si>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</si>
  <si>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</si>
  <si>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</si>
  <si>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</si>
  <si>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</si>
  <si>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</si>
  <si>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</si>
  <si>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</si>
  <si>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</si>
  <si>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</si>
  <si>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</si>
  <si>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</si>
  <si>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</si>
  <si>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</si>
  <si>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</si>
  <si>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</si>
  <si>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</si>
  <si>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</si>
  <si>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</si>
  <si>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</si>
  <si>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</si>
  <si>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</si>
  <si>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</si>
  <si>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</si>
  <si>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</si>
  <si>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</si>
  <si>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</si>
  <si>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</si>
  <si>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</si>
  <si>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</si>
  <si>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</si>
  <si>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</si>
  <si>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</si>
  <si>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</si>
  <si>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</si>
  <si>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</si>
  <si>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</si>
  <si>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</si>
  <si>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</si>
  <si>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</si>
  <si>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</si>
  <si>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</si>
  <si>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</si>
  <si>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</si>
  <si>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</si>
  <si>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</si>
  <si>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</si>
  <si>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</si>
  <si>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</si>
  <si>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</si>
  <si>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</si>
  <si>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</si>
  <si>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</si>
  <si>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</si>
  <si>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</si>
  <si>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</si>
  <si>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</si>
  <si>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</si>
  <si>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</si>
  <si>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</si>
  <si>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</si>
  <si>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</si>
  <si>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</si>
  <si>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</si>
  <si>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</si>
  <si>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</si>
  <si>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</si>
  <si>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</si>
  <si>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</si>
  <si>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</si>
  <si>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</si>
  <si>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</si>
  <si>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</si>
  <si>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</si>
  <si>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</si>
  <si>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</si>
  <si>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</si>
  <si>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</si>
  <si>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</si>
  <si>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</si>
  <si>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</si>
  <si>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</si>
  <si>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</si>
  <si>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</si>
  <si>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</si>
  <si>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</si>
  <si>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</si>
  <si>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</si>
  <si>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</si>
  <si>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</si>
  <si>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</si>
  <si>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</si>
  <si>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</si>
  <si>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</si>
  <si>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</si>
  <si>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</si>
  <si>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</si>
  <si>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</si>
  <si>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</si>
  <si>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</si>
  <si>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</si>
  <si>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</si>
  <si>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</si>
  <si>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</si>
  <si>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</si>
  <si>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</si>
  <si>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</si>
  <si>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</si>
  <si>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</si>
  <si>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</si>
  <si>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</si>
  <si>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</si>
  <si>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</si>
  <si>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</si>
  <si>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</si>
  <si>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</si>
  <si>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</si>
  <si>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</si>
  <si>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</si>
  <si>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</si>
  <si>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</si>
  <si>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</si>
  <si>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</si>
  <si>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</si>
  <si>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</si>
  <si>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</si>
  <si>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</si>
  <si>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</si>
  <si>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</si>
  <si>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</si>
  <si>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</si>
  <si>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</si>
  <si>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</si>
  <si>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</si>
  <si>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</si>
  <si>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</si>
  <si>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</si>
  <si>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</si>
  <si>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</si>
  <si>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</si>
  <si>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</si>
  <si>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</si>
  <si>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</si>
  <si>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</si>
  <si>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</si>
  <si>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</si>
  <si>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</si>
  <si>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</si>
  <si>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</si>
  <si>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</si>
  <si>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</si>
  <si>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</si>
  <si>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</si>
  <si>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</si>
  <si>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</si>
  <si>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</si>
  <si>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</si>
  <si>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</si>
  <si>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</si>
  <si>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</si>
  <si>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</si>
  <si>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</si>
  <si>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</si>
  <si>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</si>
  <si>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</si>
  <si>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</si>
  <si>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</si>
  <si>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</si>
  <si>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</si>
  <si>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</si>
  <si>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</si>
  <si>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</si>
  <si>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</si>
  <si>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</si>
  <si>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</si>
  <si>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</si>
  <si>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</si>
  <si>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</si>
  <si>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</si>
  <si>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</si>
  <si>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</si>
  <si>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</si>
  <si>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</si>
  <si>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</si>
  <si>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</si>
  <si>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</si>
  <si>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</si>
  <si>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</si>
  <si>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</si>
  <si>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</si>
  <si>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</si>
  <si>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</si>
  <si>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</si>
  <si>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</si>
  <si>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</si>
  <si>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</si>
  <si>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</si>
  <si>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</si>
  <si>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</si>
  <si>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</si>
  <si>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</si>
  <si>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</si>
  <si>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</si>
  <si>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</si>
  <si>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</si>
  <si>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</si>
  <si>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</si>
  <si>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</si>
  <si>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</si>
  <si>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</si>
  <si>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</si>
  <si>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</si>
  <si>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</si>
  <si>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</si>
  <si>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</si>
  <si>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</si>
  <si>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</si>
  <si>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</si>
  <si>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</si>
  <si>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</si>
  <si>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</si>
  <si>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</si>
  <si>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</si>
  <si>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</si>
  <si>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</si>
  <si>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</si>
  <si>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</si>
  <si>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</si>
  <si>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</si>
  <si>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</si>
  <si>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</si>
  <si>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</si>
  <si>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</si>
  <si>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</si>
  <si>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</si>
  <si>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</si>
  <si>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</si>
  <si>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</si>
  <si>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</si>
  <si>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</si>
  <si>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</si>
  <si>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</si>
  <si>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</si>
  <si>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</si>
  <si>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</si>
  <si>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</si>
  <si>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</si>
  <si>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</si>
  <si>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</si>
  <si>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</si>
  <si>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</si>
  <si>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</si>
  <si>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</si>
  <si>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</si>
  <si>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</si>
  <si>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</si>
  <si>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</si>
  <si>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</si>
  <si>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</si>
  <si>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</si>
  <si>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</si>
  <si>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</si>
  <si>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</si>
  <si>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</si>
  <si>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</si>
  <si>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</si>
  <si>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</si>
  <si>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</si>
  <si>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</si>
  <si>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</si>
  <si>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</si>
  <si>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</si>
  <si>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</si>
  <si>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</si>
  <si>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</si>
  <si>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</si>
  <si>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</si>
  <si>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</si>
  <si>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</si>
  <si>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</si>
  <si>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</si>
  <si>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</si>
  <si>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</si>
  <si>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</si>
  <si>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</si>
  <si>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</si>
  <si>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</si>
  <si>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</si>
  <si>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</si>
  <si>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</si>
  <si>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</si>
  <si>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</si>
  <si>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</si>
  <si>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</si>
  <si>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</si>
  <si>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</si>
  <si>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</si>
  <si>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</si>
  <si>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</si>
  <si>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</si>
  <si>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</si>
  <si>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</si>
  <si>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</si>
  <si>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</si>
  <si>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</si>
  <si>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</si>
  <si>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</si>
  <si>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</si>
  <si>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</si>
  <si>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</si>
  <si>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</si>
  <si>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</si>
  <si>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</si>
  <si>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</si>
  <si>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</si>
  <si>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</si>
  <si>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</si>
  <si>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</si>
  <si>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</si>
  <si>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</si>
  <si>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</si>
  <si>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</si>
  <si>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</si>
  <si>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</si>
  <si>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</si>
  <si>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</si>
  <si>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</si>
  <si>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</si>
  <si>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</si>
  <si>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</si>
  <si>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</si>
  <si>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</si>
  <si>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</si>
  <si>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</si>
  <si>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</si>
  <si>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</si>
  <si>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</si>
  <si>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</si>
  <si>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</si>
  <si>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</si>
  <si>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</si>
  <si>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</si>
  <si>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</si>
  <si>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</si>
  <si>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</si>
  <si>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</si>
  <si>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</si>
  <si>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</si>
  <si>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</si>
  <si>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</si>
  <si>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</si>
  <si>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</si>
  <si>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</si>
  <si>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</si>
  <si>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</si>
  <si>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</si>
  <si>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</si>
  <si>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</si>
  <si>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</si>
  <si>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</si>
  <si>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</si>
  <si>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</si>
  <si>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</si>
  <si>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</si>
  <si>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</si>
  <si>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</si>
  <si>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</si>
  <si>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</si>
  <si>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</si>
  <si>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</si>
  <si>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</si>
  <si>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</si>
  <si>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</si>
  <si>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</si>
  <si>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</si>
  <si>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</si>
  <si>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</si>
  <si>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</si>
  <si>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</si>
  <si>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</si>
  <si>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</si>
  <si>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</si>
  <si>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</si>
  <si>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</si>
  <si>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</si>
  <si>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</si>
  <si>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</si>
  <si>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</si>
  <si>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</si>
  <si>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</si>
  <si>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</si>
  <si>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</si>
  <si>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</si>
  <si>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</si>
  <si>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</si>
  <si>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</si>
  <si>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</si>
  <si>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</si>
  <si>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</si>
  <si>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</si>
  <si>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</si>
  <si>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</si>
  <si>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</si>
  <si>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</si>
  <si>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</si>
  <si>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</si>
  <si>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</si>
  <si>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</si>
  <si>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</si>
  <si>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</si>
  <si>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</si>
  <si>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</si>
  <si>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</si>
  <si>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</si>
  <si>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</si>
  <si>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</si>
  <si>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</si>
  <si>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</si>
  <si>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</si>
  <si>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</si>
  <si>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</si>
  <si>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</si>
  <si>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</si>
  <si>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</si>
  <si>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</si>
  <si>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</si>
  <si>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</si>
  <si>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</si>
  <si>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</si>
  <si>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</si>
  <si>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</si>
  <si>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</si>
  <si>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</si>
  <si>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</si>
  <si>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</si>
  <si>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</si>
  <si>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</si>
  <si>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</si>
  <si>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</si>
  <si>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</si>
  <si>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</si>
  <si>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</si>
  <si>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</si>
  <si>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</si>
  <si>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</si>
  <si>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</si>
  <si>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</si>
  <si>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</si>
  <si>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</si>
  <si>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</si>
  <si>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</si>
  <si>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</si>
  <si>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</si>
  <si>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</si>
  <si>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</si>
  <si>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</si>
  <si>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</si>
  <si>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</si>
  <si>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</si>
  <si>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</si>
  <si>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</si>
  <si>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</si>
  <si>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</si>
  <si>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</si>
  <si>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</si>
  <si>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</si>
  <si>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</si>
  <si>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</si>
  <si>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</si>
  <si>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</si>
  <si>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</si>
  <si>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</si>
  <si>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</si>
  <si>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</si>
  <si>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</si>
  <si>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</si>
  <si>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</si>
  <si>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</si>
  <si>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</si>
  <si>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</si>
  <si>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</si>
  <si>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</si>
  <si>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</si>
  <si>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</si>
  <si>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</si>
  <si>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</si>
  <si>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</si>
  <si>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</si>
  <si>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</si>
  <si>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</si>
  <si>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</si>
  <si>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</si>
  <si>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</si>
  <si>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</si>
  <si>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</si>
  <si>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</si>
  <si>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</si>
  <si>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</si>
  <si>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</si>
  <si>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</si>
  <si>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</si>
  <si>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</si>
  <si>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</si>
  <si>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</si>
  <si>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</si>
  <si>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</si>
  <si>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</si>
  <si>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</si>
  <si>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</si>
  <si>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</si>
  <si>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</si>
  <si>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</si>
  <si>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</si>
  <si>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</si>
  <si>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</si>
  <si>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</si>
  <si>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</si>
  <si>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</si>
  <si>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</si>
  <si>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</si>
  <si>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</si>
  <si>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</si>
  <si>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</si>
  <si>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</si>
  <si>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</si>
  <si>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</si>
  <si>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</si>
  <si>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</si>
  <si>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</si>
  <si>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</si>
  <si>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</si>
  <si>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</si>
  <si>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</si>
  <si>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</si>
  <si>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</si>
  <si>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</si>
  <si>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</si>
  <si>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</si>
  <si>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</si>
  <si>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</si>
  <si>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</si>
  <si>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</si>
  <si>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</si>
  <si>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</si>
  <si>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</si>
  <si>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</si>
  <si>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</si>
  <si>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</si>
  <si>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</si>
  <si>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</si>
  <si>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</si>
  <si>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</si>
  <si>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</si>
  <si>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</si>
  <si>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</si>
  <si>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</si>
  <si>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</si>
  <si>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</si>
  <si>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</si>
  <si>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</si>
  <si>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</si>
  <si>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</si>
  <si>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</si>
  <si>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</si>
  <si>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</si>
  <si>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</si>
  <si>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</si>
  <si>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</si>
  <si>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</si>
  <si>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</si>
  <si>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</si>
  <si>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</si>
  <si>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</si>
  <si>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</si>
  <si>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</si>
  <si>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</si>
  <si>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</si>
  <si>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</si>
  <si>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</si>
  <si>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</si>
  <si>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</si>
  <si>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</si>
  <si>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</si>
  <si>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</si>
  <si>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</si>
  <si>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</si>
  <si>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</si>
  <si>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</si>
  <si>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</si>
  <si>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</si>
  <si>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</si>
  <si>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</si>
  <si>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</si>
  <si>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</si>
  <si>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</si>
  <si>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</si>
  <si>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</si>
  <si>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</si>
  <si>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</si>
  <si>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</si>
  <si>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</si>
  <si>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</si>
  <si>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</si>
  <si>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</si>
  <si>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</si>
  <si>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</si>
  <si>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</si>
  <si>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</si>
  <si>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</si>
  <si>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</si>
  <si>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</si>
  <si>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</si>
  <si>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</si>
  <si>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</si>
  <si>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</si>
  <si>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</si>
  <si>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</si>
  <si>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</si>
  <si>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</si>
  <si>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</si>
  <si>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</si>
  <si>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</si>
  <si>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</si>
  <si>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</si>
  <si>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</si>
  <si>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</si>
  <si>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</si>
  <si>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</si>
  <si>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</si>
  <si>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</si>
  <si>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</si>
  <si>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</si>
  <si>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</si>
  <si>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</si>
  <si>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</si>
  <si>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</si>
  <si>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</si>
  <si>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</si>
  <si>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</si>
  <si>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</si>
  <si>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</si>
  <si>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</si>
  <si>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</si>
  <si>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</si>
  <si>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</si>
  <si>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</si>
  <si>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</si>
  <si>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</si>
  <si>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</si>
  <si>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</si>
  <si>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</si>
  <si>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</si>
  <si>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</si>
  <si>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</si>
  <si>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</si>
  <si>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</si>
  <si>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</si>
  <si>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</si>
  <si>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</si>
  <si>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</si>
  <si>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</si>
  <si>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</si>
  <si>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</si>
  <si>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</si>
  <si>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</si>
  <si>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</si>
  <si>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</si>
  <si>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</si>
  <si>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</si>
  <si>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</si>
  <si>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</si>
  <si>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</si>
  <si>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</si>
  <si>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</si>
  <si>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</si>
  <si>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</si>
  <si>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</si>
  <si>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</si>
  <si>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</si>
  <si>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</si>
  <si>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</si>
  <si>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</si>
  <si>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</si>
  <si>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</si>
  <si>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</si>
  <si>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</si>
  <si>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</si>
  <si>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</si>
  <si>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</si>
  <si>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</si>
  <si>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</si>
  <si>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</si>
  <si>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</si>
  <si>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</si>
  <si>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</si>
  <si>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</si>
  <si>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</si>
  <si>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</si>
  <si>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</si>
  <si>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</si>
  <si>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</si>
  <si>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</si>
  <si>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</si>
  <si>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</si>
  <si>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</si>
  <si>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</si>
  <si>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</si>
  <si>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</si>
  <si>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</si>
  <si>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</si>
  <si>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</si>
  <si>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</si>
  <si>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</si>
  <si>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</si>
  <si>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</si>
  <si>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</si>
  <si>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</si>
  <si>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</si>
  <si>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</si>
  <si>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</si>
  <si>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</si>
  <si>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</si>
  <si>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</si>
  <si>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</si>
  <si>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</si>
  <si>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</si>
  <si>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</si>
  <si>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</si>
  <si>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</si>
  <si>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</si>
  <si>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</si>
  <si>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</si>
  <si>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</si>
  <si>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</si>
  <si>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</si>
  <si>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</si>
  <si>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</si>
  <si>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</si>
  <si>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</si>
  <si>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</si>
  <si>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</si>
  <si>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</si>
  <si>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</si>
  <si>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</si>
  <si>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</si>
  <si>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</si>
  <si>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</si>
  <si>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</si>
  <si>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</si>
  <si>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</si>
  <si>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</si>
  <si>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</si>
  <si>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</si>
  <si>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</si>
  <si>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</si>
  <si>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</si>
  <si>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</si>
  <si>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</si>
  <si>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</si>
  <si>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</si>
  <si>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</si>
  <si>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</si>
  <si>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</si>
  <si>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</si>
  <si>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</si>
  <si>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</si>
  <si>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</si>
  <si>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</si>
  <si>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</si>
  <si>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</si>
  <si>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</si>
  <si>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</si>
  <si>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</si>
  <si>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</si>
  <si>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</si>
  <si>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</si>
  <si>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</si>
  <si>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</si>
  <si>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</si>
  <si>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</si>
  <si>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</si>
  <si>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</si>
  <si>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</si>
  <si>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</si>
  <si>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</si>
  <si>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</si>
  <si>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</si>
  <si>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</si>
  <si>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</si>
  <si>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</si>
  <si>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</si>
  <si>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</si>
  <si>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</si>
  <si>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</si>
  <si>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</si>
  <si>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</si>
  <si>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</si>
  <si>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</si>
  <si>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</si>
  <si>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</si>
  <si>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</si>
  <si>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</si>
  <si>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</si>
  <si>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</si>
  <si>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</si>
  <si>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</si>
  <si>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</si>
  <si>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</si>
  <si>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</si>
  <si>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</si>
  <si>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</si>
  <si>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</si>
  <si>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</si>
  <si>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</si>
  <si>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</si>
  <si>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</si>
  <si>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</si>
  <si>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</si>
  <si>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</si>
  <si>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</si>
  <si>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</si>
  <si>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</si>
  <si>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</si>
  <si>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</si>
  <si>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</si>
  <si>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</si>
  <si>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</si>
  <si>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</si>
  <si>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</si>
  <si>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</si>
  <si>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</si>
  <si>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</si>
  <si>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</si>
  <si>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</si>
  <si>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</si>
  <si>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</si>
  <si>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</si>
  <si>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</si>
  <si>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</si>
  <si>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</si>
  <si>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</si>
  <si>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</si>
  <si>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</si>
  <si>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</si>
  <si>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</si>
  <si>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</si>
  <si>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</si>
  <si>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</si>
  <si>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</si>
  <si>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</si>
  <si>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</si>
  <si>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</si>
  <si>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</si>
  <si>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</si>
  <si>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</si>
  <si>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</si>
  <si>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</si>
  <si>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</si>
  <si>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</si>
  <si>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</si>
  <si>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</si>
  <si>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</si>
  <si>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</si>
  <si>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</si>
  <si>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</si>
  <si>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</si>
  <si>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</si>
  <si>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</si>
  <si>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</si>
  <si>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</si>
  <si>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</si>
  <si>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</si>
  <si>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</si>
  <si>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</si>
  <si>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</si>
  <si>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</si>
  <si>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</si>
  <si>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</si>
  <si>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</si>
  <si>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</si>
  <si>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</si>
  <si>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</si>
  <si>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</si>
  <si>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</si>
  <si>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</si>
  <si>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</si>
  <si>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</si>
  <si>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</si>
  <si>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</si>
  <si>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</si>
  <si>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</si>
  <si>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</si>
  <si>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</si>
  <si>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</si>
  <si>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</si>
  <si>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</si>
  <si>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</si>
  <si>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</si>
  <si>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</si>
  <si>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</si>
  <si>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</si>
  <si>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</si>
  <si>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</si>
  <si>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</si>
  <si>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</si>
  <si>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</si>
  <si>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</si>
  <si>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</si>
  <si>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</si>
  <si>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</si>
  <si>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</si>
  <si>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</si>
  <si>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</si>
  <si>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</si>
  <si>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</si>
  <si>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</si>
  <si>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</si>
  <si>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</si>
  <si>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</si>
  <si>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</si>
  <si>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</si>
  <si>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</si>
  <si>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</si>
  <si>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</si>
  <si>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</si>
  <si>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</si>
  <si>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</si>
  <si>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</si>
  <si>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</si>
  <si>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</si>
  <si>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</si>
  <si>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</si>
  <si>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</si>
  <si>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</si>
  <si>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</si>
  <si>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</si>
  <si>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</si>
  <si>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</si>
  <si>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</si>
  <si>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</si>
  <si>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</si>
  <si>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</si>
  <si>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</si>
  <si>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</si>
  <si>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</si>
  <si>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</si>
  <si>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</si>
  <si>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</si>
  <si>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</si>
  <si>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</si>
  <si>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</si>
  <si>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</si>
  <si>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</si>
  <si>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</si>
  <si>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</si>
  <si>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</si>
  <si>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</si>
  <si>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</si>
  <si>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</si>
  <si>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</si>
  <si>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</si>
  <si>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</si>
  <si>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</si>
  <si>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</si>
  <si>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</si>
  <si>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</si>
  <si>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</si>
  <si>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</si>
  <si>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</si>
  <si>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</si>
  <si>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</si>
  <si>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</si>
  <si>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</si>
  <si>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</si>
  <si>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</si>
  <si>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</si>
  <si>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</si>
  <si>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</si>
  <si>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</si>
  <si>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</si>
  <si>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</si>
  <si>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</si>
  <si>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</si>
  <si>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</si>
  <si>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</si>
  <si>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</si>
  <si>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</si>
  <si>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</si>
  <si>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</si>
  <si>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</si>
  <si>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</si>
  <si>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</si>
  <si>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</si>
  <si>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</si>
  <si>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</si>
  <si>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</si>
  <si>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</si>
  <si>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</si>
  <si>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</si>
  <si>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</si>
  <si>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</si>
  <si>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</si>
  <si>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</si>
  <si>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</si>
  <si>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</si>
  <si>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</si>
  <si>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</si>
  <si>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</si>
  <si>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</si>
  <si>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</si>
  <si>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</si>
  <si>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</si>
  <si>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</si>
  <si>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</si>
  <si>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</si>
  <si>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</si>
  <si>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</si>
  <si>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</si>
  <si>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</si>
  <si>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</si>
  <si>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</si>
  <si>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</si>
  <si>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</si>
  <si>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</si>
  <si>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</si>
  <si>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</si>
  <si>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</si>
  <si>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</si>
  <si>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</si>
  <si>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</si>
  <si>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</si>
  <si>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</si>
  <si>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</si>
  <si>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</si>
  <si>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</si>
  <si>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</si>
  <si>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</si>
  <si>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</si>
  <si>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</si>
  <si>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</si>
  <si>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</si>
  <si>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</si>
  <si>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</si>
  <si>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</si>
  <si>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</si>
  <si>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</si>
  <si>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</si>
  <si>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</si>
  <si>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</si>
  <si>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</si>
  <si>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</si>
  <si>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</si>
  <si>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</si>
  <si>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</si>
  <si>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</si>
  <si>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</si>
  <si>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</si>
  <si>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</si>
  <si>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</si>
  <si>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</si>
  <si>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</si>
  <si>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</si>
  <si>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</si>
  <si>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</si>
  <si>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</si>
  <si>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</si>
  <si>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</si>
  <si>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</si>
  <si>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</si>
  <si>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</si>
  <si>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</si>
  <si>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</si>
  <si>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</si>
  <si>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</si>
  <si>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</si>
  <si>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</si>
  <si>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</si>
  <si>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</si>
  <si>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</si>
  <si>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</si>
  <si>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</si>
  <si>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</si>
  <si>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</si>
  <si>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</si>
  <si>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</si>
  <si>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</si>
  <si>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</si>
  <si>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</si>
  <si>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</si>
  <si>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</si>
  <si>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</si>
  <si>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</si>
  <si>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</si>
  <si>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</si>
  <si>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</si>
  <si>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</si>
  <si>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</si>
  <si>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</si>
  <si>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</si>
  <si>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</si>
  <si>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</si>
  <si>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</si>
  <si>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</si>
  <si>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</si>
  <si>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</si>
  <si>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</si>
  <si>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</si>
  <si>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</si>
  <si>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</si>
  <si>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</si>
  <si>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</si>
  <si>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</si>
  <si>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</si>
  <si>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</si>
  <si>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</si>
  <si>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</si>
  <si>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</si>
  <si>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</si>
  <si>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</si>
  <si>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</si>
  <si>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</si>
  <si>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</si>
  <si>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</si>
  <si>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</si>
  <si>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</si>
  <si>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</si>
  <si>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</si>
  <si>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</si>
  <si>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</si>
  <si>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</si>
  <si>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</si>
  <si>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</si>
  <si>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</si>
  <si>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</si>
  <si>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</si>
  <si>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</si>
  <si>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</si>
  <si>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</si>
  <si>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</si>
  <si>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</si>
  <si>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</si>
  <si>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</si>
  <si>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</si>
  <si>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</si>
  <si>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</si>
  <si>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</si>
  <si>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</si>
  <si>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</si>
  <si>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</si>
  <si>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</si>
  <si>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</si>
  <si>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</si>
  <si>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</si>
  <si>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</si>
  <si>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</si>
  <si>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</si>
  <si>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</si>
  <si>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</si>
  <si>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</si>
  <si>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</si>
  <si>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</si>
  <si>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</si>
  <si>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</si>
  <si>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</si>
  <si>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</si>
  <si>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</si>
  <si>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</si>
  <si>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</si>
  <si>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</si>
  <si>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</si>
  <si>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</si>
  <si>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</si>
  <si>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</si>
  <si>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</si>
  <si>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</si>
  <si>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</si>
  <si>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</si>
  <si>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</si>
  <si>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</si>
  <si>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</si>
  <si>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</si>
  <si>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</si>
  <si>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</si>
  <si>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</si>
  <si>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</si>
  <si>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</si>
  <si>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</si>
  <si>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</si>
  <si>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</si>
  <si>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</si>
  <si>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</si>
  <si>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</si>
  <si>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</si>
  <si>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</si>
  <si>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</si>
  <si>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</si>
  <si>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</si>
  <si>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</si>
  <si>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</si>
  <si>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</si>
  <si>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</si>
  <si>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</si>
  <si>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</si>
  <si>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</si>
  <si>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</si>
  <si>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</si>
  <si>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</si>
  <si>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</si>
  <si>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</si>
  <si>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</si>
  <si>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</si>
  <si>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</si>
  <si>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</si>
  <si>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</si>
  <si>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</si>
  <si>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</si>
  <si>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</si>
  <si>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</si>
  <si>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</si>
  <si>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</si>
  <si>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</si>
  <si>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</si>
  <si>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</si>
  <si>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</si>
  <si>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</si>
  <si>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</si>
  <si>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</si>
  <si>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</si>
  <si>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</si>
  <si>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</si>
  <si>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</si>
  <si>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</si>
  <si>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</si>
  <si>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</si>
  <si>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</si>
  <si>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</si>
  <si>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</si>
  <si>
    <t>15-Apr-2021</t>
  </si>
  <si>
    <t>22-Apr-2021</t>
  </si>
  <si>
    <t>27-May-2021</t>
  </si>
  <si>
    <t>06-May-2021</t>
  </si>
  <si>
    <t>28-Dec-2023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</si>
</sst>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0.55087962962962966</c:v>
                </c:pt>
                <c:pt idx="1">
                  <c:v>0.55782407407407408</c:v>
                </c:pt>
                <c:pt idx="2">
                  <c:v>0.56526620370370373</c:v>
                </c:pt>
                <c:pt idx="3">
                  <c:v>0.57221064814814815</c:v>
                </c:pt>
              </c:numCache>
              <c:extLst xmlns:c15="http://schemas.microsoft.com/office/drawing/2012/chart" xmlns:c16r2="http://schemas.microsoft.com/office/drawing/2015/06/chart" xmlns:c16="http://schemas.microsoft.com/office/drawing/2014/chart"/>
            </c:numRef>
          </c:cat>
          <c:val>
            <c:numRef>
              <c:f>Calculation!CE</c:f>
              <c:numCache>
                <c:formatCode>General</c:formatCode>
                <c:ptCount val="4"/>
                <c:pt idx="0">
                  <c:v>9701925</c:v>
                </c:pt>
                <c:pt idx="1">
                  <c:v>9701925</c:v>
                </c:pt>
                <c:pt idx="2">
                  <c:v>9701925</c:v>
                </c:pt>
                <c:pt idx="3">
                  <c:v>9701925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0.55087962962962966</c:v>
                </c:pt>
                <c:pt idx="1">
                  <c:v>0.55782407407407408</c:v>
                </c:pt>
                <c:pt idx="2">
                  <c:v>0.56526620370370373</c:v>
                </c:pt>
                <c:pt idx="3">
                  <c:v>0.57221064814814815</c:v>
                </c:pt>
              </c:numCache>
              <c:extLst xmlns:c15="http://schemas.microsoft.com/office/drawing/2012/chart" xmlns:c16r2="http://schemas.microsoft.com/office/drawing/2015/06/chart" xmlns:c16="http://schemas.microsoft.com/office/drawing/2014/chart"/>
            </c:numRef>
          </c:cat>
          <c:val>
            <c:numRef>
              <c:f>Calculation!PE</c:f>
              <c:numCache>
                <c:formatCode>General</c:formatCode>
                <c:ptCount val="4"/>
                <c:pt idx="0">
                  <c:v>10138725</c:v>
                </c:pt>
                <c:pt idx="1">
                  <c:v>10138725</c:v>
                </c:pt>
                <c:pt idx="2">
                  <c:v>10138725</c:v>
                </c:pt>
                <c:pt idx="3">
                  <c:v>10138725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0.55087962962962966</c:v>
                </c:pt>
                <c:pt idx="1">
                  <c:v>0.55782407407407408</c:v>
                </c:pt>
                <c:pt idx="2">
                  <c:v>0.56526620370370373</c:v>
                </c:pt>
                <c:pt idx="3">
                  <c:v>0.57221064814814815</c:v>
                </c:pt>
              </c:numCache>
              <c:extLst xmlns:c15="http://schemas.microsoft.com/office/drawing/2012/chart" xmlns:c16r2="http://schemas.microsoft.com/office/drawing/2015/06/chart" xmlns:c16="http://schemas.microsoft.com/office/drawing/2014/chart"/>
            </c:numRef>
          </c:cat>
          <c:val>
            <c:numRef>
              <c:f>Calculation!CEPEDifference</c:f>
              <c:numCache>
                <c:formatCode>General</c:formatCode>
                <c:ptCount val="4"/>
                <c:pt idx="0">
                  <c:v>436800</c:v>
                </c:pt>
                <c:pt idx="1">
                  <c:v>436800</c:v>
                </c:pt>
                <c:pt idx="2">
                  <c:v>436800</c:v>
                </c:pt>
                <c:pt idx="3">
                  <c:v>436800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960864"/>
        <c:axId val="-54964672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Calculation!Time</c:f>
              <c:numCache>
                <c:formatCode>h:mm:ss</c:formatCode>
                <c:ptCount val="4"/>
                <c:pt idx="0">
                  <c:v>0.55087962962962966</c:v>
                </c:pt>
                <c:pt idx="1">
                  <c:v>0.55782407407407408</c:v>
                </c:pt>
                <c:pt idx="2">
                  <c:v>0.56526620370370373</c:v>
                </c:pt>
                <c:pt idx="3">
                  <c:v>0.57221064814814815</c:v>
                </c:pt>
              </c:numCache>
              <c:extLst xmlns:c15="http://schemas.microsoft.com/office/drawing/2012/chart" xmlns:c16r2="http://schemas.microsoft.com/office/drawing/2015/06/chart" xmlns:c16="http://schemas.microsoft.com/office/drawing/2014/chart"/>
            </c:numRef>
          </c:cat>
          <c:val>
            <c:numRef>
              <c:f>Calculation!NiftyPrice</c:f>
              <c:numCache>
                <c:formatCode>0</c:formatCode>
                <c:ptCount val="4"/>
                <c:pt idx="0">
                  <c:v>15143.3</c:v>
                </c:pt>
                <c:pt idx="1">
                  <c:v>15143.3</c:v>
                </c:pt>
                <c:pt idx="2">
                  <c:v>15143.3</c:v>
                </c:pt>
                <c:pt idx="3">
                  <c:v>15143.3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961952"/>
        <c:axId val="-54979360"/>
      </c:lineChart>
      <c:catAx>
        <c:axId val="-54960864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64672"/>
        <c:crosses val="autoZero"/>
        <c:auto val="1"/>
        <c:lblAlgn val="ctr"/>
        <c:lblOffset val="100"/>
        <c:noMultiLvlLbl val="0"/>
      </c:catAx>
      <c:valAx>
        <c:axId val="-5496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60864"/>
        <c:crosses val="autoZero"/>
        <c:crossBetween val="between"/>
        <c:dispUnits>
          <c:builtInUnit val="thousands"/>
        </c:dispUnits>
      </c:valAx>
      <c:valAx>
        <c:axId val="-54979360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61952"/>
        <c:crosses val="max"/>
        <c:crossBetween val="between"/>
      </c:valAx>
      <c:catAx>
        <c:axId val="-54961952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-54979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9003</c:v>
                </c:pt>
                <c:pt idx="1">
                  <c:v>11122</c:v>
                </c:pt>
                <c:pt idx="2">
                  <c:v>20101</c:v>
                </c:pt>
                <c:pt idx="3">
                  <c:v>14601</c:v>
                </c:pt>
                <c:pt idx="4">
                  <c:v>32761</c:v>
                </c:pt>
                <c:pt idx="5">
                  <c:v>22274</c:v>
                </c:pt>
                <c:pt idx="6">
                  <c:v>19307</c:v>
                </c:pt>
                <c:pt idx="7">
                  <c:v>3603</c:v>
                </c:pt>
                <c:pt idx="8">
                  <c:v>2053</c:v>
                </c:pt>
                <c:pt idx="9">
                  <c:v>358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-1798</c:v>
                </c:pt>
                <c:pt idx="1">
                  <c:v>-444</c:v>
                </c:pt>
                <c:pt idx="2">
                  <c:v>-7666</c:v>
                </c:pt>
                <c:pt idx="3">
                  <c:v>-1496</c:v>
                </c:pt>
                <c:pt idx="4">
                  <c:v>4231</c:v>
                </c:pt>
                <c:pt idx="5">
                  <c:v>17454</c:v>
                </c:pt>
                <c:pt idx="6">
                  <c:v>49002</c:v>
                </c:pt>
                <c:pt idx="7">
                  <c:v>29269</c:v>
                </c:pt>
                <c:pt idx="8">
                  <c:v>32585</c:v>
                </c:pt>
                <c:pt idx="9">
                  <c:v>8222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54977184"/>
        <c:axId val="-54973376"/>
      </c:barChart>
      <c:catAx>
        <c:axId val="-5497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73376"/>
        <c:crosses val="autoZero"/>
        <c:auto val="1"/>
        <c:lblAlgn val="ctr"/>
        <c:lblOffset val="100"/>
        <c:tickMarkSkip val="1"/>
        <c:noMultiLvlLbl val="0"/>
      </c:catAx>
      <c:valAx>
        <c:axId val="-5497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7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39845</c:v>
                </c:pt>
                <c:pt idx="1">
                  <c:v>23778</c:v>
                </c:pt>
                <c:pt idx="2">
                  <c:v>61412</c:v>
                </c:pt>
                <c:pt idx="3">
                  <c:v>22850</c:v>
                </c:pt>
                <c:pt idx="4">
                  <c:v>57019</c:v>
                </c:pt>
                <c:pt idx="5">
                  <c:v>24710</c:v>
                </c:pt>
                <c:pt idx="6">
                  <c:v>23488</c:v>
                </c:pt>
                <c:pt idx="7">
                  <c:v>4152</c:v>
                </c:pt>
                <c:pt idx="8">
                  <c:v>3442</c:v>
                </c:pt>
                <c:pt idx="9">
                  <c:v>710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8175</c:v>
                </c:pt>
                <c:pt idx="1">
                  <c:v>3968</c:v>
                </c:pt>
                <c:pt idx="2">
                  <c:v>21195</c:v>
                </c:pt>
                <c:pt idx="3">
                  <c:v>6686</c:v>
                </c:pt>
                <c:pt idx="4">
                  <c:v>51668</c:v>
                </c:pt>
                <c:pt idx="5">
                  <c:v>35663</c:v>
                </c:pt>
                <c:pt idx="6">
                  <c:v>94526</c:v>
                </c:pt>
                <c:pt idx="7">
                  <c:v>49659</c:v>
                </c:pt>
                <c:pt idx="8">
                  <c:v>77859</c:v>
                </c:pt>
                <c:pt idx="9">
                  <c:v>34488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54974464"/>
        <c:axId val="-54976640"/>
      </c:barChart>
      <c:catAx>
        <c:axId val="-5497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76640"/>
        <c:crosses val="autoZero"/>
        <c:auto val="1"/>
        <c:lblAlgn val="ctr"/>
        <c:lblOffset val="100"/>
        <c:noMultiLvlLbl val="0"/>
      </c:catAx>
      <c:valAx>
        <c:axId val="-5497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7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3400</c:v>
                </c:pt>
                <c:pt idx="2">
                  <c:v>44900</c:v>
                </c:pt>
                <c:pt idx="3">
                  <c:v>97300</c:v>
                </c:pt>
                <c:pt idx="4">
                  <c:v>210400</c:v>
                </c:pt>
                <c:pt idx="5">
                  <c:v>338950</c:v>
                </c:pt>
                <c:pt idx="6">
                  <c:v>575150</c:v>
                </c:pt>
                <c:pt idx="7">
                  <c:v>848000</c:v>
                </c:pt>
                <c:pt idx="8">
                  <c:v>1529600</c:v>
                </c:pt>
                <c:pt idx="9">
                  <c:v>2409600</c:v>
                </c:pt>
                <c:pt idx="10">
                  <c:v>4349350</c:v>
                </c:pt>
                <c:pt idx="11">
                  <c:v>6623400</c:v>
                </c:pt>
                <c:pt idx="12">
                  <c:v>11480850</c:v>
                </c:pt>
                <c:pt idx="13">
                  <c:v>18121450</c:v>
                </c:pt>
                <c:pt idx="14">
                  <c:v>29488350</c:v>
                </c:pt>
                <c:pt idx="15">
                  <c:v>43338200</c:v>
                </c:pt>
                <c:pt idx="16">
                  <c:v>61081000</c:v>
                </c:pt>
                <c:pt idx="17">
                  <c:v>80548200</c:v>
                </c:pt>
                <c:pt idx="18">
                  <c:v>102587250</c:v>
                </c:pt>
                <c:pt idx="19">
                  <c:v>125401600</c:v>
                </c:pt>
                <c:pt idx="20">
                  <c:v>152318250</c:v>
                </c:pt>
                <c:pt idx="21">
                  <c:v>179770500</c:v>
                </c:pt>
                <c:pt idx="22">
                  <c:v>209231000</c:v>
                </c:pt>
                <c:pt idx="23">
                  <c:v>238886200</c:v>
                </c:pt>
                <c:pt idx="24">
                  <c:v>269842150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157745500</c:v>
                </c:pt>
                <c:pt idx="1">
                  <c:v>137735950</c:v>
                </c:pt>
                <c:pt idx="2">
                  <c:v>119035850</c:v>
                </c:pt>
                <c:pt idx="3">
                  <c:v>100700150</c:v>
                </c:pt>
                <c:pt idx="4">
                  <c:v>83966900</c:v>
                </c:pt>
                <c:pt idx="5">
                  <c:v>67778750</c:v>
                </c:pt>
                <c:pt idx="6">
                  <c:v>53864800</c:v>
                </c:pt>
                <c:pt idx="7">
                  <c:v>40617250</c:v>
                </c:pt>
                <c:pt idx="8">
                  <c:v>29361950</c:v>
                </c:pt>
                <c:pt idx="9">
                  <c:v>19295550</c:v>
                </c:pt>
                <c:pt idx="10">
                  <c:v>12299750</c:v>
                </c:pt>
                <c:pt idx="11">
                  <c:v>6446450</c:v>
                </c:pt>
                <c:pt idx="12">
                  <c:v>3444100</c:v>
                </c:pt>
                <c:pt idx="13">
                  <c:v>1677250</c:v>
                </c:pt>
                <c:pt idx="14">
                  <c:v>1084800</c:v>
                </c:pt>
                <c:pt idx="15">
                  <c:v>699950</c:v>
                </c:pt>
                <c:pt idx="16">
                  <c:v>487200</c:v>
                </c:pt>
                <c:pt idx="17">
                  <c:v>309950</c:v>
                </c:pt>
                <c:pt idx="18">
                  <c:v>170500</c:v>
                </c:pt>
                <c:pt idx="19">
                  <c:v>44900</c:v>
                </c:pt>
                <c:pt idx="20">
                  <c:v>25550</c:v>
                </c:pt>
                <c:pt idx="21">
                  <c:v>7650</c:v>
                </c:pt>
                <c:pt idx="22">
                  <c:v>3400</c:v>
                </c:pt>
                <c:pt idx="23">
                  <c:v>100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-54970112"/>
        <c:axId val="-54955424"/>
        <c:extLst xmlns:c16r2="http://schemas.microsoft.com/office/drawing/2015/06/chart"/>
      </c:barChart>
      <c:catAx>
        <c:axId val="-54970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55424"/>
        <c:crosses val="autoZero"/>
        <c:auto val="1"/>
        <c:lblAlgn val="ctr"/>
        <c:lblOffset val="100"/>
        <c:noMultiLvlLbl val="0"/>
      </c:catAx>
      <c:valAx>
        <c:axId val="-549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97011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53"/>
      <queryTableField id="2" name="expiryDate" tableColumnId="54"/>
      <queryTableField id="3" name="openInterest" tableColumnId="55"/>
      <queryTableField id="4" name="changeinOpenInterest" tableColumnId="56"/>
      <queryTableField id="5" name="pchangeinOpenInterest" tableColumnId="57"/>
      <queryTableField id="6" name="totalTradedVolume" tableColumnId="58"/>
      <queryTableField id="7" name="impliedVolatility" tableColumnId="59"/>
      <queryTableField id="8" name="lastPrice" tableColumnId="60"/>
      <queryTableField id="9" name="change" tableColumnId="61"/>
      <queryTableField id="10" name="pChange" tableColumnId="62"/>
      <queryTableField id="11" name="totalBuyQuantity" tableColumnId="63"/>
      <queryTableField id="12" name="totalSellQuantity" tableColumnId="64"/>
      <queryTableField id="13" name="underlyingValue" tableColumnId="65"/>
      <queryTableField id="14" name="strikePrice.1" tableColumnId="66"/>
      <queryTableField id="15" name="expiryDate.1" tableColumnId="67"/>
      <queryTableField id="16" name="openInterest.1" tableColumnId="68"/>
      <queryTableField id="17" name="changeinOpenInterest.1" tableColumnId="69"/>
      <queryTableField id="18" name="pchangeinOpenInterest.1" tableColumnId="70"/>
      <queryTableField id="19" name="totalTradedVolume.1" tableColumnId="71"/>
      <queryTableField id="20" name="impliedVolatility.1" tableColumnId="72"/>
      <queryTableField id="21" name="lastPrice.1" tableColumnId="73"/>
      <queryTableField id="22" name="change.1" tableColumnId="74"/>
      <queryTableField id="23" name="pChange.1" tableColumnId="75"/>
      <queryTableField id="24" name="totalBuyQuantity.1" tableColumnId="76"/>
      <queryTableField id="25" name="totalSellQuantity.1" tableColumnId="77"/>
      <queryTableField id="26" name="underlyingValue.1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989" tableType="queryTable" totalsRowShown="0" headerRowDxfId="27" dataDxfId="26">
  <tableColumns count="26">
    <tableColumn id="53" uniqueName="53" name="strikePrice" queryTableFieldId="1" dataDxfId="25"/>
    <tableColumn id="54" uniqueName="54" name="expiryDate" queryTableFieldId="2" dataDxfId="24"/>
    <tableColumn id="55" uniqueName="55" name="openInterest" queryTableFieldId="3" dataDxfId="23"/>
    <tableColumn id="56" uniqueName="56" name="changeinOpenInterest" queryTableFieldId="4" dataDxfId="22"/>
    <tableColumn id="57" uniqueName="57" name="pchangeinOpenInterest" queryTableFieldId="5" dataDxfId="21"/>
    <tableColumn id="58" uniqueName="58" name="totalTradedVolume" queryTableFieldId="6" dataDxfId="20"/>
    <tableColumn id="59" uniqueName="59" name="impliedVolatility" queryTableFieldId="7" dataDxfId="19"/>
    <tableColumn id="60" uniqueName="60" name="lastPrice" queryTableFieldId="8" dataDxfId="18"/>
    <tableColumn id="61" uniqueName="61" name="change" queryTableFieldId="9" dataDxfId="17"/>
    <tableColumn id="62" uniqueName="62" name="pChange" queryTableFieldId="10" dataDxfId="16"/>
    <tableColumn id="63" uniqueName="63" name="totalBuyQuantity" queryTableFieldId="11" dataDxfId="15"/>
    <tableColumn id="64" uniqueName="64" name="totalSellQuantity" queryTableFieldId="12" dataDxfId="14"/>
    <tableColumn id="65" uniqueName="65" name="underlyingValue" queryTableFieldId="13" dataDxfId="13"/>
    <tableColumn id="66" uniqueName="66" name="strikePrice.1" queryTableFieldId="14" dataDxfId="12"/>
    <tableColumn id="67" uniqueName="67" name="expiryDate.1" queryTableFieldId="15" dataDxfId="11"/>
    <tableColumn id="68" uniqueName="68" name="openInterest.1" queryTableFieldId="16" dataDxfId="10"/>
    <tableColumn id="69" uniqueName="69" name="changeinOpenInterest.1" queryTableFieldId="17" dataDxfId="9"/>
    <tableColumn id="70" uniqueName="70" name="pchangeinOpenInterest.1" queryTableFieldId="18" dataDxfId="8"/>
    <tableColumn id="71" uniqueName="71" name="totalTradedVolume.1" queryTableFieldId="19" dataDxfId="7"/>
    <tableColumn id="72" uniqueName="72" name="impliedVolatility.1" queryTableFieldId="20" dataDxfId="6"/>
    <tableColumn id="73" uniqueName="73" name="lastPrice.1" queryTableFieldId="21" dataDxfId="5"/>
    <tableColumn id="74" uniqueName="74" name="change.1" queryTableFieldId="22" dataDxfId="4"/>
    <tableColumn id="75" uniqueName="75" name="pChange.1" queryTableFieldId="23" dataDxfId="3"/>
    <tableColumn id="76" uniqueName="76" name="totalBuyQuantity.1" queryTableFieldId="24" dataDxfId="2"/>
    <tableColumn id="77" uniqueName="77" name="totalSellQuantity.1" queryTableFieldId="25" dataDxfId="1"/>
    <tableColumn id="78" uniqueName="78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>
      <selection activeCell="A3" sqref="A3"/>
    </sheetView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65</v>
      </c>
    </row>
    <row r="2" spans="1:16" ht="15" x14ac:dyDescent="0.25">
      <c r="A2" s="32"/>
      <c r="B2" s="47">
        <v>44265</v>
      </c>
      <c r="C2" s="49" t="s">
        <v>42</v>
      </c>
      <c r="D2" s="50" t="s">
        <v>51</v>
      </c>
      <c r="E2" s="1" t="s">
        <v>43</v>
      </c>
      <c r="F2" s="48">
        <v>10</v>
      </c>
      <c r="G2" s="2"/>
      <c r="H2" s="2"/>
      <c r="J2" s="1" t="s">
        <v>42</v>
      </c>
      <c r="K2" s="1" t="s">
        <v>45</v>
      </c>
      <c r="L2" s="1" t="s">
        <v>46</v>
      </c>
      <c r="M2" s="1" t="s">
        <v>47</v>
      </c>
      <c r="N2" s="1" t="s">
        <v>48</v>
      </c>
      <c r="O2" s="1" t="s">
        <v>49</v>
      </c>
      <c r="P2" s="9" t="s">
        <v>50</v>
      </c>
    </row>
    <row r="3" spans="1:16" ht="15" x14ac:dyDescent="0.25">
      <c r="A3" s="32" t="s">
        <v>2067</v>
      </c>
      <c r="B3" s="41" t="s">
        <v>39</v>
      </c>
      <c r="C3" s="3" t="s">
        <v>44</v>
      </c>
      <c r="D3" s="3" t="s">
        <v>41</v>
      </c>
      <c r="E3" s="1" t="s">
        <v>38</v>
      </c>
      <c r="F3" s="4" t="s">
        <v>41</v>
      </c>
      <c r="G3" s="4" t="s">
        <v>44</v>
      </c>
      <c r="H3" s="4" t="s">
        <v>39</v>
      </c>
      <c r="J3" s="22">
        <v>0.55087962962962966</v>
      </c>
      <c r="K3" s="23">
        <v>9701925</v>
      </c>
      <c r="L3" s="33">
        <v>10138725</v>
      </c>
      <c r="M3" s="5">
        <f>IFERROR(IF(ISBLANK(J3),"",L3-K3),"")</f>
        <v>436800</v>
      </c>
      <c r="N3" s="5" t="str">
        <f>IFERROR(IF(OR(J3=" ",K3=" ",L3=" ")," ",IF(L3&gt;K3,"BULLISH",IF(K3&gt;L3,"BEARISH",""))),"")</f>
        <v>BULLISH</v>
      </c>
      <c r="O3" s="11">
        <f>IFERROR(IF(AND(N3="BULLISH",K3&lt;0),(L3-(K3))/-K3,IF(AND(N3="BULLISH",K3&gt;0),L3/K3,IF(AND(N3="BEARISH",L3&lt;0),(K3-(L3))/-L3,IF(N3="BEARISH",K3/L3,"")))),"")</f>
        <v>1.0450219930580786</v>
      </c>
      <c r="P3" s="24">
        <v>15143.3</v>
      </c>
    </row>
    <row r="4" spans="1:16" ht="15" x14ac:dyDescent="0.25">
      <c r="A4" s="32"/>
      <c r="B4" s="40">
        <f>IFERROR(VLOOKUP(E4,Data!$AE$2:$AM$200,4,0),"")</f>
        <v>8175</v>
      </c>
      <c r="C4" s="5">
        <f>IFERROR(VLOOKUP(E4,Data!$AE$2:$AM$200,3,0),"")</f>
        <v>-1798</v>
      </c>
      <c r="D4" s="6">
        <f>IFERROR(VLOOKUP(E4,Data!$AE$2:$AM$200,2,0),"")</f>
        <v>247.45</v>
      </c>
      <c r="E4" s="7">
        <f t="shared" ref="E4:E7" si="0">IFERROR(E5-50,"")</f>
        <v>14900</v>
      </c>
      <c r="F4" s="6">
        <f>IFERROR(VLOOKUP(E4,Data!$AE$2:$AM$200,6,0),"")</f>
        <v>2.1</v>
      </c>
      <c r="G4" s="5">
        <f>IFERROR(VLOOKUP(E4,Data!$AE$2:$AM$200,7,0),"")</f>
        <v>9003</v>
      </c>
      <c r="H4" s="5">
        <f>IFERROR(VLOOKUP(E4,Data!$AE$2:$AM$200,8,0),"")</f>
        <v>39845</v>
      </c>
      <c r="J4" s="22">
        <v>0.55782407407407408</v>
      </c>
      <c r="K4" s="23">
        <v>9701925</v>
      </c>
      <c r="L4" s="33">
        <v>10138725</v>
      </c>
      <c r="M4" s="5">
        <f t="shared" ref="M4:M67" si="1">IFERROR(IF(ISBLANK(J4),"",L4-K4),"")</f>
        <v>436800</v>
      </c>
      <c r="N4" s="5" t="str">
        <f t="shared" ref="N4:N67" si="2">IFERROR(IF(OR(J4=" ",K4=" ",L4=" ")," ",IF(L4&gt;K4,"BULLISH",IF(K4&gt;L4,"BEARISH",""))),"")</f>
        <v>BULLISH</v>
      </c>
      <c r="O4" s="11">
        <f t="shared" ref="O4:O67" si="3">IFERROR(IF(AND(N4="BULLISH",K4&lt;0),(L4-(K4))/-K4,IF(AND(N4="BULLISH",K4&gt;0),L4/K4,IF(AND(N4="BEARISH",L4&lt;0),(K4-(L4))/-L4,IF(N4="BEARISH",K4/L4,"")))),"")</f>
        <v>1.0450219930580786</v>
      </c>
      <c r="P4" s="24">
        <v>15143.3</v>
      </c>
    </row>
    <row r="5" spans="1:16" ht="15" x14ac:dyDescent="0.25">
      <c r="A5" s="32"/>
      <c r="B5" s="40">
        <f>IFERROR(VLOOKUP(E5,Data!$AE$2:$AM$200,4,0),"")</f>
        <v>3968</v>
      </c>
      <c r="C5" s="5">
        <f>IFERROR(VLOOKUP(E5,Data!$AE$2:$AM$200,3,0),"")</f>
        <v>-444</v>
      </c>
      <c r="D5" s="6">
        <f>IFERROR(VLOOKUP(E5,Data!$AE$2:$AM$200,2,0),"")</f>
        <v>199.55</v>
      </c>
      <c r="E5" s="7">
        <f t="shared" si="0"/>
        <v>14950</v>
      </c>
      <c r="F5" s="6">
        <f>IFERROR(VLOOKUP(E5,Data!$AE$2:$AM$200,6,0),"")</f>
        <v>3.75</v>
      </c>
      <c r="G5" s="5">
        <f>IFERROR(VLOOKUP(E5,Data!$AE$2:$AM$200,7,0),"")</f>
        <v>11122</v>
      </c>
      <c r="H5" s="5">
        <f>IFERROR(VLOOKUP(E5,Data!$AE$2:$AM$200,8,0),"")</f>
        <v>23778</v>
      </c>
      <c r="J5" s="22">
        <v>0.56526620370370373</v>
      </c>
      <c r="K5" s="23">
        <v>9701925</v>
      </c>
      <c r="L5" s="33">
        <v>10138725</v>
      </c>
      <c r="M5" s="5">
        <f t="shared" si="1"/>
        <v>436800</v>
      </c>
      <c r="N5" s="5" t="str">
        <f t="shared" si="2"/>
        <v>BULLISH</v>
      </c>
      <c r="O5" s="11">
        <f t="shared" si="3"/>
        <v>1.0450219930580786</v>
      </c>
      <c r="P5" s="24">
        <v>15143.3</v>
      </c>
    </row>
    <row r="6" spans="1:16" ht="15" x14ac:dyDescent="0.25">
      <c r="A6" s="32"/>
      <c r="B6" s="40">
        <f>IFERROR(VLOOKUP(E6,Data!$AE$2:$AM$200,4,0),"")</f>
        <v>21195</v>
      </c>
      <c r="C6" s="5">
        <f>IFERROR(VLOOKUP(E6,Data!$AE$2:$AM$200,3,0),"")</f>
        <v>-7666</v>
      </c>
      <c r="D6" s="6">
        <f>IFERROR(VLOOKUP(E6,Data!$AE$2:$AM$200,2,0),"")</f>
        <v>151</v>
      </c>
      <c r="E6" s="7">
        <f t="shared" si="0"/>
        <v>15000</v>
      </c>
      <c r="F6" s="6">
        <f>IFERROR(VLOOKUP(E6,Data!$AE$2:$AM$200,6,0),"")</f>
        <v>7.1</v>
      </c>
      <c r="G6" s="5">
        <f>IFERROR(VLOOKUP(E6,Data!$AE$2:$AM$200,7,0),"")</f>
        <v>20101</v>
      </c>
      <c r="H6" s="5">
        <f>IFERROR(VLOOKUP(E6,Data!$AE$2:$AM$200,8,0),"")</f>
        <v>61412</v>
      </c>
      <c r="J6" s="22">
        <v>0.57221064814814815</v>
      </c>
      <c r="K6" s="23">
        <v>9701925</v>
      </c>
      <c r="L6" s="33">
        <v>10138725</v>
      </c>
      <c r="M6" s="5">
        <f t="shared" si="1"/>
        <v>436800</v>
      </c>
      <c r="N6" s="5" t="str">
        <f t="shared" si="2"/>
        <v>BULLISH</v>
      </c>
      <c r="O6" s="11">
        <f t="shared" si="3"/>
        <v>1.0450219930580786</v>
      </c>
      <c r="P6" s="24">
        <v>15143.3</v>
      </c>
    </row>
    <row r="7" spans="1:16" ht="15" x14ac:dyDescent="0.25">
      <c r="A7" s="32"/>
      <c r="B7" s="40">
        <f>IFERROR(VLOOKUP(E7,Data!$AE$2:$AM$200,4,0),"")</f>
        <v>6686</v>
      </c>
      <c r="C7" s="5">
        <f>IFERROR(VLOOKUP(E7,Data!$AE$2:$AM$200,3,0),"")</f>
        <v>-1496</v>
      </c>
      <c r="D7" s="6">
        <f>IFERROR(VLOOKUP(E7,Data!$AE$2:$AM$200,2,0),"")</f>
        <v>106.85</v>
      </c>
      <c r="E7" s="7">
        <f t="shared" si="0"/>
        <v>15050</v>
      </c>
      <c r="F7" s="6">
        <f>IFERROR(VLOOKUP(E7,Data!$AE$2:$AM$200,6,0),"")</f>
        <v>13.4</v>
      </c>
      <c r="G7" s="5">
        <f>IFERROR(VLOOKUP(E7,Data!$AE$2:$AM$200,7,0),"")</f>
        <v>14601</v>
      </c>
      <c r="H7" s="5">
        <f>IFERROR(VLOOKUP(E7,Data!$AE$2:$AM$200,8,0),"")</f>
        <v>22850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51668</v>
      </c>
      <c r="C8" s="5">
        <f>IFERROR(VLOOKUP(E8,Data!$AE$2:$AM$200,3,0),"")</f>
        <v>4231</v>
      </c>
      <c r="D8" s="6">
        <f>IFERROR(VLOOKUP(E8,Data!$AE$2:$AM$200,2,0),"")</f>
        <v>69.2</v>
      </c>
      <c r="E8" s="7">
        <f>IFERROR(E9-50,"")</f>
        <v>15100</v>
      </c>
      <c r="F8" s="6">
        <f>IFERROR(VLOOKUP(E8,Data!$AE$2:$AM$200,6,0),"")</f>
        <v>24.4</v>
      </c>
      <c r="G8" s="5">
        <f>IFERROR(VLOOKUP(E8,Data!$AE$2:$AM$200,7,0),"")</f>
        <v>32761</v>
      </c>
      <c r="H8" s="5">
        <f>IFERROR(VLOOKUP(E8,Data!$AE$2:$AM$200,8,0),"")</f>
        <v>57019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35663</v>
      </c>
      <c r="C9" s="5">
        <f>IFERROR(VLOOKUP(E9,Data!$AE$2:$AM$200,3,0),"")</f>
        <v>17454</v>
      </c>
      <c r="D9" s="6">
        <f>IFERROR(VLOOKUP(E9,Data!$AE$2:$AM$200,2,0),"")</f>
        <v>39.549999999999997</v>
      </c>
      <c r="E9" s="8">
        <f>IFERROR(Data!$AC$3,"")</f>
        <v>15150</v>
      </c>
      <c r="F9" s="6">
        <f>IFERROR(VLOOKUP(E9,Data!$AE$2:$AM$200,6,0),"")</f>
        <v>44.5</v>
      </c>
      <c r="G9" s="5">
        <f>IFERROR(VLOOKUP(E9,Data!$AE$2:$AM$200,7,0),"")</f>
        <v>22274</v>
      </c>
      <c r="H9" s="5">
        <f>IFERROR(VLOOKUP(E9,Data!$AE$2:$AM$200,8,0),"")</f>
        <v>24710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94526</v>
      </c>
      <c r="C10" s="5">
        <f>IFERROR(VLOOKUP(E10,Data!$AE$2:$AM$200,3,0),"")</f>
        <v>49002</v>
      </c>
      <c r="D10" s="6">
        <f>IFERROR(VLOOKUP(E10,Data!$AE$2:$AM$200,2,0),"")</f>
        <v>18.100000000000001</v>
      </c>
      <c r="E10" s="8">
        <f>IFERROR(E9+50,"")</f>
        <v>15200</v>
      </c>
      <c r="F10" s="6">
        <f>IFERROR(VLOOKUP(E10,Data!$AE$2:$AM$200,6,0),"")</f>
        <v>73.7</v>
      </c>
      <c r="G10" s="5">
        <f>IFERROR(VLOOKUP(E10,Data!$AE$2:$AM$200,7,0),"")</f>
        <v>19307</v>
      </c>
      <c r="H10" s="5">
        <f>IFERROR(VLOOKUP(E10,Data!$AE$2:$AM$200,8,0),"")</f>
        <v>23488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49659</v>
      </c>
      <c r="C11" s="5">
        <f>IFERROR(VLOOKUP(E11,Data!$AE$2:$AM$200,3,0),"")</f>
        <v>29269</v>
      </c>
      <c r="D11" s="6">
        <f>IFERROR(VLOOKUP(E11,Data!$AE$2:$AM$200,2,0),"")</f>
        <v>7.35</v>
      </c>
      <c r="E11" s="8">
        <f t="shared" ref="E11:E13" si="4">IFERROR(E10+50,"")</f>
        <v>15250</v>
      </c>
      <c r="F11" s="6">
        <f>IFERROR(VLOOKUP(E11,Data!$AE$2:$AM$200,6,0),"")</f>
        <v>113.1</v>
      </c>
      <c r="G11" s="5">
        <f>IFERROR(VLOOKUP(E11,Data!$AE$2:$AM$200,7,0),"")</f>
        <v>3603</v>
      </c>
      <c r="H11" s="5">
        <f>IFERROR(VLOOKUP(E11,Data!$AE$2:$AM$200,8,0),"")</f>
        <v>4152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77859</v>
      </c>
      <c r="C12" s="5">
        <f>IFERROR(VLOOKUP(E12,Data!$AE$2:$AM$200,3,0),"")</f>
        <v>32585</v>
      </c>
      <c r="D12" s="6">
        <f>IFERROR(VLOOKUP(E12,Data!$AE$2:$AM$200,2,0),"")</f>
        <v>3.1</v>
      </c>
      <c r="E12" s="8">
        <f t="shared" si="4"/>
        <v>15300</v>
      </c>
      <c r="F12" s="6">
        <f>IFERROR(VLOOKUP(E12,Data!$AE$2:$AM$200,6,0),"")</f>
        <v>159.65</v>
      </c>
      <c r="G12" s="5">
        <f>IFERROR(VLOOKUP(E12,Data!$AE$2:$AM$200,7,0),"")</f>
        <v>2053</v>
      </c>
      <c r="H12" s="5">
        <f>IFERROR(VLOOKUP(E12,Data!$AE$2:$AM$200,8,0),"")</f>
        <v>3442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34488</v>
      </c>
      <c r="C13" s="5">
        <f>IFERROR(VLOOKUP(E13,Data!$AE$2:$AM$200,3,0),"")</f>
        <v>8222</v>
      </c>
      <c r="D13" s="6">
        <f>IFERROR(VLOOKUP(E13,Data!$AE$2:$AM$200,2,0),"")</f>
        <v>1.55</v>
      </c>
      <c r="E13" s="8">
        <f t="shared" si="4"/>
        <v>15350</v>
      </c>
      <c r="F13" s="6">
        <f>IFERROR(VLOOKUP(E13,Data!$AE$2:$AM$200,6,0),"")</f>
        <v>208.15</v>
      </c>
      <c r="G13" s="5">
        <f>IFERROR(VLOOKUP(E13,Data!$AE$2:$AM$200,7,0),"")</f>
        <v>358</v>
      </c>
      <c r="H13" s="5">
        <f>IFERROR(VLOOKUP(E13,Data!$AE$2:$AM$200,8,0),"")</f>
        <v>710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27880800</v>
      </c>
      <c r="C14" s="1">
        <f>IFERROR(SUM($C$4:$C$13)*75,"")</f>
        <v>9701925</v>
      </c>
      <c r="D14" s="59">
        <v>0.60212962962962957</v>
      </c>
      <c r="E14" s="59"/>
      <c r="F14" s="59"/>
      <c r="G14" s="10">
        <f>IFERROR(SUM($G$4:$G$13)*75,"")</f>
        <v>10138725</v>
      </c>
      <c r="H14" s="1">
        <f>IFERROR(SUM($H$4:$H$13)*75,"")</f>
        <v>19605450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15143.3</v>
      </c>
      <c r="D15" s="59"/>
      <c r="E15" s="59"/>
      <c r="F15" s="59"/>
      <c r="G15" s="60" t="s">
        <v>2072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63</v>
      </c>
      <c r="C62" s="12">
        <f>IFERROR(Data!$AV$28,"")</f>
        <v>0.96305343271817445</v>
      </c>
      <c r="D62" s="13" t="s">
        <v>62</v>
      </c>
      <c r="E62" s="14">
        <f>IFERROR(Data!$AT$28,"")</f>
        <v>0.64897722793780521</v>
      </c>
      <c r="F62" s="15"/>
      <c r="G62" s="16" t="s">
        <v>61</v>
      </c>
      <c r="H62" s="17">
        <f>IFERROR(VLOOKUP(MIN(Data!$AQ$2:$AQ$26),Data!$AQ$2:$AR$26,2,0),"")</f>
        <v>15100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2072</v>
      </c>
      <c r="B63" s="31" t="s">
        <v>2070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2069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EPvEBXj3sS3Z4AXRvmiNcU4HRuEeHr9M6FeTs6jXMAhg7GLgSDeUjVFJGW3SbbMPXyFvZVjwPrgdf3B465Eelw==" saltValue="JRMFq/G2SEundYAiP7bjMw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080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7265625" style="18" bestFit="1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7265625" style="18" bestFit="1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66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36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37</v>
      </c>
      <c r="AC1" s="18">
        <f>IFERROR(MAX($AA$2:$AA$2018),"")</f>
        <v>15143.3</v>
      </c>
      <c r="AD1" s="55">
        <f>IFERROR(Calculation!$B$2,"")</f>
        <v>44265</v>
      </c>
      <c r="AE1" s="18" t="s">
        <v>38</v>
      </c>
      <c r="AF1" s="18" t="s">
        <v>41</v>
      </c>
      <c r="AG1" s="18" t="s">
        <v>40</v>
      </c>
      <c r="AH1" s="18" t="s">
        <v>39</v>
      </c>
      <c r="AI1" s="18" t="s">
        <v>2066</v>
      </c>
      <c r="AJ1" s="18" t="s">
        <v>41</v>
      </c>
      <c r="AK1" s="18" t="s">
        <v>40</v>
      </c>
      <c r="AL1" s="18" t="s">
        <v>39</v>
      </c>
      <c r="AM1" s="18" t="s">
        <v>2066</v>
      </c>
      <c r="AO1" s="18" t="s">
        <v>52</v>
      </c>
      <c r="AP1" s="18" t="s">
        <v>53</v>
      </c>
      <c r="AQ1" s="18" t="s">
        <v>54</v>
      </c>
      <c r="AR1" s="18" t="s">
        <v>38</v>
      </c>
      <c r="AS1" s="18" t="s">
        <v>55</v>
      </c>
      <c r="AT1" s="18" t="s">
        <v>56</v>
      </c>
      <c r="AU1" s="18" t="s">
        <v>58</v>
      </c>
      <c r="AV1" s="18" t="s">
        <v>59</v>
      </c>
    </row>
    <row r="2" spans="1:48" x14ac:dyDescent="0.35">
      <c r="A2" s="56" t="s">
        <v>67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24825</v>
      </c>
      <c r="M2" s="58">
        <v>3525</v>
      </c>
      <c r="N2" s="58">
        <v>15143.3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IF($AD$1*1=$C$1:$C$2018*1, COUNTIF($AD$1:$AD1, $A$1:$A$2000), ""), 0)),"")</f>
        <v>103</v>
      </c>
      <c r="AE2" s="57">
        <f>IFERROR(VLOOKUP(AD2,$A$2:$AA$2000,2,0),"")</f>
        <v>12150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2</v>
      </c>
      <c r="AI2" s="18">
        <f>IFERROR(VLOOKUP(AD2,$A$2:$AA$2000,20,0),"")</f>
        <v>0</v>
      </c>
      <c r="AJ2" s="18">
        <f>IFERROR(VLOOKUP(AD2,$A$2:$AA$2000,9,0),"")</f>
        <v>0.1</v>
      </c>
      <c r="AK2" s="18">
        <f>IFERROR(VLOOKUP(AD2,$A$2:$AA$2000,5,0),"")</f>
        <v>754</v>
      </c>
      <c r="AL2" s="18">
        <f>IFERROR(VLOOKUP(AD2,$A$2:$AA$2000,4,0),"")</f>
        <v>2942</v>
      </c>
      <c r="AM2" s="18">
        <f>IFERROR(VLOOKUP(AD2,$A$2:$AA$2000,7,0),"")</f>
        <v>4700</v>
      </c>
      <c r="AO2" s="18">
        <f>IFERROR($AR2*SUM($AS2:AS$2)-SUMPRODUCT($AR2:AR$2,$AS2:AS$2),"")</f>
        <v>0</v>
      </c>
      <c r="AP2" s="18">
        <f>IFERROR(SUMPRODUCT($AR2:AR$26,$AT2:AT$26)-$AR2*SUM($AT2:AT$26),"")</f>
        <v>157745500</v>
      </c>
      <c r="AQ2" s="18">
        <f>IFERROR(($AR2*SUM(AS2:$AS$2)-SUMPRODUCT($AR2:AR$2,$AS2:AS$2))+(SUMPRODUCT($AR2:AR$26,$AT2:AT$26)-$AR2*SUM($AT2:AT$26)),"")</f>
        <v>157745500</v>
      </c>
      <c r="AR2" s="18">
        <f t="shared" ref="AR2:AR12" si="0">IFERROR(AR3-50,"")</f>
        <v>14550</v>
      </c>
      <c r="AS2" s="18">
        <f>IFERROR(VLOOKUP(AR2,$AE$2:$AM$200,4,0),"")</f>
        <v>68</v>
      </c>
      <c r="AT2" s="18">
        <f>IFERROR(VLOOKUP(AR2,$AE$2:$AM$200,8,0),"")</f>
        <v>3210</v>
      </c>
      <c r="AU2" s="18">
        <f>IFERROR(VLOOKUP(AR2,$AE$2:$AM$200,5,0),"")</f>
        <v>5</v>
      </c>
      <c r="AV2" s="18">
        <f>IFERROR(VLOOKUP(AR2,$AE$2:$AM$200,9,0),"")</f>
        <v>6617</v>
      </c>
    </row>
    <row r="3" spans="1:48" x14ac:dyDescent="0.35">
      <c r="A3" s="56" t="s">
        <v>68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6450</v>
      </c>
      <c r="M3" s="58">
        <v>0</v>
      </c>
      <c r="N3" s="58">
        <v>15139.55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IF($AD$1*1=$C$1:$C$2018*1, COUNTIF($AD$1:$AD2, $A$1:$A$2000), ""), 0)),"")</f>
        <v>111</v>
      </c>
      <c r="AE3" s="57">
        <f t="shared" ref="AE3:AE66" si="1">IFERROR(VLOOKUP(AD3,$A$2:$AA$2000,2,0),"")</f>
        <v>12200</v>
      </c>
      <c r="AF3" s="18">
        <f t="shared" ref="AF3:AF66" si="2">IFERROR(VLOOKUP(AD3,$A$2:$AA$2000,22,0),"")</f>
        <v>0</v>
      </c>
      <c r="AG3" s="18">
        <f t="shared" ref="AG3:AG66" si="3">IFERROR(VLOOKUP(AD3,$A$2:$AA$2000,18,0),"")</f>
        <v>0</v>
      </c>
      <c r="AH3" s="18">
        <f t="shared" ref="AH3:AH66" si="4">IFERROR(VLOOKUP(AD3,$A$2:$AA$2000,17,0),"")</f>
        <v>0</v>
      </c>
      <c r="AI3" s="18">
        <f t="shared" ref="AI3:AI66" si="5">IFERROR(VLOOKUP(AD3,$A$2:$AA$2000,20,0),"")</f>
        <v>0</v>
      </c>
      <c r="AJ3" s="18">
        <f t="shared" ref="AJ3:AJ66" si="6">IFERROR(VLOOKUP(AD3,$A$2:$AA$2000,9,0),"")</f>
        <v>0.1</v>
      </c>
      <c r="AK3" s="18">
        <f t="shared" ref="AK3:AK66" si="7">IFERROR(VLOOKUP(AD3,$A$2:$AA$2000,5,0),"")</f>
        <v>392</v>
      </c>
      <c r="AL3" s="18">
        <f t="shared" ref="AL3:AL66" si="8">IFERROR(VLOOKUP(AD3,$A$2:$AA$2000,4,0),"")</f>
        <v>1372</v>
      </c>
      <c r="AM3" s="18">
        <f t="shared" ref="AM3:AM66" si="9">IFERROR(VLOOKUP(AD3,$A$2:$AA$2000,7,0),"")</f>
        <v>812</v>
      </c>
      <c r="AO3" s="18">
        <f>IFERROR($AR3*SUM($AS$2:AS3)-SUMPRODUCT($AR$2:AR3,$AS$2:AS3),"")</f>
        <v>3400</v>
      </c>
      <c r="AP3" s="18">
        <f>IFERROR(SUMPRODUCT($AR3:AR$26,$AT3:AT$26)-$AR3*SUM($AT3:AT$26),"")</f>
        <v>137735950</v>
      </c>
      <c r="AQ3" s="18">
        <f>IFERROR(($AR3*SUM(AS$2:$AS3)-SUMPRODUCT($AR$2:AR3,$AS$2:AS3))+(SUMPRODUCT($AR3:AR$26,$AT3:AT$26)-$AR3*SUM($AT3:AT$26)),"")</f>
        <v>137739350</v>
      </c>
      <c r="AR3" s="18">
        <f t="shared" si="0"/>
        <v>14600</v>
      </c>
      <c r="AS3" s="18">
        <f t="shared" ref="AS3:AS26" si="10">IFERROR(VLOOKUP(AR3,$AE$2:$AM$200,4,0),"")</f>
        <v>762</v>
      </c>
      <c r="AT3" s="18">
        <f t="shared" ref="AT3:AT26" si="11">IFERROR(VLOOKUP(AR3,$AE$2:$AM$200,8,0),"")</f>
        <v>26189</v>
      </c>
      <c r="AU3" s="18">
        <f t="shared" ref="AU3:AU26" si="12">IFERROR(VLOOKUP(AR3,$AE$2:$AM$200,5,0),"")</f>
        <v>278</v>
      </c>
      <c r="AV3" s="18">
        <f t="shared" ref="AV3:AV26" si="13">IFERROR(VLOOKUP(AR3,$AE$2:$AM$200,9,0),"")</f>
        <v>61844</v>
      </c>
    </row>
    <row r="4" spans="1:48" x14ac:dyDescent="0.35">
      <c r="A4" s="56" t="s">
        <v>69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3750</v>
      </c>
      <c r="M4" s="58">
        <v>0</v>
      </c>
      <c r="N4" s="58">
        <v>15143.3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IF($AD$1*1=$C$1:$C$2018*1, COUNTIF($AD$1:$AD3, $A$1:$A$2000), ""), 0)),"")</f>
        <v>115</v>
      </c>
      <c r="AE4" s="57">
        <f t="shared" si="1"/>
        <v>12250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0.1</v>
      </c>
      <c r="AK4" s="18">
        <f t="shared" si="7"/>
        <v>109</v>
      </c>
      <c r="AL4" s="18">
        <f t="shared" si="8"/>
        <v>416</v>
      </c>
      <c r="AM4" s="18">
        <f t="shared" si="9"/>
        <v>1029</v>
      </c>
      <c r="AO4" s="18">
        <f>IFERROR($AR4*SUM($AS$2:AS4)-SUMPRODUCT($AR$2:AR4,$AS$2:AS4),"")</f>
        <v>44900</v>
      </c>
      <c r="AP4" s="18">
        <f>IFERROR(SUMPRODUCT($AR4:AR$26,$AT4:AT$26)-$AR4*SUM($AT4:AT$26),"")</f>
        <v>119035850</v>
      </c>
      <c r="AQ4" s="18">
        <f>IFERROR(($AR4*SUM(AS$2:$AS4)-SUMPRODUCT($AR$2:AR4,$AS$2:AS4))+(SUMPRODUCT($AR4:AR$26,$AT4:AT$26)-$AR4*SUM($AT4:AT$26)),"")</f>
        <v>119080750</v>
      </c>
      <c r="AR4" s="18">
        <f t="shared" si="0"/>
        <v>14650</v>
      </c>
      <c r="AS4" s="18">
        <f t="shared" si="10"/>
        <v>218</v>
      </c>
      <c r="AT4" s="18">
        <f t="shared" si="11"/>
        <v>7288</v>
      </c>
      <c r="AU4" s="18">
        <f t="shared" si="12"/>
        <v>72</v>
      </c>
      <c r="AV4" s="18">
        <f t="shared" si="13"/>
        <v>15456</v>
      </c>
    </row>
    <row r="5" spans="1:48" x14ac:dyDescent="0.35">
      <c r="A5" s="56" t="s">
        <v>70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15143.3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IF($AD$1*1=$C$1:$C$2018*1, COUNTIF($AD$1:$AD4, $A$1:$A$2000), ""), 0)),"")</f>
        <v>123</v>
      </c>
      <c r="AE5" s="57">
        <f t="shared" si="1"/>
        <v>12300</v>
      </c>
      <c r="AF5" s="18">
        <f t="shared" si="2"/>
        <v>0</v>
      </c>
      <c r="AG5" s="18">
        <f t="shared" si="3"/>
        <v>0</v>
      </c>
      <c r="AH5" s="18">
        <f t="shared" si="4"/>
        <v>0</v>
      </c>
      <c r="AI5" s="18">
        <f t="shared" si="5"/>
        <v>0</v>
      </c>
      <c r="AJ5" s="18">
        <f t="shared" si="6"/>
        <v>0.15</v>
      </c>
      <c r="AK5" s="18">
        <f t="shared" si="7"/>
        <v>156</v>
      </c>
      <c r="AL5" s="18">
        <f t="shared" si="8"/>
        <v>629</v>
      </c>
      <c r="AM5" s="18">
        <f t="shared" si="9"/>
        <v>468</v>
      </c>
      <c r="AO5" s="18">
        <f>IFERROR($AR5*SUM($AS$2:AS5)-SUMPRODUCT($AR$2:AR5,$AS$2:AS5),"")</f>
        <v>97300</v>
      </c>
      <c r="AP5" s="18">
        <f>IFERROR(SUMPRODUCT($AR5:AR$26,$AT5:AT$26)-$AR5*SUM($AT5:AT$26),"")</f>
        <v>100700150</v>
      </c>
      <c r="AQ5" s="18">
        <f>IFERROR(($AR5*SUM(AS$2:$AS5)-SUMPRODUCT($AR$2:AR5,$AS$2:AS5))+(SUMPRODUCT($AR5:AR$26,$AT5:AT$26)-$AR5*SUM($AT5:AT$26)),"")</f>
        <v>100797450</v>
      </c>
      <c r="AR5" s="18">
        <f t="shared" si="0"/>
        <v>14700</v>
      </c>
      <c r="AS5" s="18">
        <f t="shared" si="10"/>
        <v>1214</v>
      </c>
      <c r="AT5" s="18">
        <f t="shared" si="11"/>
        <v>32049</v>
      </c>
      <c r="AU5" s="18">
        <f t="shared" si="12"/>
        <v>682</v>
      </c>
      <c r="AV5" s="18">
        <f t="shared" si="13"/>
        <v>102045</v>
      </c>
    </row>
    <row r="6" spans="1:48" x14ac:dyDescent="0.35">
      <c r="A6" s="56" t="s">
        <v>71</v>
      </c>
      <c r="B6" s="58">
        <v>8000</v>
      </c>
      <c r="C6" s="58" t="s">
        <v>26</v>
      </c>
      <c r="D6" s="58">
        <v>169</v>
      </c>
      <c r="E6" s="58">
        <v>2</v>
      </c>
      <c r="F6" s="58">
        <v>1.1976047904191616</v>
      </c>
      <c r="G6" s="58">
        <v>4</v>
      </c>
      <c r="H6" s="58">
        <v>106.57</v>
      </c>
      <c r="I6" s="58">
        <v>1</v>
      </c>
      <c r="J6" s="58">
        <v>-0.25</v>
      </c>
      <c r="K6" s="58">
        <v>-20</v>
      </c>
      <c r="L6" s="58">
        <v>42600</v>
      </c>
      <c r="M6" s="58">
        <v>15450</v>
      </c>
      <c r="N6" s="58">
        <v>15143.3</v>
      </c>
      <c r="O6" s="58">
        <v>8000</v>
      </c>
      <c r="P6" s="58" t="s">
        <v>26</v>
      </c>
      <c r="Q6" s="58">
        <v>11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7350</v>
      </c>
      <c r="Z6" s="58">
        <v>7725</v>
      </c>
      <c r="AA6" s="58">
        <v>15143.3</v>
      </c>
      <c r="AD6" s="18" t="str">
        <f t="array" ref="AD6">IFERROR(INDEX($A$1:$A$2000, MATCH(0, IF($AD$1*1=$C$1:$C$2018*1, COUNTIF($AD$1:$AD5, $A$1:$A$2000), ""), 0)),"")</f>
        <v>127</v>
      </c>
      <c r="AE6" s="57">
        <f t="shared" si="1"/>
        <v>12350</v>
      </c>
      <c r="AF6" s="18">
        <f t="shared" si="2"/>
        <v>0</v>
      </c>
      <c r="AG6" s="18">
        <f t="shared" si="3"/>
        <v>0</v>
      </c>
      <c r="AH6" s="18">
        <f t="shared" si="4"/>
        <v>0</v>
      </c>
      <c r="AI6" s="18">
        <f t="shared" si="5"/>
        <v>0</v>
      </c>
      <c r="AJ6" s="18">
        <f t="shared" si="6"/>
        <v>0.15</v>
      </c>
      <c r="AK6" s="18">
        <f t="shared" si="7"/>
        <v>134</v>
      </c>
      <c r="AL6" s="18">
        <f t="shared" si="8"/>
        <v>168</v>
      </c>
      <c r="AM6" s="18">
        <f t="shared" si="9"/>
        <v>394</v>
      </c>
      <c r="AO6" s="18">
        <f>IFERROR($AR6*SUM($AS$2:AS6)-SUMPRODUCT($AR$2:AR6,$AS$2:AS6),"")</f>
        <v>210400</v>
      </c>
      <c r="AP6" s="18">
        <f>IFERROR(SUMPRODUCT($AR6:AR$26,$AT6:AT$26)-$AR6*SUM($AT6:AT$26),"")</f>
        <v>83966900</v>
      </c>
      <c r="AQ6" s="18">
        <f>IFERROR(($AR6*SUM(AS$2:$AS6)-SUMPRODUCT($AR$2:AR6,$AS$2:AS6))+(SUMPRODUCT($AR6:AR$26,$AT6:AT$26)-$AR6*SUM($AT6:AT$26)),"")</f>
        <v>84177300</v>
      </c>
      <c r="AR6" s="18">
        <f t="shared" si="0"/>
        <v>14750</v>
      </c>
      <c r="AS6" s="18">
        <f t="shared" si="10"/>
        <v>309</v>
      </c>
      <c r="AT6" s="18">
        <f t="shared" si="11"/>
        <v>10902</v>
      </c>
      <c r="AU6" s="18">
        <f t="shared" si="12"/>
        <v>77</v>
      </c>
      <c r="AV6" s="18">
        <f t="shared" si="13"/>
        <v>51587</v>
      </c>
    </row>
    <row r="7" spans="1:48" x14ac:dyDescent="0.35">
      <c r="A7" s="56" t="s">
        <v>72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8325</v>
      </c>
      <c r="M7" s="58">
        <v>0</v>
      </c>
      <c r="N7" s="58">
        <v>15139.55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IF($AD$1*1=$C$1:$C$2018*1, COUNTIF($AD$1:$AD6, $A$1:$A$2000), ""), 0)),"")</f>
        <v>134</v>
      </c>
      <c r="AE7" s="57">
        <f t="shared" si="1"/>
        <v>12400</v>
      </c>
      <c r="AF7" s="18">
        <f t="shared" si="2"/>
        <v>0</v>
      </c>
      <c r="AG7" s="18">
        <f t="shared" si="3"/>
        <v>0</v>
      </c>
      <c r="AH7" s="18">
        <f t="shared" si="4"/>
        <v>0</v>
      </c>
      <c r="AI7" s="18">
        <f t="shared" si="5"/>
        <v>0</v>
      </c>
      <c r="AJ7" s="18">
        <f t="shared" si="6"/>
        <v>0.15</v>
      </c>
      <c r="AK7" s="18">
        <f t="shared" si="7"/>
        <v>472</v>
      </c>
      <c r="AL7" s="18">
        <f t="shared" si="8"/>
        <v>917</v>
      </c>
      <c r="AM7" s="18">
        <f t="shared" si="9"/>
        <v>2272</v>
      </c>
      <c r="AO7" s="18">
        <f>IFERROR($AR7*SUM($AS$2:AS7)-SUMPRODUCT($AR$2:AR7,$AS$2:AS7),"")</f>
        <v>338950</v>
      </c>
      <c r="AP7" s="18">
        <f>IFERROR(SUMPRODUCT($AR7:AR$26,$AT7:AT$26)-$AR7*SUM($AT7:AT$26),"")</f>
        <v>67778750</v>
      </c>
      <c r="AQ7" s="18">
        <f>IFERROR(($AR7*SUM(AS$2:$AS7)-SUMPRODUCT($AR$2:AR7,$AS$2:AS7))+(SUMPRODUCT($AR7:AR$26,$AT7:AT$26)-$AR7*SUM($AT7:AT$26)),"")</f>
        <v>68117700</v>
      </c>
      <c r="AR7" s="18">
        <f t="shared" si="0"/>
        <v>14800</v>
      </c>
      <c r="AS7" s="18">
        <f t="shared" si="10"/>
        <v>2153</v>
      </c>
      <c r="AT7" s="18">
        <f t="shared" si="11"/>
        <v>45484</v>
      </c>
      <c r="AU7" s="18">
        <f t="shared" si="12"/>
        <v>2839</v>
      </c>
      <c r="AV7" s="18">
        <f t="shared" si="13"/>
        <v>203914</v>
      </c>
    </row>
    <row r="8" spans="1:48" x14ac:dyDescent="0.35">
      <c r="A8" s="56" t="s">
        <v>73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15143.3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IF($AD$1*1=$C$1:$C$2018*1, COUNTIF($AD$1:$AD7, $A$1:$A$2000), ""), 0)),"")</f>
        <v>137</v>
      </c>
      <c r="AE8" s="57">
        <f t="shared" si="1"/>
        <v>12450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0.25</v>
      </c>
      <c r="AK8" s="18">
        <f t="shared" si="7"/>
        <v>55</v>
      </c>
      <c r="AL8" s="18">
        <f t="shared" si="8"/>
        <v>89</v>
      </c>
      <c r="AM8" s="18">
        <f t="shared" si="9"/>
        <v>111</v>
      </c>
      <c r="AO8" s="18">
        <f>IFERROR($AR8*SUM($AS$2:AS8)-SUMPRODUCT($AR$2:AR8,$AS$2:AS8),"")</f>
        <v>575150</v>
      </c>
      <c r="AP8" s="18">
        <f>IFERROR(SUMPRODUCT($AR8:AR$26,$AT8:AT$26)-$AR8*SUM($AT8:AT$26),"")</f>
        <v>53864800</v>
      </c>
      <c r="AQ8" s="18">
        <f>IFERROR(($AR8*SUM(AS$2:$AS8)-SUMPRODUCT($AR$2:AR8,$AS$2:AS8))+(SUMPRODUCT($AR8:AR$26,$AT8:AT$26)-$AR8*SUM($AT8:AT$26)),"")</f>
        <v>54439950</v>
      </c>
      <c r="AR8" s="18">
        <f t="shared" si="0"/>
        <v>14850</v>
      </c>
      <c r="AS8" s="18">
        <f t="shared" si="10"/>
        <v>733</v>
      </c>
      <c r="AT8" s="18">
        <f t="shared" si="11"/>
        <v>13328</v>
      </c>
      <c r="AU8" s="18">
        <f t="shared" si="12"/>
        <v>514</v>
      </c>
      <c r="AV8" s="18">
        <f t="shared" si="13"/>
        <v>94168</v>
      </c>
    </row>
    <row r="9" spans="1:48" x14ac:dyDescent="0.35">
      <c r="A9" s="56" t="s">
        <v>74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15143.3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IF($AD$1*1=$C$1:$C$2018*1, COUNTIF($AD$1:$AD8, $A$1:$A$2000), ""), 0)),"")</f>
        <v>145</v>
      </c>
      <c r="AE9" s="57">
        <f t="shared" si="1"/>
        <v>12500</v>
      </c>
      <c r="AF9" s="18">
        <f t="shared" si="2"/>
        <v>0</v>
      </c>
      <c r="AG9" s="18">
        <f t="shared" si="3"/>
        <v>0</v>
      </c>
      <c r="AH9" s="18">
        <f t="shared" si="4"/>
        <v>0</v>
      </c>
      <c r="AI9" s="18">
        <f t="shared" si="5"/>
        <v>0</v>
      </c>
      <c r="AJ9" s="18">
        <f t="shared" si="6"/>
        <v>0.15</v>
      </c>
      <c r="AK9" s="18">
        <f t="shared" si="7"/>
        <v>14</v>
      </c>
      <c r="AL9" s="18">
        <f t="shared" si="8"/>
        <v>4654</v>
      </c>
      <c r="AM9" s="18">
        <f t="shared" si="9"/>
        <v>1255</v>
      </c>
      <c r="AO9" s="18">
        <f>IFERROR($AR9*SUM($AS$2:AS9)-SUMPRODUCT($AR$2:AR9,$AS$2:AS9),"")</f>
        <v>848000</v>
      </c>
      <c r="AP9" s="18">
        <f>IFERROR(SUMPRODUCT($AR9:AR$26,$AT9:AT$26)-$AR9*SUM($AT9:AT$26),"")</f>
        <v>40617250</v>
      </c>
      <c r="AQ9" s="18">
        <f>IFERROR(($AR9*SUM(AS$2:$AS9)-SUMPRODUCT($AR$2:AR9,$AS$2:AS9))+(SUMPRODUCT($AR9:AR$26,$AT9:AT$26)-$AR9*SUM($AT9:AT$26)),"")</f>
        <v>41465250</v>
      </c>
      <c r="AR9" s="18">
        <f t="shared" si="0"/>
        <v>14900</v>
      </c>
      <c r="AS9" s="18">
        <f t="shared" si="10"/>
        <v>8175</v>
      </c>
      <c r="AT9" s="18">
        <f t="shared" si="11"/>
        <v>39845</v>
      </c>
      <c r="AU9" s="18">
        <f t="shared" si="12"/>
        <v>12674</v>
      </c>
      <c r="AV9" s="18">
        <f t="shared" si="13"/>
        <v>333108</v>
      </c>
    </row>
    <row r="10" spans="1:48" x14ac:dyDescent="0.35">
      <c r="A10" s="56" t="s">
        <v>75</v>
      </c>
      <c r="B10" s="58">
        <v>8300</v>
      </c>
      <c r="C10" s="58" t="s">
        <v>27</v>
      </c>
      <c r="D10" s="58">
        <v>21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5250</v>
      </c>
      <c r="M10" s="58">
        <v>0</v>
      </c>
      <c r="N10" s="58">
        <v>15139.55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IF($AD$1*1=$C$1:$C$2018*1, COUNTIF($AD$1:$AD9, $A$1:$A$2000), ""), 0)),"")</f>
        <v>151</v>
      </c>
      <c r="AE10" s="57">
        <f t="shared" si="1"/>
        <v>12550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0.3</v>
      </c>
      <c r="AK10" s="18">
        <f t="shared" si="7"/>
        <v>-34</v>
      </c>
      <c r="AL10" s="18">
        <f t="shared" si="8"/>
        <v>43</v>
      </c>
      <c r="AM10" s="18">
        <f t="shared" si="9"/>
        <v>44</v>
      </c>
      <c r="AO10" s="18">
        <f>IFERROR($AR10*SUM($AS$2:AS10)-SUMPRODUCT($AR$2:AR10,$AS$2:AS10),"")</f>
        <v>1529600</v>
      </c>
      <c r="AP10" s="18">
        <f>IFERROR(SUMPRODUCT($AR10:AR$26,$AT10:AT$26)-$AR10*SUM($AT10:AT$26),"")</f>
        <v>29361950</v>
      </c>
      <c r="AQ10" s="18">
        <f>IFERROR(($AR10*SUM(AS$2:$AS10)-SUMPRODUCT($AR$2:AR10,$AS$2:AS10))+(SUMPRODUCT($AR10:AR$26,$AT10:AT$26)-$AR10*SUM($AT10:AT$26)),"")</f>
        <v>30891550</v>
      </c>
      <c r="AR10" s="18">
        <f t="shared" si="0"/>
        <v>14950</v>
      </c>
      <c r="AS10" s="18">
        <f t="shared" si="10"/>
        <v>3968</v>
      </c>
      <c r="AT10" s="18">
        <f t="shared" si="11"/>
        <v>23778</v>
      </c>
      <c r="AU10" s="18">
        <f t="shared" si="12"/>
        <v>5769</v>
      </c>
      <c r="AV10" s="18">
        <f t="shared" si="13"/>
        <v>195973</v>
      </c>
    </row>
    <row r="11" spans="1:48" x14ac:dyDescent="0.35">
      <c r="A11" s="56" t="s">
        <v>76</v>
      </c>
      <c r="B11" s="58">
        <v>8300</v>
      </c>
      <c r="C11" s="58" t="s">
        <v>30</v>
      </c>
      <c r="D11" s="58">
        <v>2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3750</v>
      </c>
      <c r="M11" s="58">
        <v>0</v>
      </c>
      <c r="N11" s="58">
        <v>15143.3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IF($AD$1*1=$C$1:$C$2018*1, COUNTIF($AD$1:$AD10, $A$1:$A$2000), ""), 0)),"")</f>
        <v>156</v>
      </c>
      <c r="AE11" s="57">
        <f t="shared" si="1"/>
        <v>12600</v>
      </c>
      <c r="AF11" s="18">
        <f t="shared" si="2"/>
        <v>0</v>
      </c>
      <c r="AG11" s="18">
        <f t="shared" si="3"/>
        <v>0</v>
      </c>
      <c r="AH11" s="18">
        <f t="shared" si="4"/>
        <v>0</v>
      </c>
      <c r="AI11" s="18">
        <f t="shared" si="5"/>
        <v>0</v>
      </c>
      <c r="AJ11" s="18">
        <f t="shared" si="6"/>
        <v>0.15</v>
      </c>
      <c r="AK11" s="18">
        <f t="shared" si="7"/>
        <v>151</v>
      </c>
      <c r="AL11" s="18">
        <f t="shared" si="8"/>
        <v>656</v>
      </c>
      <c r="AM11" s="18">
        <f t="shared" si="9"/>
        <v>472</v>
      </c>
      <c r="AO11" s="18">
        <f>IFERROR($AR11*SUM($AS$2:AS11)-SUMPRODUCT($AR$2:AR11,$AS$2:AS11),"")</f>
        <v>2409600</v>
      </c>
      <c r="AP11" s="18">
        <f>IFERROR(SUMPRODUCT($AR11:AR$26,$AT11:AT$26)-$AR11*SUM($AT11:AT$26),"")</f>
        <v>19295550</v>
      </c>
      <c r="AQ11" s="18">
        <f>IFERROR(($AR11*SUM(AS$2:$AS11)-SUMPRODUCT($AR$2:AR11,$AS$2:AS11))+(SUMPRODUCT($AR11:AR$26,$AT11:AT$26)-$AR11*SUM($AT11:AT$26)),"")</f>
        <v>21705150</v>
      </c>
      <c r="AR11" s="18">
        <f t="shared" si="0"/>
        <v>15000</v>
      </c>
      <c r="AS11" s="18">
        <f t="shared" si="10"/>
        <v>21195</v>
      </c>
      <c r="AT11" s="18">
        <f t="shared" si="11"/>
        <v>61412</v>
      </c>
      <c r="AU11" s="18">
        <f t="shared" si="12"/>
        <v>89333</v>
      </c>
      <c r="AV11" s="18">
        <f t="shared" si="13"/>
        <v>664501</v>
      </c>
    </row>
    <row r="12" spans="1:48" x14ac:dyDescent="0.35">
      <c r="A12" s="56" t="s">
        <v>77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15143.3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IF($AD$1*1=$C$1:$C$2018*1, COUNTIF($AD$1:$AD11, $A$1:$A$2000), ""), 0)),"")</f>
        <v>162</v>
      </c>
      <c r="AE12" s="57">
        <f t="shared" si="1"/>
        <v>12650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0</v>
      </c>
      <c r="AM12" s="18">
        <f t="shared" si="9"/>
        <v>0</v>
      </c>
      <c r="AO12" s="18">
        <f>IFERROR($AR12*SUM($AS$2:AS12)-SUMPRODUCT($AR$2:AR12,$AS$2:AS12),"")</f>
        <v>4349350</v>
      </c>
      <c r="AP12" s="18">
        <f>IFERROR(SUMPRODUCT($AR12:AR$26,$AT12:AT$26)-$AR12*SUM($AT12:AT$26),"")</f>
        <v>12299750</v>
      </c>
      <c r="AQ12" s="18">
        <f>IFERROR(($AR12*SUM(AS$2:$AS12)-SUMPRODUCT($AR$2:AR12,$AS$2:AS12))+(SUMPRODUCT($AR12:AR$26,$AT12:AT$26)-$AR12*SUM($AT12:AT$26)),"")</f>
        <v>16649100</v>
      </c>
      <c r="AR12" s="18">
        <f t="shared" si="0"/>
        <v>15050</v>
      </c>
      <c r="AS12" s="18">
        <f t="shared" si="10"/>
        <v>6686</v>
      </c>
      <c r="AT12" s="18">
        <f t="shared" si="11"/>
        <v>22850</v>
      </c>
      <c r="AU12" s="18">
        <f t="shared" si="12"/>
        <v>45299</v>
      </c>
      <c r="AV12" s="18">
        <f t="shared" si="13"/>
        <v>256583</v>
      </c>
    </row>
    <row r="13" spans="1:48" x14ac:dyDescent="0.35">
      <c r="A13" s="56" t="s">
        <v>78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9075</v>
      </c>
      <c r="M13" s="58">
        <v>0</v>
      </c>
      <c r="N13" s="58">
        <v>15143.3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IF($AD$1*1=$C$1:$C$2018*1, COUNTIF($AD$1:$AD12, $A$1:$A$2000), ""), 0)),"")</f>
        <v>166</v>
      </c>
      <c r="AE13" s="57">
        <f t="shared" si="1"/>
        <v>12700</v>
      </c>
      <c r="AF13" s="18">
        <f t="shared" si="2"/>
        <v>0</v>
      </c>
      <c r="AG13" s="18">
        <f t="shared" si="3"/>
        <v>0</v>
      </c>
      <c r="AH13" s="18">
        <f t="shared" si="4"/>
        <v>0</v>
      </c>
      <c r="AI13" s="18">
        <f t="shared" si="5"/>
        <v>0</v>
      </c>
      <c r="AJ13" s="18">
        <f t="shared" si="6"/>
        <v>0.15</v>
      </c>
      <c r="AK13" s="18">
        <f t="shared" si="7"/>
        <v>170</v>
      </c>
      <c r="AL13" s="18">
        <f t="shared" si="8"/>
        <v>653</v>
      </c>
      <c r="AM13" s="18">
        <f t="shared" si="9"/>
        <v>930</v>
      </c>
      <c r="AO13" s="18">
        <f>IFERROR($AR13*SUM($AS$2:AS13)-SUMPRODUCT($AR$2:AR13,$AS$2:AS13),"")</f>
        <v>6623400</v>
      </c>
      <c r="AP13" s="18">
        <f>IFERROR(SUMPRODUCT($AR13:AR$26,$AT13:AT$26)-$AR13*SUM($AT13:AT$26),"")</f>
        <v>6446450</v>
      </c>
      <c r="AQ13" s="18">
        <f>IFERROR(($AR13*SUM(AS$2:$AS13)-SUMPRODUCT($AR$2:AR13,$AS$2:AS13))+(SUMPRODUCT($AR13:AR$26,$AT13:AT$26)-$AR13*SUM($AT13:AT$26)),"")</f>
        <v>13069850</v>
      </c>
      <c r="AR13" s="18">
        <f>IFERROR(AR14-50,"")</f>
        <v>15100</v>
      </c>
      <c r="AS13" s="18">
        <f t="shared" si="10"/>
        <v>51668</v>
      </c>
      <c r="AT13" s="18">
        <f t="shared" si="11"/>
        <v>57019</v>
      </c>
      <c r="AU13" s="18">
        <f t="shared" si="12"/>
        <v>276510</v>
      </c>
      <c r="AV13" s="18">
        <f t="shared" si="13"/>
        <v>747327</v>
      </c>
    </row>
    <row r="14" spans="1:48" x14ac:dyDescent="0.35">
      <c r="A14" s="56" t="s">
        <v>79</v>
      </c>
      <c r="B14" s="58">
        <v>8500</v>
      </c>
      <c r="C14" s="58" t="s">
        <v>26</v>
      </c>
      <c r="D14" s="58">
        <v>749</v>
      </c>
      <c r="E14" s="58">
        <v>-1</v>
      </c>
      <c r="F14" s="58">
        <v>-0.13333333333333333</v>
      </c>
      <c r="G14" s="58">
        <v>24</v>
      </c>
      <c r="H14" s="58">
        <v>94.69</v>
      </c>
      <c r="I14" s="58">
        <v>0.75</v>
      </c>
      <c r="J14" s="58">
        <v>-0.15000000000000002</v>
      </c>
      <c r="K14" s="58">
        <v>-16.666666666666668</v>
      </c>
      <c r="L14" s="58">
        <v>41250</v>
      </c>
      <c r="M14" s="58">
        <v>13125</v>
      </c>
      <c r="N14" s="58">
        <v>15143.3</v>
      </c>
      <c r="O14" s="58">
        <v>8500</v>
      </c>
      <c r="P14" s="58" t="s">
        <v>26</v>
      </c>
      <c r="Q14" s="58">
        <v>6186</v>
      </c>
      <c r="R14" s="58">
        <v>0</v>
      </c>
      <c r="S14" s="58">
        <v>0</v>
      </c>
      <c r="T14" s="58">
        <v>1</v>
      </c>
      <c r="U14" s="58">
        <v>144.49</v>
      </c>
      <c r="V14" s="58">
        <v>6700</v>
      </c>
      <c r="W14" s="58">
        <v>95</v>
      </c>
      <c r="X14" s="58">
        <v>1.4383043149129449</v>
      </c>
      <c r="Y14" s="58">
        <v>7200</v>
      </c>
      <c r="Z14" s="58">
        <v>7500</v>
      </c>
      <c r="AA14" s="58">
        <v>15143.3</v>
      </c>
      <c r="AD14" s="18" t="str">
        <f t="array" ref="AD14">IFERROR(INDEX($A$1:$A$2000, MATCH(0, IF($AD$1*1=$C$1:$C$2018*1, COUNTIF($AD$1:$AD13, $A$1:$A$2000), ""), 0)),"")</f>
        <v>173</v>
      </c>
      <c r="AE14" s="57">
        <f t="shared" si="1"/>
        <v>12750</v>
      </c>
      <c r="AF14" s="18">
        <f t="shared" si="2"/>
        <v>0</v>
      </c>
      <c r="AG14" s="18">
        <f t="shared" si="3"/>
        <v>0</v>
      </c>
      <c r="AH14" s="18">
        <f t="shared" si="4"/>
        <v>0</v>
      </c>
      <c r="AI14" s="18">
        <f t="shared" si="5"/>
        <v>0</v>
      </c>
      <c r="AJ14" s="18">
        <f t="shared" si="6"/>
        <v>0.1</v>
      </c>
      <c r="AK14" s="18">
        <f t="shared" si="7"/>
        <v>1</v>
      </c>
      <c r="AL14" s="18">
        <f t="shared" si="8"/>
        <v>10</v>
      </c>
      <c r="AM14" s="18">
        <f t="shared" si="9"/>
        <v>1630</v>
      </c>
      <c r="AO14" s="18">
        <f>IFERROR($AR14*SUM($AS$2:AS14)-SUMPRODUCT($AR$2:AR14,$AS$2:AS14),"")</f>
        <v>11480850</v>
      </c>
      <c r="AP14" s="18">
        <f>IFERROR(SUMPRODUCT($AR14:AR$26,$AT14:AT$26)-$AR14*SUM($AT14:AT$26),"")</f>
        <v>3444100</v>
      </c>
      <c r="AQ14" s="18">
        <f>IFERROR(($AR14*SUM(AS$2:$AS14)-SUMPRODUCT($AR$2:AR14,$AS$2:AS14))+(SUMPRODUCT($AR14:AR$26,$AT14:AT$26)-$AR14*SUM($AT14:AT$26)),"")</f>
        <v>14924950</v>
      </c>
      <c r="AR14" s="18">
        <f>IFERROR($AC$3,"")</f>
        <v>15150</v>
      </c>
      <c r="AS14" s="18">
        <f t="shared" si="10"/>
        <v>35663</v>
      </c>
      <c r="AT14" s="18">
        <f t="shared" si="11"/>
        <v>24710</v>
      </c>
      <c r="AU14" s="18">
        <f t="shared" si="12"/>
        <v>303774</v>
      </c>
      <c r="AV14" s="18">
        <f t="shared" si="13"/>
        <v>470229</v>
      </c>
    </row>
    <row r="15" spans="1:48" x14ac:dyDescent="0.35">
      <c r="A15" s="56" t="s">
        <v>80</v>
      </c>
      <c r="B15" s="58">
        <v>8500</v>
      </c>
      <c r="C15" s="58" t="s">
        <v>28</v>
      </c>
      <c r="D15" s="58">
        <v>1557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1575</v>
      </c>
      <c r="M15" s="58">
        <v>75</v>
      </c>
      <c r="N15" s="58">
        <v>15143.3</v>
      </c>
      <c r="O15" s="58">
        <v>0</v>
      </c>
      <c r="P15" s="58">
        <v>0</v>
      </c>
      <c r="Q15" s="58">
        <v>0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0</v>
      </c>
      <c r="Z15" s="58">
        <v>0</v>
      </c>
      <c r="AA15" s="58">
        <v>0</v>
      </c>
      <c r="AD15" s="18" t="str">
        <f t="array" ref="AD15">IFERROR(INDEX($A$1:$A$2000, MATCH(0, IF($AD$1*1=$C$1:$C$2018*1, COUNTIF($AD$1:$AD14, $A$1:$A$2000), ""), 0)),"")</f>
        <v>179</v>
      </c>
      <c r="AE15" s="57">
        <f t="shared" si="1"/>
        <v>12800</v>
      </c>
      <c r="AF15" s="18">
        <f t="shared" si="2"/>
        <v>0</v>
      </c>
      <c r="AG15" s="18">
        <f t="shared" si="3"/>
        <v>0</v>
      </c>
      <c r="AH15" s="18">
        <f t="shared" si="4"/>
        <v>0</v>
      </c>
      <c r="AI15" s="18">
        <f t="shared" si="5"/>
        <v>0</v>
      </c>
      <c r="AJ15" s="18">
        <f t="shared" si="6"/>
        <v>0.2</v>
      </c>
      <c r="AK15" s="18">
        <f t="shared" si="7"/>
        <v>173</v>
      </c>
      <c r="AL15" s="18">
        <f t="shared" si="8"/>
        <v>911</v>
      </c>
      <c r="AM15" s="18">
        <f t="shared" si="9"/>
        <v>642</v>
      </c>
      <c r="AO15" s="18">
        <f>IFERROR($AR15*SUM($AS$2:AS15)-SUMPRODUCT($AR$2:AR15,$AS$2:AS15),"")</f>
        <v>18121450</v>
      </c>
      <c r="AP15" s="18">
        <f>IFERROR(SUMPRODUCT($AR15:AR$26,$AT15:AT$26)-$AR15*SUM($AT15:AT$26),"")</f>
        <v>1677250</v>
      </c>
      <c r="AQ15" s="18">
        <f>IFERROR(($AR15*SUM(AS$2:$AS15)-SUMPRODUCT($AR$2:AR15,$AS$2:AS15))+(SUMPRODUCT($AR15:AR$26,$AT15:AT$26)-$AR15*SUM($AT15:AT$26)),"")</f>
        <v>19798700</v>
      </c>
      <c r="AR15" s="18">
        <f>IFERROR(AR14+50,"")</f>
        <v>15200</v>
      </c>
      <c r="AS15" s="18">
        <f t="shared" si="10"/>
        <v>94526</v>
      </c>
      <c r="AT15" s="18">
        <f t="shared" si="11"/>
        <v>23488</v>
      </c>
      <c r="AU15" s="18">
        <f t="shared" si="12"/>
        <v>839287</v>
      </c>
      <c r="AV15" s="18">
        <f t="shared" si="13"/>
        <v>515451</v>
      </c>
    </row>
    <row r="16" spans="1:48" x14ac:dyDescent="0.35">
      <c r="A16" s="56" t="s">
        <v>81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4800</v>
      </c>
      <c r="M16" s="58">
        <v>0</v>
      </c>
      <c r="N16" s="58">
        <v>15139.55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IF($AD$1*1=$C$1:$C$2018*1, COUNTIF($AD$1:$AD15, $A$1:$A$2000), ""), 0)),"")</f>
        <v>183</v>
      </c>
      <c r="AE16" s="57">
        <f t="shared" si="1"/>
        <v>12850</v>
      </c>
      <c r="AF16" s="18">
        <f t="shared" si="2"/>
        <v>0</v>
      </c>
      <c r="AG16" s="18">
        <f t="shared" si="3"/>
        <v>0</v>
      </c>
      <c r="AH16" s="18">
        <f t="shared" si="4"/>
        <v>0</v>
      </c>
      <c r="AI16" s="18">
        <f t="shared" si="5"/>
        <v>0</v>
      </c>
      <c r="AJ16" s="18">
        <f t="shared" si="6"/>
        <v>0.1</v>
      </c>
      <c r="AK16" s="18">
        <f t="shared" si="7"/>
        <v>0</v>
      </c>
      <c r="AL16" s="18">
        <f t="shared" si="8"/>
        <v>0</v>
      </c>
      <c r="AM16" s="18">
        <f t="shared" si="9"/>
        <v>640</v>
      </c>
      <c r="AO16" s="18">
        <f>IFERROR($AR16*SUM($AS$2:AS16)-SUMPRODUCT($AR$2:AR16,$AS$2:AS16),"")</f>
        <v>29488350</v>
      </c>
      <c r="AP16" s="18">
        <f>IFERROR(SUMPRODUCT($AR16:AR$26,$AT16:AT$26)-$AR16*SUM($AT16:AT$26),"")</f>
        <v>1084800</v>
      </c>
      <c r="AQ16" s="18">
        <f>IFERROR(($AR16*SUM(AS$2:$AS16)-SUMPRODUCT($AR$2:AR16,$AS$2:AS16))+(SUMPRODUCT($AR16:AR$26,$AT16:AT$26)-$AR16*SUM($AT16:AT$26)),"")</f>
        <v>30573150</v>
      </c>
      <c r="AR16" s="18">
        <f t="shared" ref="AR16:AR26" si="14">IFERROR(AR15+50,"")</f>
        <v>15250</v>
      </c>
      <c r="AS16" s="18">
        <f t="shared" si="10"/>
        <v>49659</v>
      </c>
      <c r="AT16" s="18">
        <f t="shared" si="11"/>
        <v>4152</v>
      </c>
      <c r="AU16" s="18">
        <f t="shared" si="12"/>
        <v>546298</v>
      </c>
      <c r="AV16" s="18">
        <f t="shared" si="13"/>
        <v>114626</v>
      </c>
    </row>
    <row r="17" spans="1:48" x14ac:dyDescent="0.35">
      <c r="A17" s="56" t="s">
        <v>82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15139.55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IF($AD$1*1=$C$1:$C$2018*1, COUNTIF($AD$1:$AD16, $A$1:$A$2000), ""), 0)),"")</f>
        <v>190</v>
      </c>
      <c r="AE17" s="57">
        <f t="shared" si="1"/>
        <v>12900</v>
      </c>
      <c r="AF17" s="18">
        <f t="shared" si="2"/>
        <v>0</v>
      </c>
      <c r="AG17" s="18">
        <f t="shared" si="3"/>
        <v>0</v>
      </c>
      <c r="AH17" s="18">
        <f t="shared" si="4"/>
        <v>0</v>
      </c>
      <c r="AI17" s="18">
        <f t="shared" si="5"/>
        <v>0</v>
      </c>
      <c r="AJ17" s="18">
        <f t="shared" si="6"/>
        <v>0.2</v>
      </c>
      <c r="AK17" s="18">
        <f t="shared" si="7"/>
        <v>130</v>
      </c>
      <c r="AL17" s="18">
        <f t="shared" si="8"/>
        <v>455</v>
      </c>
      <c r="AM17" s="18">
        <f t="shared" si="9"/>
        <v>1238</v>
      </c>
      <c r="AO17" s="18">
        <f>IFERROR($AR17*SUM($AS$2:AS17)-SUMPRODUCT($AR$2:AR17,$AS$2:AS17),"")</f>
        <v>43338200</v>
      </c>
      <c r="AP17" s="18">
        <f>IFERROR(SUMPRODUCT($AR17:AR$26,$AT17:AT$26)-$AR17*SUM($AT17:AT$26),"")</f>
        <v>699950</v>
      </c>
      <c r="AQ17" s="18">
        <f>IFERROR(($AR17*SUM(AS$2:$AS17)-SUMPRODUCT($AR$2:AR17,$AS$2:AS17))+(SUMPRODUCT($AR17:AR$26,$AT17:AT$26)-$AR17*SUM($AT17:AT$26)),"")</f>
        <v>44038150</v>
      </c>
      <c r="AR17" s="18">
        <f t="shared" si="14"/>
        <v>15300</v>
      </c>
      <c r="AS17" s="18">
        <f t="shared" si="10"/>
        <v>77859</v>
      </c>
      <c r="AT17" s="18">
        <f t="shared" si="11"/>
        <v>3442</v>
      </c>
      <c r="AU17" s="18">
        <f t="shared" si="12"/>
        <v>841295</v>
      </c>
      <c r="AV17" s="18">
        <f t="shared" si="13"/>
        <v>77690</v>
      </c>
    </row>
    <row r="18" spans="1:48" x14ac:dyDescent="0.35">
      <c r="A18" s="56" t="s">
        <v>83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75</v>
      </c>
      <c r="M18" s="58">
        <v>75</v>
      </c>
      <c r="N18" s="58">
        <v>15139.55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IF($AD$1*1=$C$1:$C$2018*1, COUNTIF($AD$1:$AD17, $A$1:$A$2000), ""), 0)),"")</f>
        <v>192</v>
      </c>
      <c r="AE18" s="57">
        <f t="shared" si="1"/>
        <v>12950</v>
      </c>
      <c r="AF18" s="18">
        <f t="shared" si="2"/>
        <v>0</v>
      </c>
      <c r="AG18" s="18">
        <f t="shared" si="3"/>
        <v>0</v>
      </c>
      <c r="AH18" s="18">
        <f t="shared" si="4"/>
        <v>0</v>
      </c>
      <c r="AI18" s="18">
        <f t="shared" si="5"/>
        <v>0</v>
      </c>
      <c r="AJ18" s="18">
        <f t="shared" si="6"/>
        <v>0.05</v>
      </c>
      <c r="AK18" s="18">
        <f t="shared" si="7"/>
        <v>0</v>
      </c>
      <c r="AL18" s="18">
        <f t="shared" si="8"/>
        <v>0</v>
      </c>
      <c r="AM18" s="18">
        <f t="shared" si="9"/>
        <v>3</v>
      </c>
      <c r="AO18" s="18">
        <f>IFERROR($AR18*SUM($AS$2:AS18)-SUMPRODUCT($AR$2:AR18,$AS$2:AS18),"")</f>
        <v>61081000</v>
      </c>
      <c r="AP18" s="18">
        <f>IFERROR(SUMPRODUCT($AR18:AR$26,$AT18:AT$26)-$AR18*SUM($AT18:AT$26),"")</f>
        <v>487200</v>
      </c>
      <c r="AQ18" s="18">
        <f>IFERROR(($AR18*SUM(AS$2:$AS18)-SUMPRODUCT($AR$2:AR18,$AS$2:AS18))+(SUMPRODUCT($AR18:AR$26,$AT18:AT$26)-$AR18*SUM($AT18:AT$26)),"")</f>
        <v>61568200</v>
      </c>
      <c r="AR18" s="18">
        <f t="shared" si="14"/>
        <v>15350</v>
      </c>
      <c r="AS18" s="18">
        <f t="shared" si="10"/>
        <v>34488</v>
      </c>
      <c r="AT18" s="18">
        <f t="shared" si="11"/>
        <v>710</v>
      </c>
      <c r="AU18" s="18">
        <f t="shared" si="12"/>
        <v>289816</v>
      </c>
      <c r="AV18" s="18">
        <f t="shared" si="13"/>
        <v>5342</v>
      </c>
    </row>
    <row r="19" spans="1:48" x14ac:dyDescent="0.35">
      <c r="A19" s="56" t="s">
        <v>84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15139.55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IF($AD$1*1=$C$1:$C$2018*1, COUNTIF($AD$1:$AD18, $A$1:$A$2000), ""), 0)),"")</f>
        <v>202</v>
      </c>
      <c r="AE19" s="57">
        <f t="shared" si="1"/>
        <v>13000</v>
      </c>
      <c r="AF19" s="18">
        <f t="shared" si="2"/>
        <v>0</v>
      </c>
      <c r="AG19" s="18">
        <f t="shared" si="3"/>
        <v>0</v>
      </c>
      <c r="AH19" s="18">
        <f t="shared" si="4"/>
        <v>4</v>
      </c>
      <c r="AI19" s="18">
        <f t="shared" si="5"/>
        <v>0</v>
      </c>
      <c r="AJ19" s="18">
        <f t="shared" si="6"/>
        <v>0.15</v>
      </c>
      <c r="AK19" s="18">
        <f t="shared" si="7"/>
        <v>-605</v>
      </c>
      <c r="AL19" s="18">
        <f t="shared" si="8"/>
        <v>11881</v>
      </c>
      <c r="AM19" s="18">
        <f t="shared" si="9"/>
        <v>3187</v>
      </c>
      <c r="AO19" s="18">
        <f>IFERROR($AR19*SUM($AS$2:AS19)-SUMPRODUCT($AR$2:AR19,$AS$2:AS19),"")</f>
        <v>80548200</v>
      </c>
      <c r="AP19" s="18">
        <f>IFERROR(SUMPRODUCT($AR19:AR$26,$AT19:AT$26)-$AR19*SUM($AT19:AT$26),"")</f>
        <v>309950</v>
      </c>
      <c r="AQ19" s="18">
        <f>IFERROR(($AR19*SUM(AS$2:$AS19)-SUMPRODUCT($AR$2:AR19,$AS$2:AS19))+(SUMPRODUCT($AR19:AR$26,$AT19:AT$26)-$AR19*SUM($AT19:AT$26)),"")</f>
        <v>80858150</v>
      </c>
      <c r="AR19" s="18">
        <f t="shared" si="14"/>
        <v>15400</v>
      </c>
      <c r="AS19" s="18">
        <f t="shared" si="10"/>
        <v>51437</v>
      </c>
      <c r="AT19" s="18">
        <f t="shared" si="11"/>
        <v>756</v>
      </c>
      <c r="AU19" s="18">
        <f t="shared" si="12"/>
        <v>308339</v>
      </c>
      <c r="AV19" s="18">
        <f t="shared" si="13"/>
        <v>7810</v>
      </c>
    </row>
    <row r="20" spans="1:48" x14ac:dyDescent="0.35">
      <c r="A20" s="56" t="s">
        <v>85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15139.55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IF($AD$1*1=$C$1:$C$2018*1, COUNTIF($AD$1:$AD19, $A$1:$A$2000), ""), 0)),"")</f>
        <v>205</v>
      </c>
      <c r="AE20" s="57">
        <f t="shared" si="1"/>
        <v>13050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0.25</v>
      </c>
      <c r="AK20" s="18">
        <f t="shared" si="7"/>
        <v>31</v>
      </c>
      <c r="AL20" s="18">
        <f t="shared" si="8"/>
        <v>54</v>
      </c>
      <c r="AM20" s="18">
        <f t="shared" si="9"/>
        <v>54</v>
      </c>
      <c r="AO20" s="18">
        <f>IFERROR($AR20*SUM($AS$2:AS20)-SUMPRODUCT($AR$2:AR20,$AS$2:AS20),"")</f>
        <v>102587250</v>
      </c>
      <c r="AP20" s="18">
        <f>IFERROR(SUMPRODUCT($AR20:AR$26,$AT20:AT$26)-$AR20*SUM($AT20:AT$26),"")</f>
        <v>170500</v>
      </c>
      <c r="AQ20" s="18">
        <f>IFERROR(($AR20*SUM(AS$2:$AS20)-SUMPRODUCT($AR$2:AR20,$AS$2:AS20))+(SUMPRODUCT($AR20:AR$26,$AT20:AT$26)-$AR20*SUM($AT20:AT$26)),"")</f>
        <v>102757750</v>
      </c>
      <c r="AR20" s="18">
        <f t="shared" si="14"/>
        <v>15450</v>
      </c>
      <c r="AS20" s="18">
        <f t="shared" si="10"/>
        <v>15506</v>
      </c>
      <c r="AT20" s="18">
        <f t="shared" si="11"/>
        <v>277</v>
      </c>
      <c r="AU20" s="18">
        <f t="shared" si="12"/>
        <v>78679</v>
      </c>
      <c r="AV20" s="18">
        <f t="shared" si="13"/>
        <v>463</v>
      </c>
    </row>
    <row r="21" spans="1:48" x14ac:dyDescent="0.35">
      <c r="A21" s="56" t="s">
        <v>86</v>
      </c>
      <c r="B21" s="58">
        <v>9000</v>
      </c>
      <c r="C21" s="58" t="s">
        <v>28</v>
      </c>
      <c r="D21" s="58">
        <v>5214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825</v>
      </c>
      <c r="M21" s="58">
        <v>450</v>
      </c>
      <c r="N21" s="58">
        <v>15139.55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IF($AD$1*1=$C$1:$C$2018*1, COUNTIF($AD$1:$AD20, $A$1:$A$2000), ""), 0)),"")</f>
        <v>220</v>
      </c>
      <c r="AE21" s="57">
        <f t="shared" si="1"/>
        <v>13100</v>
      </c>
      <c r="AF21" s="18">
        <f t="shared" si="2"/>
        <v>0</v>
      </c>
      <c r="AG21" s="18">
        <f t="shared" si="3"/>
        <v>0</v>
      </c>
      <c r="AH21" s="18">
        <f t="shared" si="4"/>
        <v>0</v>
      </c>
      <c r="AI21" s="18">
        <f t="shared" si="5"/>
        <v>0</v>
      </c>
      <c r="AJ21" s="18">
        <f t="shared" si="6"/>
        <v>0.1</v>
      </c>
      <c r="AK21" s="18">
        <f t="shared" si="7"/>
        <v>242</v>
      </c>
      <c r="AL21" s="18">
        <f t="shared" si="8"/>
        <v>1256</v>
      </c>
      <c r="AM21" s="18">
        <f t="shared" si="9"/>
        <v>730</v>
      </c>
      <c r="AO21" s="18">
        <f>IFERROR($AR21*SUM($AS$2:AS21)-SUMPRODUCT($AR$2:AR21,$AS$2:AS21),"")</f>
        <v>125401600</v>
      </c>
      <c r="AP21" s="18">
        <f>IFERROR(SUMPRODUCT($AR21:AR$26,$AT21:AT$26)-$AR21*SUM($AT21:AT$26),"")</f>
        <v>44900</v>
      </c>
      <c r="AQ21" s="18">
        <f>IFERROR(($AR21*SUM(AS$2:$AS21)-SUMPRODUCT($AR$2:AR21,$AS$2:AS21))+(SUMPRODUCT($AR21:AR$26,$AT21:AT$26)-$AR21*SUM($AT21:AT$26)),"")</f>
        <v>125446500</v>
      </c>
      <c r="AR21" s="18">
        <f t="shared" si="14"/>
        <v>15500</v>
      </c>
      <c r="AS21" s="18">
        <f t="shared" si="10"/>
        <v>82046</v>
      </c>
      <c r="AT21" s="18">
        <f t="shared" si="11"/>
        <v>2125</v>
      </c>
      <c r="AU21" s="18">
        <f t="shared" si="12"/>
        <v>247584</v>
      </c>
      <c r="AV21" s="18">
        <f t="shared" si="13"/>
        <v>1549</v>
      </c>
    </row>
    <row r="22" spans="1:48" x14ac:dyDescent="0.35">
      <c r="A22" s="56" t="s">
        <v>87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6525</v>
      </c>
      <c r="M22" s="58">
        <v>0</v>
      </c>
      <c r="N22" s="58">
        <v>15139.55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IF($AD$1*1=$C$1:$C$2018*1, COUNTIF($AD$1:$AD21, $A$1:$A$2000), ""), 0)),"")</f>
        <v>226</v>
      </c>
      <c r="AE22" s="57">
        <f t="shared" si="1"/>
        <v>13150</v>
      </c>
      <c r="AF22" s="18">
        <f t="shared" si="2"/>
        <v>0</v>
      </c>
      <c r="AG22" s="18">
        <f t="shared" si="3"/>
        <v>0</v>
      </c>
      <c r="AH22" s="18">
        <f t="shared" si="4"/>
        <v>0</v>
      </c>
      <c r="AI22" s="18">
        <f t="shared" si="5"/>
        <v>0</v>
      </c>
      <c r="AJ22" s="18">
        <f t="shared" si="6"/>
        <v>0.1</v>
      </c>
      <c r="AK22" s="18">
        <f t="shared" si="7"/>
        <v>65</v>
      </c>
      <c r="AL22" s="18">
        <f t="shared" si="8"/>
        <v>165</v>
      </c>
      <c r="AM22" s="18">
        <f t="shared" si="9"/>
        <v>245</v>
      </c>
      <c r="AO22" s="18">
        <f>IFERROR($AR22*SUM($AS$2:AS22)-SUMPRODUCT($AR$2:AR22,$AS$2:AS22),"")</f>
        <v>152318250</v>
      </c>
      <c r="AP22" s="18">
        <f>IFERROR(SUMPRODUCT($AR22:AR$26,$AT22:AT$26)-$AR22*SUM($AT22:AT$26),"")</f>
        <v>25550</v>
      </c>
      <c r="AQ22" s="18">
        <f>IFERROR(($AR22*SUM(AS$2:$AS22)-SUMPRODUCT($AR$2:AR22,$AS$2:AS22))+(SUMPRODUCT($AR22:AR$26,$AT22:AT$26)-$AR22*SUM($AT22:AT$26)),"")</f>
        <v>152343800</v>
      </c>
      <c r="AR22" s="18">
        <f t="shared" si="14"/>
        <v>15550</v>
      </c>
      <c r="AS22" s="18">
        <f t="shared" si="10"/>
        <v>10712</v>
      </c>
      <c r="AT22" s="18">
        <f t="shared" si="11"/>
        <v>29</v>
      </c>
      <c r="AU22" s="18">
        <f t="shared" si="12"/>
        <v>25424</v>
      </c>
      <c r="AV22" s="18">
        <f t="shared" si="13"/>
        <v>23</v>
      </c>
    </row>
    <row r="23" spans="1:48" x14ac:dyDescent="0.35">
      <c r="A23" s="56" t="s">
        <v>88</v>
      </c>
      <c r="B23" s="58">
        <v>9000</v>
      </c>
      <c r="C23" s="58" t="s">
        <v>26</v>
      </c>
      <c r="D23" s="58">
        <v>2710</v>
      </c>
      <c r="E23" s="58">
        <v>-20</v>
      </c>
      <c r="F23" s="58">
        <v>-0.73260073260073255</v>
      </c>
      <c r="G23" s="58">
        <v>99</v>
      </c>
      <c r="H23" s="58">
        <v>85.41</v>
      </c>
      <c r="I23" s="58">
        <v>0.7</v>
      </c>
      <c r="J23" s="58">
        <v>-0.60000000000000009</v>
      </c>
      <c r="K23" s="58">
        <v>-46.153846153846153</v>
      </c>
      <c r="L23" s="58">
        <v>51300</v>
      </c>
      <c r="M23" s="58">
        <v>22125</v>
      </c>
      <c r="N23" s="58">
        <v>15143.3</v>
      </c>
      <c r="O23" s="58">
        <v>9000</v>
      </c>
      <c r="P23" s="58" t="s">
        <v>26</v>
      </c>
      <c r="Q23" s="58">
        <v>94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7425</v>
      </c>
      <c r="Z23" s="58">
        <v>7500</v>
      </c>
      <c r="AA23" s="58">
        <v>15143.3</v>
      </c>
      <c r="AD23" s="18" t="str">
        <f t="array" ref="AD23">IFERROR(INDEX($A$1:$A$2000, MATCH(0, IF($AD$1*1=$C$1:$C$2018*1, COUNTIF($AD$1:$AD22, $A$1:$A$2000), ""), 0)),"")</f>
        <v>238</v>
      </c>
      <c r="AE23" s="57">
        <f t="shared" si="1"/>
        <v>13200</v>
      </c>
      <c r="AF23" s="18">
        <f t="shared" si="2"/>
        <v>0</v>
      </c>
      <c r="AG23" s="18">
        <f t="shared" si="3"/>
        <v>0</v>
      </c>
      <c r="AH23" s="18">
        <f t="shared" si="4"/>
        <v>0</v>
      </c>
      <c r="AI23" s="18">
        <f t="shared" si="5"/>
        <v>0</v>
      </c>
      <c r="AJ23" s="18">
        <f t="shared" si="6"/>
        <v>0.15</v>
      </c>
      <c r="AK23" s="18">
        <f t="shared" si="7"/>
        <v>70</v>
      </c>
      <c r="AL23" s="18">
        <f t="shared" si="8"/>
        <v>1181</v>
      </c>
      <c r="AM23" s="18">
        <f t="shared" si="9"/>
        <v>791</v>
      </c>
      <c r="AO23" s="18">
        <f>IFERROR($AR23*SUM($AS$2:AS23)-SUMPRODUCT($AR$2:AR23,$AS$2:AS23),"")</f>
        <v>179770500</v>
      </c>
      <c r="AP23" s="18">
        <f>IFERROR(SUMPRODUCT($AR23:AR$26,$AT23:AT$26)-$AR23*SUM($AT23:AT$26),"")</f>
        <v>7650</v>
      </c>
      <c r="AQ23" s="18">
        <f>IFERROR(($AR23*SUM(AS$2:$AS23)-SUMPRODUCT($AR$2:AR23,$AS$2:AS23))+(SUMPRODUCT($AR23:AR$26,$AT23:AT$26)-$AR23*SUM($AT23:AT$26)),"")</f>
        <v>179778150</v>
      </c>
      <c r="AR23" s="18">
        <f t="shared" si="14"/>
        <v>15600</v>
      </c>
      <c r="AS23" s="18">
        <f t="shared" si="10"/>
        <v>40165</v>
      </c>
      <c r="AT23" s="18">
        <f t="shared" si="11"/>
        <v>273</v>
      </c>
      <c r="AU23" s="18">
        <f t="shared" si="12"/>
        <v>79168</v>
      </c>
      <c r="AV23" s="18">
        <f t="shared" si="13"/>
        <v>490</v>
      </c>
    </row>
    <row r="24" spans="1:48" x14ac:dyDescent="0.35">
      <c r="A24" s="56" t="s">
        <v>89</v>
      </c>
      <c r="B24" s="58">
        <v>9000</v>
      </c>
      <c r="C24" s="58" t="s">
        <v>29</v>
      </c>
      <c r="D24" s="58">
        <v>66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12150</v>
      </c>
      <c r="M24" s="58">
        <v>0</v>
      </c>
      <c r="N24" s="58">
        <v>15139.55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825</v>
      </c>
      <c r="Z24" s="58">
        <v>225</v>
      </c>
      <c r="AA24" s="58">
        <v>15143.3</v>
      </c>
      <c r="AD24" s="18" t="str">
        <f t="array" ref="AD24">IFERROR(INDEX($A$1:$A$2000, MATCH(0, IF($AD$1*1=$C$1:$C$2018*1, COUNTIF($AD$1:$AD23, $A$1:$A$2000), ""), 0)),"")</f>
        <v>247</v>
      </c>
      <c r="AE24" s="57">
        <f t="shared" si="1"/>
        <v>13250</v>
      </c>
      <c r="AF24" s="18">
        <f t="shared" si="2"/>
        <v>0</v>
      </c>
      <c r="AG24" s="18">
        <f t="shared" si="3"/>
        <v>0</v>
      </c>
      <c r="AH24" s="18">
        <f t="shared" si="4"/>
        <v>0</v>
      </c>
      <c r="AI24" s="18">
        <f t="shared" si="5"/>
        <v>0</v>
      </c>
      <c r="AJ24" s="18">
        <f t="shared" si="6"/>
        <v>0.2</v>
      </c>
      <c r="AK24" s="18">
        <f t="shared" si="7"/>
        <v>45</v>
      </c>
      <c r="AL24" s="18">
        <f t="shared" si="8"/>
        <v>144</v>
      </c>
      <c r="AM24" s="18">
        <f t="shared" si="9"/>
        <v>87</v>
      </c>
      <c r="AO24" s="18">
        <f>IFERROR($AR24*SUM($AS$2:AS24)-SUMPRODUCT($AR$2:AR24,$AS$2:AS24),"")</f>
        <v>209231000</v>
      </c>
      <c r="AP24" s="18">
        <f>IFERROR(SUMPRODUCT($AR24:AR$26,$AT24:AT$26)-$AR24*SUM($AT24:AT$26),"")</f>
        <v>3400</v>
      </c>
      <c r="AQ24" s="18">
        <f>IFERROR(($AR24*SUM(AS$2:$AS24)-SUMPRODUCT($AR$2:AR24,$AS$2:AS24))+(SUMPRODUCT($AR24:AR$26,$AT24:AT$26)-$AR24*SUM($AT24:AT$26)),"")</f>
        <v>209234400</v>
      </c>
      <c r="AR24" s="18">
        <f t="shared" si="14"/>
        <v>15650</v>
      </c>
      <c r="AS24" s="18">
        <f t="shared" si="10"/>
        <v>3894</v>
      </c>
      <c r="AT24" s="18">
        <f t="shared" si="11"/>
        <v>19</v>
      </c>
      <c r="AU24" s="18">
        <f t="shared" si="12"/>
        <v>7491</v>
      </c>
      <c r="AV24" s="18">
        <f t="shared" si="13"/>
        <v>1</v>
      </c>
    </row>
    <row r="25" spans="1:48" x14ac:dyDescent="0.35">
      <c r="A25" s="56" t="s">
        <v>90</v>
      </c>
      <c r="B25" s="58">
        <v>9100</v>
      </c>
      <c r="C25" s="58" t="s">
        <v>27</v>
      </c>
      <c r="D25" s="58">
        <v>181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10200</v>
      </c>
      <c r="M25" s="58">
        <v>0</v>
      </c>
      <c r="N25" s="58">
        <v>15139.55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IF($AD$1*1=$C$1:$C$2018*1, COUNTIF($AD$1:$AD24, $A$1:$A$2000), ""), 0)),"")</f>
        <v>249</v>
      </c>
      <c r="AE25" s="57">
        <f t="shared" si="1"/>
        <v>13300</v>
      </c>
      <c r="AF25" s="18">
        <f t="shared" si="2"/>
        <v>0</v>
      </c>
      <c r="AG25" s="18">
        <f t="shared" si="3"/>
        <v>0</v>
      </c>
      <c r="AH25" s="18">
        <f t="shared" si="4"/>
        <v>0</v>
      </c>
      <c r="AI25" s="18">
        <f t="shared" si="5"/>
        <v>0</v>
      </c>
      <c r="AJ25" s="18">
        <f t="shared" si="6"/>
        <v>0.2</v>
      </c>
      <c r="AK25" s="18">
        <f t="shared" si="7"/>
        <v>-33</v>
      </c>
      <c r="AL25" s="18">
        <f t="shared" si="8"/>
        <v>1521</v>
      </c>
      <c r="AM25" s="18">
        <f t="shared" si="9"/>
        <v>690</v>
      </c>
      <c r="AO25" s="18">
        <f>IFERROR($AR25*SUM($AS$2:AS25)-SUMPRODUCT($AR$2:AR25,$AS$2:AS25),"")</f>
        <v>238886200</v>
      </c>
      <c r="AP25" s="18">
        <f>IFERROR(SUMPRODUCT($AR25:AR$26,$AT25:AT$26)-$AR25*SUM($AT25:AT$26),"")</f>
        <v>100</v>
      </c>
      <c r="AQ25" s="18">
        <f>IFERROR(($AR25*SUM(AS$2:$AS25)-SUMPRODUCT($AR$2:AR25,$AS$2:AS25))+(SUMPRODUCT($AR25:AR$26,$AT25:AT$26)-$AR25*SUM($AT25:AT$26)),"")</f>
        <v>238886300</v>
      </c>
      <c r="AR25" s="18">
        <f t="shared" si="14"/>
        <v>15700</v>
      </c>
      <c r="AS25" s="18">
        <f t="shared" si="10"/>
        <v>26015</v>
      </c>
      <c r="AT25" s="18">
        <f t="shared" si="11"/>
        <v>64</v>
      </c>
      <c r="AU25" s="18">
        <f t="shared" si="12"/>
        <v>72931</v>
      </c>
      <c r="AV25" s="18">
        <f t="shared" si="13"/>
        <v>37</v>
      </c>
    </row>
    <row r="26" spans="1:48" x14ac:dyDescent="0.35">
      <c r="A26" s="56" t="s">
        <v>91</v>
      </c>
      <c r="B26" s="58">
        <v>9100</v>
      </c>
      <c r="C26" s="58" t="s">
        <v>29</v>
      </c>
      <c r="D26" s="58">
        <v>187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3750</v>
      </c>
      <c r="M26" s="58">
        <v>0</v>
      </c>
      <c r="N26" s="58">
        <v>15139.55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IF($AD$1*1=$C$1:$C$2018*1, COUNTIF($AD$1:$AD25, $A$1:$A$2000), ""), 0)),"")</f>
        <v>258</v>
      </c>
      <c r="AE26" s="57">
        <f t="shared" si="1"/>
        <v>13350</v>
      </c>
      <c r="AF26" s="18">
        <f t="shared" si="2"/>
        <v>0</v>
      </c>
      <c r="AG26" s="18">
        <f t="shared" si="3"/>
        <v>0</v>
      </c>
      <c r="AH26" s="18">
        <f t="shared" si="4"/>
        <v>0</v>
      </c>
      <c r="AI26" s="18">
        <f t="shared" si="5"/>
        <v>0</v>
      </c>
      <c r="AJ26" s="18">
        <f t="shared" si="6"/>
        <v>0.2</v>
      </c>
      <c r="AK26" s="18">
        <f t="shared" si="7"/>
        <v>-22</v>
      </c>
      <c r="AL26" s="18">
        <f t="shared" si="8"/>
        <v>51</v>
      </c>
      <c r="AM26" s="18">
        <f t="shared" si="9"/>
        <v>40</v>
      </c>
      <c r="AO26" s="18">
        <f>IFERROR($AR26*SUM($AS$2:AS26)-SUMPRODUCT($AR$2:AR26,$AS$2:AS26),"")</f>
        <v>269842150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269842150</v>
      </c>
      <c r="AR26" s="18">
        <f t="shared" si="14"/>
        <v>15750</v>
      </c>
      <c r="AS26" s="18">
        <f t="shared" si="10"/>
        <v>2476</v>
      </c>
      <c r="AT26" s="18">
        <f t="shared" si="11"/>
        <v>2</v>
      </c>
      <c r="AU26" s="18">
        <f t="shared" si="12"/>
        <v>3345</v>
      </c>
      <c r="AV26" s="18">
        <f t="shared" si="13"/>
        <v>0</v>
      </c>
    </row>
    <row r="27" spans="1:48" x14ac:dyDescent="0.35">
      <c r="A27" s="56" t="s">
        <v>92</v>
      </c>
      <c r="B27" s="58">
        <v>9200</v>
      </c>
      <c r="C27" s="58" t="s">
        <v>27</v>
      </c>
      <c r="D27" s="58">
        <v>72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10200</v>
      </c>
      <c r="M27" s="58">
        <v>0</v>
      </c>
      <c r="N27" s="58">
        <v>15139.55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IF($AD$1*1=$C$1:$C$2018*1, COUNTIF($AD$1:$AD26, $A$1:$A$2000), ""), 0)),"")</f>
        <v>274</v>
      </c>
      <c r="AE27" s="57">
        <f t="shared" si="1"/>
        <v>13400</v>
      </c>
      <c r="AF27" s="18">
        <f t="shared" si="2"/>
        <v>0</v>
      </c>
      <c r="AG27" s="18">
        <f t="shared" si="3"/>
        <v>0</v>
      </c>
      <c r="AH27" s="18">
        <f t="shared" si="4"/>
        <v>0</v>
      </c>
      <c r="AI27" s="18">
        <f t="shared" si="5"/>
        <v>0</v>
      </c>
      <c r="AJ27" s="18">
        <f t="shared" si="6"/>
        <v>0.15</v>
      </c>
      <c r="AK27" s="18">
        <f t="shared" si="7"/>
        <v>63</v>
      </c>
      <c r="AL27" s="18">
        <f t="shared" si="8"/>
        <v>1311</v>
      </c>
      <c r="AM27" s="18">
        <f t="shared" si="9"/>
        <v>983</v>
      </c>
      <c r="AS27" s="19">
        <f>IFERROR(SUM($AS$2:$AS$26),"")</f>
        <v>621595</v>
      </c>
      <c r="AT27" s="19">
        <f>IFERROR(SUM($AT$2:$AT$26),"")</f>
        <v>403401</v>
      </c>
      <c r="AU27" s="19">
        <f>IFERROR(SUM($AU$2:$AU$26),"")</f>
        <v>4077483</v>
      </c>
      <c r="AV27" s="19">
        <f>IFERROR(SUM($AV$2:$AV$26),"")</f>
        <v>3926834</v>
      </c>
    </row>
    <row r="28" spans="1:48" x14ac:dyDescent="0.35">
      <c r="A28" s="56" t="s">
        <v>93</v>
      </c>
      <c r="B28" s="58">
        <v>9200</v>
      </c>
      <c r="C28" s="58" t="s">
        <v>29</v>
      </c>
      <c r="D28" s="58">
        <v>75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3750</v>
      </c>
      <c r="M28" s="58">
        <v>0</v>
      </c>
      <c r="N28" s="58">
        <v>15143.3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IF($AD$1*1=$C$1:$C$2018*1, COUNTIF($AD$1:$AD27, $A$1:$A$2000), ""), 0)),"")</f>
        <v>277</v>
      </c>
      <c r="AE28" s="57">
        <f t="shared" si="1"/>
        <v>13450</v>
      </c>
      <c r="AF28" s="18">
        <f t="shared" si="2"/>
        <v>0</v>
      </c>
      <c r="AG28" s="18">
        <f t="shared" si="3"/>
        <v>0</v>
      </c>
      <c r="AH28" s="18">
        <f t="shared" si="4"/>
        <v>0</v>
      </c>
      <c r="AI28" s="18">
        <f t="shared" si="5"/>
        <v>0</v>
      </c>
      <c r="AJ28" s="18">
        <f t="shared" si="6"/>
        <v>0.1</v>
      </c>
      <c r="AK28" s="18">
        <f t="shared" si="7"/>
        <v>-1</v>
      </c>
      <c r="AL28" s="18">
        <f t="shared" si="8"/>
        <v>31</v>
      </c>
      <c r="AM28" s="18">
        <f t="shared" si="9"/>
        <v>2</v>
      </c>
      <c r="AS28" s="18" t="s">
        <v>57</v>
      </c>
      <c r="AT28" s="20">
        <f>IFERROR($AT$27/$AS$27,"")</f>
        <v>0.64897722793780521</v>
      </c>
      <c r="AU28" s="18" t="s">
        <v>60</v>
      </c>
      <c r="AV28" s="20">
        <f>IFERROR($AV$27/$AU$27,"")</f>
        <v>0.96305343271817445</v>
      </c>
    </row>
    <row r="29" spans="1:48" x14ac:dyDescent="0.35">
      <c r="A29" s="56" t="s">
        <v>94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10050</v>
      </c>
      <c r="M29" s="58">
        <v>0</v>
      </c>
      <c r="N29" s="58">
        <v>15139.55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IF($AD$1*1=$C$1:$C$2018*1, COUNTIF($AD$1:$AD28, $A$1:$A$2000), ""), 0)),"")</f>
        <v>297</v>
      </c>
      <c r="AE29" s="57">
        <f t="shared" si="1"/>
        <v>13500</v>
      </c>
      <c r="AF29" s="18">
        <f t="shared" si="2"/>
        <v>0</v>
      </c>
      <c r="AG29" s="18">
        <f t="shared" si="3"/>
        <v>0</v>
      </c>
      <c r="AH29" s="18">
        <f t="shared" si="4"/>
        <v>4</v>
      </c>
      <c r="AI29" s="18">
        <f t="shared" si="5"/>
        <v>0</v>
      </c>
      <c r="AJ29" s="18">
        <f t="shared" si="6"/>
        <v>0.1</v>
      </c>
      <c r="AK29" s="18">
        <f t="shared" si="7"/>
        <v>-188</v>
      </c>
      <c r="AL29" s="18">
        <f t="shared" si="8"/>
        <v>11908</v>
      </c>
      <c r="AM29" s="18">
        <f t="shared" si="9"/>
        <v>10403</v>
      </c>
    </row>
    <row r="30" spans="1:48" x14ac:dyDescent="0.35">
      <c r="A30" s="56" t="s">
        <v>95</v>
      </c>
      <c r="B30" s="58">
        <v>9500</v>
      </c>
      <c r="C30" s="58" t="s">
        <v>26</v>
      </c>
      <c r="D30" s="58">
        <v>279</v>
      </c>
      <c r="E30" s="58">
        <v>0</v>
      </c>
      <c r="F30" s="58">
        <v>0</v>
      </c>
      <c r="G30" s="58">
        <v>1</v>
      </c>
      <c r="H30" s="58">
        <v>0</v>
      </c>
      <c r="I30" s="58">
        <v>1.5</v>
      </c>
      <c r="J30" s="58">
        <v>0.25</v>
      </c>
      <c r="K30" s="58">
        <v>20</v>
      </c>
      <c r="L30" s="58">
        <v>30225</v>
      </c>
      <c r="M30" s="58">
        <v>11400</v>
      </c>
      <c r="N30" s="58">
        <v>15139.55</v>
      </c>
      <c r="O30" s="58">
        <v>9500</v>
      </c>
      <c r="P30" s="58" t="s">
        <v>26</v>
      </c>
      <c r="Q30" s="58">
        <v>19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7350</v>
      </c>
      <c r="Z30" s="58">
        <v>7725</v>
      </c>
      <c r="AA30" s="58">
        <v>15139.55</v>
      </c>
      <c r="AD30" s="18" t="str">
        <f t="array" ref="AD30">IFERROR(INDEX($A$1:$A$2000, MATCH(0, IF($AD$1*1=$C$1:$C$2018*1, COUNTIF($AD$1:$AD29, $A$1:$A$2000), ""), 0)),"")</f>
        <v>302</v>
      </c>
      <c r="AE30" s="57">
        <f t="shared" si="1"/>
        <v>13550</v>
      </c>
      <c r="AF30" s="18">
        <f t="shared" si="2"/>
        <v>0</v>
      </c>
      <c r="AG30" s="18">
        <f t="shared" si="3"/>
        <v>0</v>
      </c>
      <c r="AH30" s="18">
        <f t="shared" si="4"/>
        <v>0</v>
      </c>
      <c r="AI30" s="18">
        <f t="shared" si="5"/>
        <v>0</v>
      </c>
      <c r="AJ30" s="18">
        <f t="shared" si="6"/>
        <v>0.1</v>
      </c>
      <c r="AK30" s="18">
        <f t="shared" si="7"/>
        <v>11</v>
      </c>
      <c r="AL30" s="18">
        <f t="shared" si="8"/>
        <v>124</v>
      </c>
      <c r="AM30" s="18">
        <f t="shared" si="9"/>
        <v>38</v>
      </c>
    </row>
    <row r="31" spans="1:48" x14ac:dyDescent="0.35">
      <c r="A31" s="56" t="s">
        <v>96</v>
      </c>
      <c r="B31" s="58">
        <v>9500</v>
      </c>
      <c r="C31" s="58" t="s">
        <v>28</v>
      </c>
      <c r="D31" s="58">
        <v>1568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675</v>
      </c>
      <c r="M31" s="58">
        <v>150</v>
      </c>
      <c r="N31" s="58">
        <v>15143.3</v>
      </c>
      <c r="O31" s="58">
        <v>0</v>
      </c>
      <c r="P31" s="58">
        <v>0</v>
      </c>
      <c r="Q31" s="58">
        <v>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0</v>
      </c>
      <c r="Z31" s="58">
        <v>0</v>
      </c>
      <c r="AA31" s="58">
        <v>0</v>
      </c>
      <c r="AD31" s="18" t="str">
        <f t="array" ref="AD31">IFERROR(INDEX($A$1:$A$2000, MATCH(0, IF($AD$1*1=$C$1:$C$2018*1, COUNTIF($AD$1:$AD30, $A$1:$A$2000), ""), 0)),"")</f>
        <v>317</v>
      </c>
      <c r="AE31" s="57">
        <f t="shared" si="1"/>
        <v>13600</v>
      </c>
      <c r="AF31" s="18">
        <f t="shared" si="2"/>
        <v>0</v>
      </c>
      <c r="AG31" s="18">
        <f t="shared" si="3"/>
        <v>0</v>
      </c>
      <c r="AH31" s="18">
        <f t="shared" si="4"/>
        <v>3</v>
      </c>
      <c r="AI31" s="18">
        <f t="shared" si="5"/>
        <v>0</v>
      </c>
      <c r="AJ31" s="18">
        <f t="shared" si="6"/>
        <v>0.1</v>
      </c>
      <c r="AK31" s="18">
        <f t="shared" si="7"/>
        <v>-145</v>
      </c>
      <c r="AL31" s="18">
        <f t="shared" si="8"/>
        <v>2348</v>
      </c>
      <c r="AM31" s="18">
        <f t="shared" si="9"/>
        <v>1314</v>
      </c>
    </row>
    <row r="32" spans="1:48" x14ac:dyDescent="0.35">
      <c r="A32" s="56" t="s">
        <v>97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750</v>
      </c>
      <c r="M32" s="58">
        <v>0</v>
      </c>
      <c r="N32" s="58">
        <v>15143.3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IF($AD$1*1=$C$1:$C$2018*1, COUNTIF($AD$1:$AD31, $A$1:$A$2000), ""), 0)),"")</f>
        <v>322</v>
      </c>
      <c r="AE32" s="57">
        <f t="shared" si="1"/>
        <v>13650</v>
      </c>
      <c r="AF32" s="18">
        <f t="shared" si="2"/>
        <v>0</v>
      </c>
      <c r="AG32" s="18">
        <f t="shared" si="3"/>
        <v>0</v>
      </c>
      <c r="AH32" s="18">
        <f t="shared" si="4"/>
        <v>0</v>
      </c>
      <c r="AI32" s="18">
        <f t="shared" si="5"/>
        <v>0</v>
      </c>
      <c r="AJ32" s="18">
        <f t="shared" si="6"/>
        <v>0.35</v>
      </c>
      <c r="AK32" s="18">
        <f t="shared" si="7"/>
        <v>10</v>
      </c>
      <c r="AL32" s="18">
        <f t="shared" si="8"/>
        <v>134</v>
      </c>
      <c r="AM32" s="18">
        <f t="shared" si="9"/>
        <v>158</v>
      </c>
    </row>
    <row r="33" spans="1:39" x14ac:dyDescent="0.35">
      <c r="A33" s="56" t="s">
        <v>98</v>
      </c>
      <c r="B33" s="58">
        <v>9700</v>
      </c>
      <c r="C33" s="58" t="s">
        <v>29</v>
      </c>
      <c r="D33" s="58">
        <v>45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750</v>
      </c>
      <c r="M33" s="58">
        <v>0</v>
      </c>
      <c r="N33" s="58">
        <v>15143.3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IF($AD$1*1=$C$1:$C$2018*1, COUNTIF($AD$1:$AD32, $A$1:$A$2000), ""), 0)),"")</f>
        <v>337</v>
      </c>
      <c r="AE33" s="57">
        <f t="shared" si="1"/>
        <v>13700</v>
      </c>
      <c r="AF33" s="18">
        <f t="shared" si="2"/>
        <v>0</v>
      </c>
      <c r="AG33" s="18">
        <f t="shared" si="3"/>
        <v>0</v>
      </c>
      <c r="AH33" s="18">
        <f t="shared" si="4"/>
        <v>6</v>
      </c>
      <c r="AI33" s="18">
        <f t="shared" si="5"/>
        <v>0</v>
      </c>
      <c r="AJ33" s="18">
        <f t="shared" si="6"/>
        <v>0.2</v>
      </c>
      <c r="AK33" s="18">
        <f t="shared" si="7"/>
        <v>-180</v>
      </c>
      <c r="AL33" s="18">
        <f t="shared" si="8"/>
        <v>3276</v>
      </c>
      <c r="AM33" s="18">
        <f t="shared" si="9"/>
        <v>1403</v>
      </c>
    </row>
    <row r="34" spans="1:39" x14ac:dyDescent="0.35">
      <c r="A34" s="56" t="s">
        <v>99</v>
      </c>
      <c r="B34" s="58">
        <v>9700</v>
      </c>
      <c r="C34" s="58" t="s">
        <v>28</v>
      </c>
      <c r="D34" s="58">
        <v>41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0</v>
      </c>
      <c r="M34" s="58">
        <v>75</v>
      </c>
      <c r="N34" s="58">
        <v>15143.3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IF($AD$1*1=$C$1:$C$2018*1, COUNTIF($AD$1:$AD33, $A$1:$A$2000), ""), 0)),"")</f>
        <v>348</v>
      </c>
      <c r="AE34" s="57">
        <f t="shared" si="1"/>
        <v>13750</v>
      </c>
      <c r="AF34" s="18">
        <f t="shared" si="2"/>
        <v>0</v>
      </c>
      <c r="AG34" s="18">
        <f t="shared" si="3"/>
        <v>0</v>
      </c>
      <c r="AH34" s="18">
        <f t="shared" si="4"/>
        <v>0</v>
      </c>
      <c r="AI34" s="18">
        <f t="shared" si="5"/>
        <v>0</v>
      </c>
      <c r="AJ34" s="18">
        <f t="shared" si="6"/>
        <v>0.1</v>
      </c>
      <c r="AK34" s="18">
        <f t="shared" si="7"/>
        <v>11</v>
      </c>
      <c r="AL34" s="18">
        <f t="shared" si="8"/>
        <v>225</v>
      </c>
      <c r="AM34" s="18">
        <f t="shared" si="9"/>
        <v>176</v>
      </c>
    </row>
    <row r="35" spans="1:39" x14ac:dyDescent="0.35">
      <c r="A35" s="56" t="s">
        <v>100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75</v>
      </c>
      <c r="N35" s="58">
        <v>15143.3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IF($AD$1*1=$C$1:$C$2018*1, COUNTIF($AD$1:$AD34, $A$1:$A$2000), ""), 0)),"")</f>
        <v>354</v>
      </c>
      <c r="AE35" s="57">
        <f t="shared" si="1"/>
        <v>13800</v>
      </c>
      <c r="AF35" s="18">
        <f t="shared" si="2"/>
        <v>1400.3</v>
      </c>
      <c r="AG35" s="18">
        <f t="shared" si="3"/>
        <v>0</v>
      </c>
      <c r="AH35" s="18">
        <f t="shared" si="4"/>
        <v>14</v>
      </c>
      <c r="AI35" s="18">
        <f t="shared" si="5"/>
        <v>6</v>
      </c>
      <c r="AJ35" s="18">
        <f t="shared" si="6"/>
        <v>0.15</v>
      </c>
      <c r="AK35" s="18">
        <f t="shared" si="7"/>
        <v>-399</v>
      </c>
      <c r="AL35" s="18">
        <f t="shared" si="8"/>
        <v>5431</v>
      </c>
      <c r="AM35" s="18">
        <f t="shared" si="9"/>
        <v>3569</v>
      </c>
    </row>
    <row r="36" spans="1:39" x14ac:dyDescent="0.35">
      <c r="A36" s="56" t="s">
        <v>101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1575</v>
      </c>
      <c r="M36" s="58">
        <v>75</v>
      </c>
      <c r="N36" s="58">
        <v>15143.3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IF($AD$1*1=$C$1:$C$2018*1, COUNTIF($AD$1:$AD35, $A$1:$A$2000), ""), 0)),"")</f>
        <v>367</v>
      </c>
      <c r="AE36" s="57">
        <f t="shared" si="1"/>
        <v>13850</v>
      </c>
      <c r="AF36" s="18">
        <f t="shared" si="2"/>
        <v>0</v>
      </c>
      <c r="AG36" s="18">
        <f t="shared" si="3"/>
        <v>0</v>
      </c>
      <c r="AH36" s="18">
        <f t="shared" si="4"/>
        <v>1</v>
      </c>
      <c r="AI36" s="18">
        <f t="shared" si="5"/>
        <v>0</v>
      </c>
      <c r="AJ36" s="18">
        <f t="shared" si="6"/>
        <v>0.2</v>
      </c>
      <c r="AK36" s="18">
        <f t="shared" si="7"/>
        <v>-15</v>
      </c>
      <c r="AL36" s="18">
        <f t="shared" si="8"/>
        <v>356</v>
      </c>
      <c r="AM36" s="18">
        <f t="shared" si="9"/>
        <v>85</v>
      </c>
    </row>
    <row r="37" spans="1:39" x14ac:dyDescent="0.35">
      <c r="A37" s="56" t="s">
        <v>102</v>
      </c>
      <c r="B37" s="58">
        <v>10000</v>
      </c>
      <c r="C37" s="58" t="s">
        <v>32</v>
      </c>
      <c r="D37" s="58">
        <v>1287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900</v>
      </c>
      <c r="N37" s="58">
        <v>15143.3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IF($AD$1*1=$C$1:$C$2018*1, COUNTIF($AD$1:$AD36, $A$1:$A$2000), ""), 0)),"")</f>
        <v>378</v>
      </c>
      <c r="AE37" s="57">
        <f t="shared" si="1"/>
        <v>13900</v>
      </c>
      <c r="AF37" s="18">
        <f t="shared" si="2"/>
        <v>1284</v>
      </c>
      <c r="AG37" s="18">
        <f t="shared" si="3"/>
        <v>6</v>
      </c>
      <c r="AH37" s="18">
        <f t="shared" si="4"/>
        <v>17</v>
      </c>
      <c r="AI37" s="18">
        <f t="shared" si="5"/>
        <v>31</v>
      </c>
      <c r="AJ37" s="18">
        <f t="shared" si="6"/>
        <v>0.25</v>
      </c>
      <c r="AK37" s="18">
        <f t="shared" si="7"/>
        <v>-593</v>
      </c>
      <c r="AL37" s="18">
        <f t="shared" si="8"/>
        <v>3619</v>
      </c>
      <c r="AM37" s="18">
        <f t="shared" si="9"/>
        <v>3976</v>
      </c>
    </row>
    <row r="38" spans="1:39" x14ac:dyDescent="0.35">
      <c r="A38" s="56" t="s">
        <v>103</v>
      </c>
      <c r="B38" s="58">
        <v>10000</v>
      </c>
      <c r="C38" s="58" t="s">
        <v>28</v>
      </c>
      <c r="D38" s="58">
        <v>2986</v>
      </c>
      <c r="E38" s="58">
        <v>0</v>
      </c>
      <c r="F38" s="58">
        <v>0</v>
      </c>
      <c r="G38" s="58">
        <v>1</v>
      </c>
      <c r="H38" s="58">
        <v>30.99</v>
      </c>
      <c r="I38" s="58">
        <v>158.44999999999999</v>
      </c>
      <c r="J38" s="58">
        <v>-3.6000000000000227</v>
      </c>
      <c r="K38" s="58">
        <v>-2.2215365627892765</v>
      </c>
      <c r="L38" s="58">
        <v>150</v>
      </c>
      <c r="M38" s="58">
        <v>1725</v>
      </c>
      <c r="N38" s="58">
        <v>15139.55</v>
      </c>
      <c r="O38" s="58">
        <v>0</v>
      </c>
      <c r="P38" s="58">
        <v>0</v>
      </c>
      <c r="Q38" s="58">
        <v>0</v>
      </c>
      <c r="R38" s="58">
        <v>0</v>
      </c>
      <c r="S38" s="58">
        <v>0</v>
      </c>
      <c r="T38" s="58">
        <v>0</v>
      </c>
      <c r="U38" s="58">
        <v>0</v>
      </c>
      <c r="V38" s="58">
        <v>0</v>
      </c>
      <c r="W38" s="58">
        <v>0</v>
      </c>
      <c r="X38" s="58">
        <v>0</v>
      </c>
      <c r="Y38" s="58">
        <v>0</v>
      </c>
      <c r="Z38" s="58">
        <v>0</v>
      </c>
      <c r="AA38" s="58">
        <v>0</v>
      </c>
      <c r="AD38" s="18" t="str">
        <f t="array" ref="AD38">IFERROR(INDEX($A$1:$A$2000, MATCH(0, IF($AD$1*1=$C$1:$C$2018*1, COUNTIF($AD$1:$AD37, $A$1:$A$2000), ""), 0)),"")</f>
        <v>381</v>
      </c>
      <c r="AE38" s="57">
        <f t="shared" si="1"/>
        <v>13950</v>
      </c>
      <c r="AF38" s="18">
        <f t="shared" si="2"/>
        <v>1232</v>
      </c>
      <c r="AG38" s="18">
        <f t="shared" si="3"/>
        <v>0</v>
      </c>
      <c r="AH38" s="18">
        <f t="shared" si="4"/>
        <v>3</v>
      </c>
      <c r="AI38" s="18">
        <f t="shared" si="5"/>
        <v>1</v>
      </c>
      <c r="AJ38" s="18">
        <f t="shared" si="6"/>
        <v>0.25</v>
      </c>
      <c r="AK38" s="18">
        <f t="shared" si="7"/>
        <v>-428</v>
      </c>
      <c r="AL38" s="18">
        <f t="shared" si="8"/>
        <v>511</v>
      </c>
      <c r="AM38" s="18">
        <f t="shared" si="9"/>
        <v>955</v>
      </c>
    </row>
    <row r="39" spans="1:39" x14ac:dyDescent="0.35">
      <c r="A39" s="56" t="s">
        <v>104</v>
      </c>
      <c r="B39" s="58">
        <v>10000</v>
      </c>
      <c r="C39" s="58" t="s">
        <v>30</v>
      </c>
      <c r="D39" s="58">
        <v>251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2175</v>
      </c>
      <c r="M39" s="58">
        <v>150</v>
      </c>
      <c r="N39" s="58">
        <v>15139.55</v>
      </c>
      <c r="O39" s="58">
        <v>0</v>
      </c>
      <c r="P39" s="58">
        <v>0</v>
      </c>
      <c r="Q39" s="58">
        <v>0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0</v>
      </c>
      <c r="Z39" s="58">
        <v>0</v>
      </c>
      <c r="AA39" s="58">
        <v>0</v>
      </c>
      <c r="AD39" s="18" t="str">
        <f t="array" ref="AD39">IFERROR(INDEX($A$1:$A$2000, MATCH(0, IF($AD$1*1=$C$1:$C$2018*1, COUNTIF($AD$1:$AD38, $A$1:$A$2000), ""), 0)),"")</f>
        <v>402</v>
      </c>
      <c r="AE39" s="57">
        <f t="shared" si="1"/>
        <v>14000</v>
      </c>
      <c r="AF39" s="18">
        <f t="shared" si="2"/>
        <v>1140</v>
      </c>
      <c r="AG39" s="18">
        <f t="shared" si="3"/>
        <v>-87</v>
      </c>
      <c r="AH39" s="18">
        <f t="shared" si="4"/>
        <v>403</v>
      </c>
      <c r="AI39" s="18">
        <f t="shared" si="5"/>
        <v>341</v>
      </c>
      <c r="AJ39" s="18">
        <f t="shared" si="6"/>
        <v>0.3</v>
      </c>
      <c r="AK39" s="18">
        <f t="shared" si="7"/>
        <v>-1379</v>
      </c>
      <c r="AL39" s="18">
        <f t="shared" si="8"/>
        <v>18355</v>
      </c>
      <c r="AM39" s="18">
        <f t="shared" si="9"/>
        <v>19969</v>
      </c>
    </row>
    <row r="40" spans="1:39" x14ac:dyDescent="0.35">
      <c r="A40" s="56" t="s">
        <v>105</v>
      </c>
      <c r="B40" s="58">
        <v>10000</v>
      </c>
      <c r="C40" s="58" t="s">
        <v>27</v>
      </c>
      <c r="D40" s="58">
        <v>204</v>
      </c>
      <c r="E40" s="58">
        <v>5</v>
      </c>
      <c r="F40" s="58">
        <v>2.512562814070352</v>
      </c>
      <c r="G40" s="58">
        <v>6</v>
      </c>
      <c r="H40" s="58">
        <v>40.340000000000003</v>
      </c>
      <c r="I40" s="58">
        <v>20</v>
      </c>
      <c r="J40" s="58">
        <v>-1.9499999999999993</v>
      </c>
      <c r="K40" s="58">
        <v>-8.8838268792710675</v>
      </c>
      <c r="L40" s="58">
        <v>300</v>
      </c>
      <c r="M40" s="58">
        <v>900</v>
      </c>
      <c r="N40" s="58">
        <v>15139.55</v>
      </c>
      <c r="O40" s="58">
        <v>10000</v>
      </c>
      <c r="P40" s="58" t="s">
        <v>27</v>
      </c>
      <c r="Q40" s="58">
        <v>1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1875</v>
      </c>
      <c r="Z40" s="58">
        <v>0</v>
      </c>
      <c r="AA40" s="58">
        <v>15143.3</v>
      </c>
      <c r="AD40" s="18" t="str">
        <f t="array" ref="AD40">IFERROR(INDEX($A$1:$A$2000, MATCH(0, IF($AD$1*1=$C$1:$C$2018*1, COUNTIF($AD$1:$AD39, $A$1:$A$2000), ""), 0)),"")</f>
        <v>412</v>
      </c>
      <c r="AE40" s="57">
        <f t="shared" si="1"/>
        <v>14050</v>
      </c>
      <c r="AF40" s="18">
        <f t="shared" si="2"/>
        <v>0</v>
      </c>
      <c r="AG40" s="18">
        <f t="shared" si="3"/>
        <v>0</v>
      </c>
      <c r="AH40" s="18">
        <f t="shared" si="4"/>
        <v>1</v>
      </c>
      <c r="AI40" s="18">
        <f t="shared" si="5"/>
        <v>0</v>
      </c>
      <c r="AJ40" s="18">
        <f t="shared" si="6"/>
        <v>0.2</v>
      </c>
      <c r="AK40" s="18">
        <f t="shared" si="7"/>
        <v>-71</v>
      </c>
      <c r="AL40" s="18">
        <f t="shared" si="8"/>
        <v>577</v>
      </c>
      <c r="AM40" s="18">
        <f t="shared" si="9"/>
        <v>447</v>
      </c>
    </row>
    <row r="41" spans="1:39" x14ac:dyDescent="0.35">
      <c r="A41" s="56" t="s">
        <v>106</v>
      </c>
      <c r="B41" s="58">
        <v>10000</v>
      </c>
      <c r="C41" s="58" t="s">
        <v>26</v>
      </c>
      <c r="D41" s="58">
        <v>4516</v>
      </c>
      <c r="E41" s="58">
        <v>16</v>
      </c>
      <c r="F41" s="58">
        <v>0.35555555555555557</v>
      </c>
      <c r="G41" s="58">
        <v>96</v>
      </c>
      <c r="H41" s="58">
        <v>73.78</v>
      </c>
      <c r="I41" s="58">
        <v>1.4</v>
      </c>
      <c r="J41" s="58">
        <v>-0.70000000000000018</v>
      </c>
      <c r="K41" s="58">
        <v>-33.333333333333343</v>
      </c>
      <c r="L41" s="58">
        <v>104175</v>
      </c>
      <c r="M41" s="58">
        <v>28200</v>
      </c>
      <c r="N41" s="58">
        <v>15139.55</v>
      </c>
      <c r="O41" s="58">
        <v>10000</v>
      </c>
      <c r="P41" s="58" t="s">
        <v>26</v>
      </c>
      <c r="Q41" s="58">
        <v>730</v>
      </c>
      <c r="R41" s="58">
        <v>1</v>
      </c>
      <c r="S41" s="58">
        <v>0.13717421124828533</v>
      </c>
      <c r="T41" s="58">
        <v>7</v>
      </c>
      <c r="U41" s="58">
        <v>0</v>
      </c>
      <c r="V41" s="58">
        <v>5158</v>
      </c>
      <c r="W41" s="58">
        <v>13.050000000000182</v>
      </c>
      <c r="X41" s="58">
        <v>0.25364677985209155</v>
      </c>
      <c r="Y41" s="58">
        <v>11850</v>
      </c>
      <c r="Z41" s="58">
        <v>11625</v>
      </c>
      <c r="AA41" s="58">
        <v>15143.3</v>
      </c>
      <c r="AD41" s="18" t="str">
        <f t="array" ref="AD41">IFERROR(INDEX($A$1:$A$2000, MATCH(0, IF($AD$1*1=$C$1:$C$2018*1, COUNTIF($AD$1:$AD40, $A$1:$A$2000), ""), 0)),"")</f>
        <v>422</v>
      </c>
      <c r="AE41" s="57">
        <f t="shared" si="1"/>
        <v>14100</v>
      </c>
      <c r="AF41" s="18">
        <f t="shared" si="2"/>
        <v>1060</v>
      </c>
      <c r="AG41" s="18">
        <f t="shared" si="3"/>
        <v>-15</v>
      </c>
      <c r="AH41" s="18">
        <f t="shared" si="4"/>
        <v>17</v>
      </c>
      <c r="AI41" s="18">
        <f t="shared" si="5"/>
        <v>22</v>
      </c>
      <c r="AJ41" s="18">
        <f t="shared" si="6"/>
        <v>0.25</v>
      </c>
      <c r="AK41" s="18">
        <f t="shared" si="7"/>
        <v>392</v>
      </c>
      <c r="AL41" s="18">
        <f t="shared" si="8"/>
        <v>5981</v>
      </c>
      <c r="AM41" s="18">
        <f t="shared" si="9"/>
        <v>5703</v>
      </c>
    </row>
    <row r="42" spans="1:39" x14ac:dyDescent="0.35">
      <c r="A42" s="56" t="s">
        <v>107</v>
      </c>
      <c r="B42" s="58">
        <v>10000</v>
      </c>
      <c r="C42" s="58" t="s">
        <v>29</v>
      </c>
      <c r="D42" s="58">
        <v>2392</v>
      </c>
      <c r="E42" s="58">
        <v>0</v>
      </c>
      <c r="F42" s="58">
        <v>0</v>
      </c>
      <c r="G42" s="58">
        <v>0</v>
      </c>
      <c r="H42" s="58">
        <v>0</v>
      </c>
      <c r="I42" s="58">
        <v>0</v>
      </c>
      <c r="J42" s="58">
        <v>0</v>
      </c>
      <c r="K42" s="58">
        <v>0</v>
      </c>
      <c r="L42" s="58">
        <v>7500</v>
      </c>
      <c r="M42" s="58">
        <v>7800</v>
      </c>
      <c r="N42" s="58">
        <v>15139.55</v>
      </c>
      <c r="O42" s="58">
        <v>10000</v>
      </c>
      <c r="P42" s="58" t="s">
        <v>29</v>
      </c>
      <c r="Q42" s="58">
        <v>21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1425</v>
      </c>
      <c r="Z42" s="58">
        <v>300</v>
      </c>
      <c r="AA42" s="58">
        <v>15143.3</v>
      </c>
      <c r="AD42" s="18" t="str">
        <f t="array" ref="AD42">IFERROR(INDEX($A$1:$A$2000, MATCH(0, IF($AD$1*1=$C$1:$C$2018*1, COUNTIF($AD$1:$AD41, $A$1:$A$2000), ""), 0)),"")</f>
        <v>432</v>
      </c>
      <c r="AE42" s="57">
        <f t="shared" si="1"/>
        <v>14150</v>
      </c>
      <c r="AF42" s="18">
        <f t="shared" si="2"/>
        <v>0</v>
      </c>
      <c r="AG42" s="18">
        <f t="shared" si="3"/>
        <v>0</v>
      </c>
      <c r="AH42" s="18">
        <f t="shared" si="4"/>
        <v>2</v>
      </c>
      <c r="AI42" s="18">
        <f t="shared" si="5"/>
        <v>0</v>
      </c>
      <c r="AJ42" s="18">
        <f t="shared" si="6"/>
        <v>0.35</v>
      </c>
      <c r="AK42" s="18">
        <f t="shared" si="7"/>
        <v>-182</v>
      </c>
      <c r="AL42" s="18">
        <f t="shared" si="8"/>
        <v>573</v>
      </c>
      <c r="AM42" s="18">
        <f t="shared" si="9"/>
        <v>814</v>
      </c>
    </row>
    <row r="43" spans="1:39" x14ac:dyDescent="0.35">
      <c r="A43" s="56" t="s">
        <v>108</v>
      </c>
      <c r="B43" s="58">
        <v>10100</v>
      </c>
      <c r="C43" s="58" t="s">
        <v>27</v>
      </c>
      <c r="D43" s="58">
        <v>6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5325</v>
      </c>
      <c r="M43" s="58">
        <v>0</v>
      </c>
      <c r="N43" s="58">
        <v>15139.55</v>
      </c>
      <c r="O43" s="58">
        <v>10100</v>
      </c>
      <c r="P43" s="58" t="s">
        <v>27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75</v>
      </c>
      <c r="Z43" s="58">
        <v>450</v>
      </c>
      <c r="AA43" s="58">
        <v>15143.3</v>
      </c>
      <c r="AD43" s="18" t="str">
        <f t="array" ref="AD43">IFERROR(INDEX($A$1:$A$2000, MATCH(0, IF($AD$1*1=$C$1:$C$2018*1, COUNTIF($AD$1:$AD42, $A$1:$A$2000), ""), 0)),"")</f>
        <v>442</v>
      </c>
      <c r="AE43" s="57">
        <f t="shared" si="1"/>
        <v>14200</v>
      </c>
      <c r="AF43" s="18">
        <f t="shared" si="2"/>
        <v>992</v>
      </c>
      <c r="AG43" s="18">
        <f t="shared" si="3"/>
        <v>-14</v>
      </c>
      <c r="AH43" s="18">
        <f t="shared" si="4"/>
        <v>74</v>
      </c>
      <c r="AI43" s="18">
        <f t="shared" si="5"/>
        <v>34</v>
      </c>
      <c r="AJ43" s="18">
        <f t="shared" si="6"/>
        <v>0.3</v>
      </c>
      <c r="AK43" s="18">
        <f t="shared" si="7"/>
        <v>-1668</v>
      </c>
      <c r="AL43" s="18">
        <f t="shared" si="8"/>
        <v>10064</v>
      </c>
      <c r="AM43" s="18">
        <f t="shared" si="9"/>
        <v>12581</v>
      </c>
    </row>
    <row r="44" spans="1:39" x14ac:dyDescent="0.35">
      <c r="A44" s="56" t="s">
        <v>109</v>
      </c>
      <c r="B44" s="58">
        <v>10100</v>
      </c>
      <c r="C44" s="58" t="s">
        <v>29</v>
      </c>
      <c r="D44" s="58">
        <v>11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3750</v>
      </c>
      <c r="M44" s="58">
        <v>75</v>
      </c>
      <c r="N44" s="58">
        <v>15143.3</v>
      </c>
      <c r="O44" s="58">
        <v>0</v>
      </c>
      <c r="P44" s="58">
        <v>0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0</v>
      </c>
      <c r="AA44" s="58">
        <v>0</v>
      </c>
      <c r="AD44" s="18" t="str">
        <f t="array" ref="AD44">IFERROR(INDEX($A$1:$A$2000, MATCH(0, IF($AD$1*1=$C$1:$C$2018*1, COUNTIF($AD$1:$AD43, $A$1:$A$2000), ""), 0)),"")</f>
        <v>444</v>
      </c>
      <c r="AE44" s="57">
        <f t="shared" si="1"/>
        <v>14250</v>
      </c>
      <c r="AF44" s="18">
        <f t="shared" si="2"/>
        <v>0</v>
      </c>
      <c r="AG44" s="18">
        <f t="shared" si="3"/>
        <v>0</v>
      </c>
      <c r="AH44" s="18">
        <f t="shared" si="4"/>
        <v>10</v>
      </c>
      <c r="AI44" s="18">
        <f t="shared" si="5"/>
        <v>0</v>
      </c>
      <c r="AJ44" s="18">
        <f t="shared" si="6"/>
        <v>0.3</v>
      </c>
      <c r="AK44" s="18">
        <f t="shared" si="7"/>
        <v>-104</v>
      </c>
      <c r="AL44" s="18">
        <f t="shared" si="8"/>
        <v>2546</v>
      </c>
      <c r="AM44" s="18">
        <f t="shared" si="9"/>
        <v>1500</v>
      </c>
    </row>
    <row r="45" spans="1:39" x14ac:dyDescent="0.35">
      <c r="A45" s="56" t="s">
        <v>110</v>
      </c>
      <c r="B45" s="58">
        <v>10200</v>
      </c>
      <c r="C45" s="58" t="s">
        <v>27</v>
      </c>
      <c r="D45" s="58">
        <v>1065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15139.55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IF($AD$1*1=$C$1:$C$2018*1, COUNTIF($AD$1:$AD44, $A$1:$A$2000), ""), 0)),"")</f>
        <v>463</v>
      </c>
      <c r="AE45" s="57">
        <f t="shared" si="1"/>
        <v>14300</v>
      </c>
      <c r="AF45" s="18">
        <f t="shared" si="2"/>
        <v>848</v>
      </c>
      <c r="AG45" s="18">
        <f t="shared" si="3"/>
        <v>-1</v>
      </c>
      <c r="AH45" s="18">
        <f t="shared" si="4"/>
        <v>151</v>
      </c>
      <c r="AI45" s="18">
        <f t="shared" si="5"/>
        <v>28</v>
      </c>
      <c r="AJ45" s="18">
        <f t="shared" si="6"/>
        <v>0.3</v>
      </c>
      <c r="AK45" s="18">
        <f t="shared" si="7"/>
        <v>-1668</v>
      </c>
      <c r="AL45" s="18">
        <f t="shared" si="8"/>
        <v>9877</v>
      </c>
      <c r="AM45" s="18">
        <f t="shared" si="9"/>
        <v>15613</v>
      </c>
    </row>
    <row r="46" spans="1:39" x14ac:dyDescent="0.35">
      <c r="A46" s="56" t="s">
        <v>111</v>
      </c>
      <c r="B46" s="58">
        <v>10200</v>
      </c>
      <c r="C46" s="58" t="s">
        <v>29</v>
      </c>
      <c r="D46" s="58">
        <v>3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2775</v>
      </c>
      <c r="M46" s="58">
        <v>75</v>
      </c>
      <c r="N46" s="58">
        <v>15143.3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IF($AD$1*1=$C$1:$C$2018*1, COUNTIF($AD$1:$AD45, $A$1:$A$2000), ""), 0)),"")</f>
        <v>474</v>
      </c>
      <c r="AE46" s="57">
        <f t="shared" si="1"/>
        <v>14350</v>
      </c>
      <c r="AF46" s="18">
        <f t="shared" si="2"/>
        <v>0</v>
      </c>
      <c r="AG46" s="18">
        <f t="shared" si="3"/>
        <v>0</v>
      </c>
      <c r="AH46" s="18">
        <f t="shared" si="4"/>
        <v>7</v>
      </c>
      <c r="AI46" s="18">
        <f t="shared" si="5"/>
        <v>0</v>
      </c>
      <c r="AJ46" s="18">
        <f t="shared" si="6"/>
        <v>0.4</v>
      </c>
      <c r="AK46" s="18">
        <f t="shared" si="7"/>
        <v>-211</v>
      </c>
      <c r="AL46" s="18">
        <f t="shared" si="8"/>
        <v>1121</v>
      </c>
      <c r="AM46" s="18">
        <f t="shared" si="9"/>
        <v>2138</v>
      </c>
    </row>
    <row r="47" spans="1:39" x14ac:dyDescent="0.35">
      <c r="A47" s="56" t="s">
        <v>112</v>
      </c>
      <c r="B47" s="58">
        <v>10300</v>
      </c>
      <c r="C47" s="58" t="s">
        <v>27</v>
      </c>
      <c r="D47" s="58">
        <v>104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15139.55</v>
      </c>
      <c r="O47" s="58">
        <v>10300</v>
      </c>
      <c r="P47" s="58" t="s">
        <v>27</v>
      </c>
      <c r="Q47" s="58">
        <v>2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75</v>
      </c>
      <c r="Z47" s="58">
        <v>450</v>
      </c>
      <c r="AA47" s="58">
        <v>15139.55</v>
      </c>
      <c r="AD47" s="18" t="str">
        <f t="array" ref="AD47">IFERROR(INDEX($A$1:$A$2000, MATCH(0, IF($AD$1*1=$C$1:$C$2018*1, COUNTIF($AD$1:$AD46, $A$1:$A$2000), ""), 0)),"")</f>
        <v>476</v>
      </c>
      <c r="AE47" s="57">
        <f t="shared" si="1"/>
        <v>14400</v>
      </c>
      <c r="AF47" s="18">
        <f t="shared" si="2"/>
        <v>745.1</v>
      </c>
      <c r="AG47" s="18">
        <f t="shared" si="3"/>
        <v>-4</v>
      </c>
      <c r="AH47" s="18">
        <f t="shared" si="4"/>
        <v>109</v>
      </c>
      <c r="AI47" s="18">
        <f t="shared" si="5"/>
        <v>24</v>
      </c>
      <c r="AJ47" s="18">
        <f t="shared" si="6"/>
        <v>0.35</v>
      </c>
      <c r="AK47" s="18">
        <f t="shared" si="7"/>
        <v>-2734</v>
      </c>
      <c r="AL47" s="18">
        <f t="shared" si="8"/>
        <v>12229</v>
      </c>
      <c r="AM47" s="18">
        <f t="shared" si="9"/>
        <v>23806</v>
      </c>
    </row>
    <row r="48" spans="1:39" x14ac:dyDescent="0.35">
      <c r="A48" s="56" t="s">
        <v>113</v>
      </c>
      <c r="B48" s="58">
        <v>10300</v>
      </c>
      <c r="C48" s="58" t="s">
        <v>29</v>
      </c>
      <c r="D48" s="58">
        <v>8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2775</v>
      </c>
      <c r="M48" s="58">
        <v>75</v>
      </c>
      <c r="N48" s="58">
        <v>15143.3</v>
      </c>
      <c r="O48" s="58">
        <v>0</v>
      </c>
      <c r="P48" s="58">
        <v>0</v>
      </c>
      <c r="Q48" s="58">
        <v>0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0</v>
      </c>
      <c r="AA48" s="58">
        <v>0</v>
      </c>
      <c r="AD48" s="18" t="str">
        <f t="array" ref="AD48">IFERROR(INDEX($A$1:$A$2000, MATCH(0, IF($AD$1*1=$C$1:$C$2018*1, COUNTIF($AD$1:$AD47, $A$1:$A$2000), ""), 0)),"")</f>
        <v>485</v>
      </c>
      <c r="AE48" s="57">
        <f t="shared" si="1"/>
        <v>14450</v>
      </c>
      <c r="AF48" s="18">
        <f t="shared" si="2"/>
        <v>734.85</v>
      </c>
      <c r="AG48" s="18">
        <f t="shared" si="3"/>
        <v>-1</v>
      </c>
      <c r="AH48" s="18">
        <f t="shared" si="4"/>
        <v>77</v>
      </c>
      <c r="AI48" s="18">
        <f t="shared" si="5"/>
        <v>31</v>
      </c>
      <c r="AJ48" s="18">
        <f t="shared" si="6"/>
        <v>0.45</v>
      </c>
      <c r="AK48" s="18">
        <f t="shared" si="7"/>
        <v>-582</v>
      </c>
      <c r="AL48" s="18">
        <f t="shared" si="8"/>
        <v>3123</v>
      </c>
      <c r="AM48" s="18">
        <f t="shared" si="9"/>
        <v>6042</v>
      </c>
    </row>
    <row r="49" spans="1:39" x14ac:dyDescent="0.35">
      <c r="A49" s="56" t="s">
        <v>114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5250</v>
      </c>
      <c r="M49" s="58">
        <v>0</v>
      </c>
      <c r="N49" s="58">
        <v>15139.55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75</v>
      </c>
      <c r="Z49" s="58">
        <v>450</v>
      </c>
      <c r="AA49" s="58">
        <v>15143.3</v>
      </c>
      <c r="AD49" s="18" t="str">
        <f t="array" ref="AD49">IFERROR(INDEX($A$1:$A$2000, MATCH(0, IF($AD$1*1=$C$1:$C$2018*1, COUNTIF($AD$1:$AD48, $A$1:$A$2000), ""), 0)),"")</f>
        <v>495</v>
      </c>
      <c r="AE49" s="57">
        <f t="shared" si="1"/>
        <v>14500</v>
      </c>
      <c r="AF49" s="18">
        <f t="shared" si="2"/>
        <v>644.79999999999995</v>
      </c>
      <c r="AG49" s="18">
        <f t="shared" si="3"/>
        <v>-154</v>
      </c>
      <c r="AH49" s="18">
        <f t="shared" si="4"/>
        <v>409</v>
      </c>
      <c r="AI49" s="18">
        <f t="shared" si="5"/>
        <v>437</v>
      </c>
      <c r="AJ49" s="18">
        <f t="shared" si="6"/>
        <v>0.45</v>
      </c>
      <c r="AK49" s="18">
        <f t="shared" si="7"/>
        <v>121</v>
      </c>
      <c r="AL49" s="18">
        <f t="shared" si="8"/>
        <v>41059</v>
      </c>
      <c r="AM49" s="18">
        <f t="shared" si="9"/>
        <v>77911</v>
      </c>
    </row>
    <row r="50" spans="1:39" x14ac:dyDescent="0.35">
      <c r="A50" s="56" t="s">
        <v>115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2550</v>
      </c>
      <c r="M50" s="58">
        <v>75</v>
      </c>
      <c r="N50" s="58">
        <v>15143.3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IF($AD$1*1=$C$1:$C$2018*1, COUNTIF($AD$1:$AD49, $A$1:$A$2000), ""), 0)),"")</f>
        <v>508</v>
      </c>
      <c r="AE50" s="57">
        <f t="shared" si="1"/>
        <v>14550</v>
      </c>
      <c r="AF50" s="18">
        <f t="shared" si="2"/>
        <v>633.1</v>
      </c>
      <c r="AG50" s="18">
        <f t="shared" si="3"/>
        <v>-2</v>
      </c>
      <c r="AH50" s="18">
        <f t="shared" si="4"/>
        <v>68</v>
      </c>
      <c r="AI50" s="18">
        <f t="shared" si="5"/>
        <v>5</v>
      </c>
      <c r="AJ50" s="18">
        <f t="shared" si="6"/>
        <v>0.5</v>
      </c>
      <c r="AK50" s="18">
        <f t="shared" si="7"/>
        <v>-596</v>
      </c>
      <c r="AL50" s="18">
        <f t="shared" si="8"/>
        <v>3210</v>
      </c>
      <c r="AM50" s="18">
        <f t="shared" si="9"/>
        <v>6617</v>
      </c>
    </row>
    <row r="51" spans="1:39" x14ac:dyDescent="0.35">
      <c r="A51" s="56" t="s">
        <v>116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1050</v>
      </c>
      <c r="M51" s="58">
        <v>75</v>
      </c>
      <c r="N51" s="58">
        <v>15143.3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IF($AD$1*1=$C$1:$C$2018*1, COUNTIF($AD$1:$AD50, $A$1:$A$2000), ""), 0)),"")</f>
        <v>526</v>
      </c>
      <c r="AE51" s="57">
        <f t="shared" si="1"/>
        <v>14600</v>
      </c>
      <c r="AF51" s="18">
        <f t="shared" si="2"/>
        <v>545.1</v>
      </c>
      <c r="AG51" s="18">
        <f t="shared" si="3"/>
        <v>-63</v>
      </c>
      <c r="AH51" s="18">
        <f t="shared" si="4"/>
        <v>762</v>
      </c>
      <c r="AI51" s="18">
        <f t="shared" si="5"/>
        <v>278</v>
      </c>
      <c r="AJ51" s="18">
        <f t="shared" si="6"/>
        <v>0.55000000000000004</v>
      </c>
      <c r="AK51" s="18">
        <f t="shared" si="7"/>
        <v>6418</v>
      </c>
      <c r="AL51" s="18">
        <f t="shared" si="8"/>
        <v>26189</v>
      </c>
      <c r="AM51" s="18">
        <f t="shared" si="9"/>
        <v>61844</v>
      </c>
    </row>
    <row r="52" spans="1:39" x14ac:dyDescent="0.35">
      <c r="A52" s="56" t="s">
        <v>117</v>
      </c>
      <c r="B52" s="58">
        <v>10500</v>
      </c>
      <c r="C52" s="58" t="s">
        <v>32</v>
      </c>
      <c r="D52" s="58">
        <v>2013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0</v>
      </c>
      <c r="M52" s="58">
        <v>375</v>
      </c>
      <c r="N52" s="58">
        <v>15143.3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IF($AD$1*1=$C$1:$C$2018*1, COUNTIF($AD$1:$AD51, $A$1:$A$2000), ""), 0)),"")</f>
        <v>529</v>
      </c>
      <c r="AE52" s="57">
        <f t="shared" si="1"/>
        <v>14650</v>
      </c>
      <c r="AF52" s="18">
        <f t="shared" si="2"/>
        <v>496.75</v>
      </c>
      <c r="AG52" s="18">
        <f t="shared" si="3"/>
        <v>-31</v>
      </c>
      <c r="AH52" s="18">
        <f t="shared" si="4"/>
        <v>218</v>
      </c>
      <c r="AI52" s="18">
        <f t="shared" si="5"/>
        <v>72</v>
      </c>
      <c r="AJ52" s="18">
        <f t="shared" si="6"/>
        <v>0.55000000000000004</v>
      </c>
      <c r="AK52" s="18">
        <f t="shared" si="7"/>
        <v>602</v>
      </c>
      <c r="AL52" s="18">
        <f t="shared" si="8"/>
        <v>7288</v>
      </c>
      <c r="AM52" s="18">
        <f t="shared" si="9"/>
        <v>15456</v>
      </c>
    </row>
    <row r="53" spans="1:39" x14ac:dyDescent="0.35">
      <c r="A53" s="56" t="s">
        <v>118</v>
      </c>
      <c r="B53" s="58">
        <v>10500</v>
      </c>
      <c r="C53" s="58" t="s">
        <v>29</v>
      </c>
      <c r="D53" s="58">
        <v>6790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10275</v>
      </c>
      <c r="M53" s="58">
        <v>7500</v>
      </c>
      <c r="N53" s="58">
        <v>15139.55</v>
      </c>
      <c r="O53" s="58">
        <v>10500</v>
      </c>
      <c r="P53" s="58" t="s">
        <v>29</v>
      </c>
      <c r="Q53" s="58">
        <v>9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1725</v>
      </c>
      <c r="Z53" s="58">
        <v>0</v>
      </c>
      <c r="AA53" s="58">
        <v>15143.3</v>
      </c>
      <c r="AD53" s="18" t="str">
        <f t="array" ref="AD53">IFERROR(INDEX($A$1:$A$2000, MATCH(0, IF($AD$1*1=$C$1:$C$2018*1, COUNTIF($AD$1:$AD52, $A$1:$A$2000), ""), 0)),"")</f>
        <v>546</v>
      </c>
      <c r="AE53" s="57">
        <f t="shared" si="1"/>
        <v>14700</v>
      </c>
      <c r="AF53" s="18">
        <f t="shared" si="2"/>
        <v>445.05</v>
      </c>
      <c r="AG53" s="18">
        <f t="shared" si="3"/>
        <v>-6</v>
      </c>
      <c r="AH53" s="18">
        <f t="shared" si="4"/>
        <v>1214</v>
      </c>
      <c r="AI53" s="18">
        <f t="shared" si="5"/>
        <v>682</v>
      </c>
      <c r="AJ53" s="18">
        <f t="shared" si="6"/>
        <v>0.7</v>
      </c>
      <c r="AK53" s="18">
        <f t="shared" si="7"/>
        <v>6923</v>
      </c>
      <c r="AL53" s="18">
        <f t="shared" si="8"/>
        <v>32049</v>
      </c>
      <c r="AM53" s="18">
        <f t="shared" si="9"/>
        <v>102045</v>
      </c>
    </row>
    <row r="54" spans="1:39" x14ac:dyDescent="0.35">
      <c r="A54" s="56" t="s">
        <v>119</v>
      </c>
      <c r="B54" s="58">
        <v>10500</v>
      </c>
      <c r="C54" s="58" t="s">
        <v>26</v>
      </c>
      <c r="D54" s="58">
        <v>4518</v>
      </c>
      <c r="E54" s="58">
        <v>0</v>
      </c>
      <c r="F54" s="58">
        <v>0</v>
      </c>
      <c r="G54" s="58">
        <v>295</v>
      </c>
      <c r="H54" s="58">
        <v>66.260000000000005</v>
      </c>
      <c r="I54" s="58">
        <v>1.5</v>
      </c>
      <c r="J54" s="58">
        <v>-0.75</v>
      </c>
      <c r="K54" s="58">
        <v>-33.333333333333329</v>
      </c>
      <c r="L54" s="58">
        <v>66600</v>
      </c>
      <c r="M54" s="58">
        <v>30225</v>
      </c>
      <c r="N54" s="58">
        <v>15139.55</v>
      </c>
      <c r="O54" s="58">
        <v>10500</v>
      </c>
      <c r="P54" s="58" t="s">
        <v>26</v>
      </c>
      <c r="Q54" s="58">
        <v>289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11925</v>
      </c>
      <c r="Z54" s="58">
        <v>12300</v>
      </c>
      <c r="AA54" s="58">
        <v>15139.55</v>
      </c>
      <c r="AD54" s="18" t="str">
        <f t="array" ref="AD54">IFERROR(INDEX($A$1:$A$2000, MATCH(0, IF($AD$1*1=$C$1:$C$2018*1, COUNTIF($AD$1:$AD53, $A$1:$A$2000), ""), 0)),"")</f>
        <v>553</v>
      </c>
      <c r="AE54" s="57">
        <f t="shared" si="1"/>
        <v>14750</v>
      </c>
      <c r="AF54" s="18">
        <f t="shared" si="2"/>
        <v>390.85</v>
      </c>
      <c r="AG54" s="18">
        <f t="shared" si="3"/>
        <v>-8</v>
      </c>
      <c r="AH54" s="18">
        <f t="shared" si="4"/>
        <v>309</v>
      </c>
      <c r="AI54" s="18">
        <f t="shared" si="5"/>
        <v>77</v>
      </c>
      <c r="AJ54" s="18">
        <f t="shared" si="6"/>
        <v>0.85</v>
      </c>
      <c r="AK54" s="18">
        <f t="shared" si="7"/>
        <v>-4059</v>
      </c>
      <c r="AL54" s="18">
        <f t="shared" si="8"/>
        <v>10902</v>
      </c>
      <c r="AM54" s="18">
        <f t="shared" si="9"/>
        <v>51587</v>
      </c>
    </row>
    <row r="55" spans="1:39" x14ac:dyDescent="0.35">
      <c r="A55" s="56" t="s">
        <v>120</v>
      </c>
      <c r="B55" s="58">
        <v>10500</v>
      </c>
      <c r="C55" s="58" t="s">
        <v>27</v>
      </c>
      <c r="D55" s="58">
        <v>7324</v>
      </c>
      <c r="E55" s="58">
        <v>2</v>
      </c>
      <c r="F55" s="58">
        <v>2.7314941272876266E-2</v>
      </c>
      <c r="G55" s="58">
        <v>22</v>
      </c>
      <c r="H55" s="58">
        <v>36.42</v>
      </c>
      <c r="I55" s="58">
        <v>20</v>
      </c>
      <c r="J55" s="58">
        <v>-2.4499999999999993</v>
      </c>
      <c r="K55" s="58">
        <v>-10.913140311804009</v>
      </c>
      <c r="L55" s="58">
        <v>4500</v>
      </c>
      <c r="M55" s="58">
        <v>5475</v>
      </c>
      <c r="N55" s="58">
        <v>15139.55</v>
      </c>
      <c r="O55" s="58">
        <v>10500</v>
      </c>
      <c r="P55" s="58" t="s">
        <v>27</v>
      </c>
      <c r="Q55" s="58">
        <v>9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1875</v>
      </c>
      <c r="Z55" s="58">
        <v>0</v>
      </c>
      <c r="AA55" s="58">
        <v>15139.55</v>
      </c>
      <c r="AD55" s="18" t="str">
        <f t="array" ref="AD55">IFERROR(INDEX($A$1:$A$2000, MATCH(0, IF($AD$1*1=$C$1:$C$2018*1, COUNTIF($AD$1:$AD54, $A$1:$A$2000), ""), 0)),"")</f>
        <v>566</v>
      </c>
      <c r="AE55" s="57">
        <f t="shared" si="1"/>
        <v>14800</v>
      </c>
      <c r="AF55" s="18">
        <f t="shared" si="2"/>
        <v>344.75</v>
      </c>
      <c r="AG55" s="18">
        <f t="shared" si="3"/>
        <v>-211</v>
      </c>
      <c r="AH55" s="18">
        <f t="shared" si="4"/>
        <v>2153</v>
      </c>
      <c r="AI55" s="18">
        <f t="shared" si="5"/>
        <v>2839</v>
      </c>
      <c r="AJ55" s="18">
        <f t="shared" si="6"/>
        <v>1.1000000000000001</v>
      </c>
      <c r="AK55" s="18">
        <f t="shared" si="7"/>
        <v>13255</v>
      </c>
      <c r="AL55" s="18">
        <f t="shared" si="8"/>
        <v>45484</v>
      </c>
      <c r="AM55" s="18">
        <f t="shared" si="9"/>
        <v>203914</v>
      </c>
    </row>
    <row r="56" spans="1:39" x14ac:dyDescent="0.35">
      <c r="A56" s="56" t="s">
        <v>121</v>
      </c>
      <c r="B56" s="58">
        <v>10500</v>
      </c>
      <c r="C56" s="58" t="s">
        <v>28</v>
      </c>
      <c r="D56" s="58">
        <v>4241</v>
      </c>
      <c r="E56" s="58">
        <v>0</v>
      </c>
      <c r="F56" s="58">
        <v>0</v>
      </c>
      <c r="G56" s="58">
        <v>0</v>
      </c>
      <c r="H56" s="58">
        <v>0</v>
      </c>
      <c r="I56" s="58">
        <v>0</v>
      </c>
      <c r="J56" s="58">
        <v>0</v>
      </c>
      <c r="K56" s="58">
        <v>0</v>
      </c>
      <c r="L56" s="58">
        <v>75</v>
      </c>
      <c r="M56" s="58">
        <v>375</v>
      </c>
      <c r="N56" s="58">
        <v>15143.3</v>
      </c>
      <c r="O56" s="58">
        <v>0</v>
      </c>
      <c r="P56" s="58">
        <v>0</v>
      </c>
      <c r="Q56" s="58">
        <v>0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0</v>
      </c>
      <c r="Z56" s="58">
        <v>0</v>
      </c>
      <c r="AA56" s="58">
        <v>0</v>
      </c>
      <c r="AD56" s="18" t="str">
        <f t="array" ref="AD56">IFERROR(INDEX($A$1:$A$2000, MATCH(0, IF($AD$1*1=$C$1:$C$2018*1, COUNTIF($AD$1:$AD55, $A$1:$A$2000), ""), 0)),"")</f>
        <v>576</v>
      </c>
      <c r="AE56" s="57">
        <f t="shared" si="1"/>
        <v>14850</v>
      </c>
      <c r="AF56" s="18">
        <f t="shared" si="2"/>
        <v>298.25</v>
      </c>
      <c r="AG56" s="18">
        <f t="shared" si="3"/>
        <v>21</v>
      </c>
      <c r="AH56" s="18">
        <f t="shared" si="4"/>
        <v>733</v>
      </c>
      <c r="AI56" s="18">
        <f t="shared" si="5"/>
        <v>514</v>
      </c>
      <c r="AJ56" s="18">
        <f t="shared" si="6"/>
        <v>1.5</v>
      </c>
      <c r="AK56" s="18">
        <f t="shared" si="7"/>
        <v>-1302</v>
      </c>
      <c r="AL56" s="18">
        <f t="shared" si="8"/>
        <v>13328</v>
      </c>
      <c r="AM56" s="18">
        <f t="shared" si="9"/>
        <v>94168</v>
      </c>
    </row>
    <row r="57" spans="1:39" x14ac:dyDescent="0.35">
      <c r="A57" s="56" t="s">
        <v>122</v>
      </c>
      <c r="B57" s="58">
        <v>10500</v>
      </c>
      <c r="C57" s="58" t="s">
        <v>31</v>
      </c>
      <c r="D57" s="58">
        <v>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5250</v>
      </c>
      <c r="M57" s="58">
        <v>75</v>
      </c>
      <c r="N57" s="58">
        <v>15139.55</v>
      </c>
      <c r="O57" s="58">
        <v>0</v>
      </c>
      <c r="P57" s="58">
        <v>0</v>
      </c>
      <c r="Q57" s="58">
        <v>0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0</v>
      </c>
      <c r="Z57" s="58">
        <v>0</v>
      </c>
      <c r="AA57" s="58">
        <v>0</v>
      </c>
      <c r="AD57" s="18" t="str">
        <f t="array" ref="AD57">IFERROR(INDEX($A$1:$A$2000, MATCH(0, IF($AD$1*1=$C$1:$C$2018*1, COUNTIF($AD$1:$AD56, $A$1:$A$2000), ""), 0)),"")</f>
        <v>579</v>
      </c>
      <c r="AE57" s="57">
        <f t="shared" si="1"/>
        <v>14900</v>
      </c>
      <c r="AF57" s="18">
        <f t="shared" si="2"/>
        <v>247.45</v>
      </c>
      <c r="AG57" s="18">
        <f t="shared" si="3"/>
        <v>-1798</v>
      </c>
      <c r="AH57" s="18">
        <f t="shared" si="4"/>
        <v>8175</v>
      </c>
      <c r="AI57" s="18">
        <f t="shared" si="5"/>
        <v>12674</v>
      </c>
      <c r="AJ57" s="18">
        <f t="shared" si="6"/>
        <v>2.1</v>
      </c>
      <c r="AK57" s="18">
        <f t="shared" si="7"/>
        <v>9003</v>
      </c>
      <c r="AL57" s="18">
        <f t="shared" si="8"/>
        <v>39845</v>
      </c>
      <c r="AM57" s="18">
        <f t="shared" si="9"/>
        <v>333108</v>
      </c>
    </row>
    <row r="58" spans="1:39" x14ac:dyDescent="0.35">
      <c r="A58" s="56" t="s">
        <v>123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15139.55</v>
      </c>
      <c r="O58" s="58">
        <v>10600</v>
      </c>
      <c r="P58" s="58" t="s">
        <v>27</v>
      </c>
      <c r="Q58" s="58">
        <v>672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2100</v>
      </c>
      <c r="Z58" s="58">
        <v>0</v>
      </c>
      <c r="AA58" s="58">
        <v>15143.3</v>
      </c>
      <c r="AD58" s="18" t="str">
        <f t="array" ref="AD58">IFERROR(INDEX($A$1:$A$2000, MATCH(0, IF($AD$1*1=$C$1:$C$2018*1, COUNTIF($AD$1:$AD57, $A$1:$A$2000), ""), 0)),"")</f>
        <v>597</v>
      </c>
      <c r="AE58" s="57">
        <f t="shared" si="1"/>
        <v>14950</v>
      </c>
      <c r="AF58" s="18">
        <f t="shared" si="2"/>
        <v>199.55</v>
      </c>
      <c r="AG58" s="18">
        <f t="shared" si="3"/>
        <v>-444</v>
      </c>
      <c r="AH58" s="18">
        <f t="shared" si="4"/>
        <v>3968</v>
      </c>
      <c r="AI58" s="18">
        <f t="shared" si="5"/>
        <v>5769</v>
      </c>
      <c r="AJ58" s="18">
        <f t="shared" si="6"/>
        <v>3.75</v>
      </c>
      <c r="AK58" s="18">
        <f t="shared" si="7"/>
        <v>11122</v>
      </c>
      <c r="AL58" s="18">
        <f t="shared" si="8"/>
        <v>23778</v>
      </c>
      <c r="AM58" s="18">
        <f t="shared" si="9"/>
        <v>195973</v>
      </c>
    </row>
    <row r="59" spans="1:39" x14ac:dyDescent="0.35">
      <c r="A59" s="56" t="s">
        <v>124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3750</v>
      </c>
      <c r="M59" s="58">
        <v>75</v>
      </c>
      <c r="N59" s="58">
        <v>15143.3</v>
      </c>
      <c r="O59" s="58">
        <v>10600</v>
      </c>
      <c r="P59" s="58" t="s">
        <v>29</v>
      </c>
      <c r="Q59" s="58">
        <v>850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525</v>
      </c>
      <c r="Z59" s="58">
        <v>0</v>
      </c>
      <c r="AA59" s="58">
        <v>15139.55</v>
      </c>
      <c r="AD59" s="18" t="str">
        <f t="array" ref="AD59">IFERROR(INDEX($A$1:$A$2000, MATCH(0, IF($AD$1*1=$C$1:$C$2018*1, COUNTIF($AD$1:$AD58, $A$1:$A$2000), ""), 0)),"")</f>
        <v>606</v>
      </c>
      <c r="AE59" s="57">
        <f t="shared" si="1"/>
        <v>15000</v>
      </c>
      <c r="AF59" s="18">
        <f t="shared" si="2"/>
        <v>151</v>
      </c>
      <c r="AG59" s="18">
        <f t="shared" si="3"/>
        <v>-7666</v>
      </c>
      <c r="AH59" s="18">
        <f t="shared" si="4"/>
        <v>21195</v>
      </c>
      <c r="AI59" s="18">
        <f t="shared" si="5"/>
        <v>89333</v>
      </c>
      <c r="AJ59" s="18">
        <f t="shared" si="6"/>
        <v>7.1</v>
      </c>
      <c r="AK59" s="18">
        <f t="shared" si="7"/>
        <v>20101</v>
      </c>
      <c r="AL59" s="18">
        <f t="shared" si="8"/>
        <v>61412</v>
      </c>
      <c r="AM59" s="18">
        <f t="shared" si="9"/>
        <v>664501</v>
      </c>
    </row>
    <row r="60" spans="1:39" x14ac:dyDescent="0.35">
      <c r="A60" s="56" t="s">
        <v>125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3225</v>
      </c>
      <c r="M60" s="58">
        <v>75</v>
      </c>
      <c r="N60" s="58">
        <v>15143.3</v>
      </c>
      <c r="O60" s="58">
        <v>10700</v>
      </c>
      <c r="P60" s="58" t="s">
        <v>29</v>
      </c>
      <c r="Q60" s="58">
        <v>932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525</v>
      </c>
      <c r="Z60" s="58">
        <v>0</v>
      </c>
      <c r="AA60" s="58">
        <v>15143.3</v>
      </c>
      <c r="AD60" s="18" t="str">
        <f t="array" ref="AD60">IFERROR(INDEX($A$1:$A$2000, MATCH(0, IF($AD$1*1=$C$1:$C$2018*1, COUNTIF($AD$1:$AD59, $A$1:$A$2000), ""), 0)),"")</f>
        <v>622</v>
      </c>
      <c r="AE60" s="57">
        <f t="shared" si="1"/>
        <v>15050</v>
      </c>
      <c r="AF60" s="18">
        <f t="shared" si="2"/>
        <v>106.85</v>
      </c>
      <c r="AG60" s="18">
        <f t="shared" si="3"/>
        <v>-1496</v>
      </c>
      <c r="AH60" s="18">
        <f t="shared" si="4"/>
        <v>6686</v>
      </c>
      <c r="AI60" s="18">
        <f t="shared" si="5"/>
        <v>45299</v>
      </c>
      <c r="AJ60" s="18">
        <f t="shared" si="6"/>
        <v>13.4</v>
      </c>
      <c r="AK60" s="18">
        <f t="shared" si="7"/>
        <v>14601</v>
      </c>
      <c r="AL60" s="18">
        <f t="shared" si="8"/>
        <v>22850</v>
      </c>
      <c r="AM60" s="18">
        <f t="shared" si="9"/>
        <v>256583</v>
      </c>
    </row>
    <row r="61" spans="1:39" x14ac:dyDescent="0.35">
      <c r="A61" s="56" t="s">
        <v>126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15139.55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1875</v>
      </c>
      <c r="Z61" s="58">
        <v>0</v>
      </c>
      <c r="AA61" s="58">
        <v>15143.3</v>
      </c>
      <c r="AD61" s="18" t="str">
        <f t="array" ref="AD61">IFERROR(INDEX($A$1:$A$2000, MATCH(0, IF($AD$1*1=$C$1:$C$2018*1, COUNTIF($AD$1:$AD60, $A$1:$A$2000), ""), 0)),"")</f>
        <v>632</v>
      </c>
      <c r="AE61" s="57">
        <f t="shared" si="1"/>
        <v>15100</v>
      </c>
      <c r="AF61" s="18">
        <f t="shared" si="2"/>
        <v>69.2</v>
      </c>
      <c r="AG61" s="18">
        <f t="shared" si="3"/>
        <v>4231</v>
      </c>
      <c r="AH61" s="18">
        <f t="shared" si="4"/>
        <v>51668</v>
      </c>
      <c r="AI61" s="18">
        <f t="shared" si="5"/>
        <v>276510</v>
      </c>
      <c r="AJ61" s="18">
        <f t="shared" si="6"/>
        <v>24.4</v>
      </c>
      <c r="AK61" s="18">
        <f t="shared" si="7"/>
        <v>32761</v>
      </c>
      <c r="AL61" s="18">
        <f t="shared" si="8"/>
        <v>57019</v>
      </c>
      <c r="AM61" s="18">
        <f t="shared" si="9"/>
        <v>747327</v>
      </c>
    </row>
    <row r="62" spans="1:39" x14ac:dyDescent="0.35">
      <c r="A62" s="56" t="s">
        <v>127</v>
      </c>
      <c r="B62" s="58">
        <v>10800</v>
      </c>
      <c r="C62" s="58" t="s">
        <v>29</v>
      </c>
      <c r="D62" s="58">
        <v>119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2775</v>
      </c>
      <c r="M62" s="58">
        <v>75</v>
      </c>
      <c r="N62" s="58">
        <v>15143.3</v>
      </c>
      <c r="O62" s="58">
        <v>10800</v>
      </c>
      <c r="P62" s="58" t="s">
        <v>29</v>
      </c>
      <c r="Q62" s="58">
        <v>475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525</v>
      </c>
      <c r="Z62" s="58">
        <v>0</v>
      </c>
      <c r="AA62" s="58">
        <v>15139.55</v>
      </c>
      <c r="AD62" s="18" t="str">
        <f t="array" ref="AD62">IFERROR(INDEX($A$1:$A$2000, MATCH(0, IF($AD$1*1=$C$1:$C$2018*1, COUNTIF($AD$1:$AD61, $A$1:$A$2000), ""), 0)),"")</f>
        <v>634</v>
      </c>
      <c r="AE62" s="57">
        <f t="shared" si="1"/>
        <v>15150</v>
      </c>
      <c r="AF62" s="18">
        <f t="shared" si="2"/>
        <v>39.549999999999997</v>
      </c>
      <c r="AG62" s="18">
        <f t="shared" si="3"/>
        <v>17454</v>
      </c>
      <c r="AH62" s="18">
        <f t="shared" si="4"/>
        <v>35663</v>
      </c>
      <c r="AI62" s="18">
        <f t="shared" si="5"/>
        <v>303774</v>
      </c>
      <c r="AJ62" s="18">
        <f t="shared" si="6"/>
        <v>44.5</v>
      </c>
      <c r="AK62" s="18">
        <f t="shared" si="7"/>
        <v>22274</v>
      </c>
      <c r="AL62" s="18">
        <f t="shared" si="8"/>
        <v>24710</v>
      </c>
      <c r="AM62" s="18">
        <f t="shared" si="9"/>
        <v>470229</v>
      </c>
    </row>
    <row r="63" spans="1:39" x14ac:dyDescent="0.35">
      <c r="A63" s="56" t="s">
        <v>128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15139.55</v>
      </c>
      <c r="O63" s="58">
        <v>10800</v>
      </c>
      <c r="P63" s="58" t="s">
        <v>27</v>
      </c>
      <c r="Q63" s="58">
        <v>705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2025</v>
      </c>
      <c r="Z63" s="58">
        <v>0</v>
      </c>
      <c r="AA63" s="58">
        <v>15143.3</v>
      </c>
      <c r="AD63" s="18" t="str">
        <f t="array" ref="AD63">IFERROR(INDEX($A$1:$A$2000, MATCH(0, IF($AD$1*1=$C$1:$C$2018*1, COUNTIF($AD$1:$AD62, $A$1:$A$2000), ""), 0)),"")</f>
        <v>652</v>
      </c>
      <c r="AE63" s="57">
        <f t="shared" si="1"/>
        <v>15200</v>
      </c>
      <c r="AF63" s="18">
        <f t="shared" si="2"/>
        <v>18.100000000000001</v>
      </c>
      <c r="AG63" s="18">
        <f t="shared" si="3"/>
        <v>49002</v>
      </c>
      <c r="AH63" s="18">
        <f t="shared" si="4"/>
        <v>94526</v>
      </c>
      <c r="AI63" s="18">
        <f t="shared" si="5"/>
        <v>839287</v>
      </c>
      <c r="AJ63" s="18">
        <f t="shared" si="6"/>
        <v>73.7</v>
      </c>
      <c r="AK63" s="18">
        <f t="shared" si="7"/>
        <v>19307</v>
      </c>
      <c r="AL63" s="18">
        <f t="shared" si="8"/>
        <v>23488</v>
      </c>
      <c r="AM63" s="18">
        <f t="shared" si="9"/>
        <v>515451</v>
      </c>
    </row>
    <row r="64" spans="1:39" x14ac:dyDescent="0.35">
      <c r="A64" s="56" t="s">
        <v>129</v>
      </c>
      <c r="B64" s="58">
        <v>10900</v>
      </c>
      <c r="C64" s="58" t="s">
        <v>27</v>
      </c>
      <c r="D64" s="58">
        <v>75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750</v>
      </c>
      <c r="M64" s="58">
        <v>0</v>
      </c>
      <c r="N64" s="58">
        <v>15139.55</v>
      </c>
      <c r="O64" s="58">
        <v>10900</v>
      </c>
      <c r="P64" s="58" t="s">
        <v>27</v>
      </c>
      <c r="Q64" s="58">
        <v>9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2100</v>
      </c>
      <c r="Z64" s="58">
        <v>0</v>
      </c>
      <c r="AA64" s="58">
        <v>15143.3</v>
      </c>
      <c r="AD64" s="18" t="str">
        <f t="array" ref="AD64">IFERROR(INDEX($A$1:$A$2000, MATCH(0, IF($AD$1*1=$C$1:$C$2018*1, COUNTIF($AD$1:$AD63, $A$1:$A$2000), ""), 0)),"")</f>
        <v>663</v>
      </c>
      <c r="AE64" s="57">
        <f t="shared" si="1"/>
        <v>15250</v>
      </c>
      <c r="AF64" s="18">
        <f t="shared" si="2"/>
        <v>7.35</v>
      </c>
      <c r="AG64" s="18">
        <f t="shared" si="3"/>
        <v>29269</v>
      </c>
      <c r="AH64" s="18">
        <f t="shared" si="4"/>
        <v>49659</v>
      </c>
      <c r="AI64" s="18">
        <f t="shared" si="5"/>
        <v>546298</v>
      </c>
      <c r="AJ64" s="18">
        <f t="shared" si="6"/>
        <v>113.1</v>
      </c>
      <c r="AK64" s="18">
        <f t="shared" si="7"/>
        <v>3603</v>
      </c>
      <c r="AL64" s="18">
        <f t="shared" si="8"/>
        <v>4152</v>
      </c>
      <c r="AM64" s="18">
        <f t="shared" si="9"/>
        <v>114626</v>
      </c>
    </row>
    <row r="65" spans="1:39" x14ac:dyDescent="0.35">
      <c r="A65" s="56" t="s">
        <v>130</v>
      </c>
      <c r="B65" s="58">
        <v>10900</v>
      </c>
      <c r="C65" s="58" t="s">
        <v>29</v>
      </c>
      <c r="D65" s="58">
        <v>46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2775</v>
      </c>
      <c r="M65" s="58">
        <v>225</v>
      </c>
      <c r="N65" s="58">
        <v>15139.55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IF($AD$1*1=$C$1:$C$2018*1, COUNTIF($AD$1:$AD64, $A$1:$A$2000), ""), 0)),"")</f>
        <v>669</v>
      </c>
      <c r="AE65" s="57">
        <f t="shared" si="1"/>
        <v>15300</v>
      </c>
      <c r="AF65" s="18">
        <f t="shared" si="2"/>
        <v>3.1</v>
      </c>
      <c r="AG65" s="18">
        <f t="shared" si="3"/>
        <v>32585</v>
      </c>
      <c r="AH65" s="18">
        <f t="shared" si="4"/>
        <v>77859</v>
      </c>
      <c r="AI65" s="18">
        <f t="shared" si="5"/>
        <v>841295</v>
      </c>
      <c r="AJ65" s="18">
        <f t="shared" si="6"/>
        <v>159.65</v>
      </c>
      <c r="AK65" s="18">
        <f t="shared" si="7"/>
        <v>2053</v>
      </c>
      <c r="AL65" s="18">
        <f t="shared" si="8"/>
        <v>3442</v>
      </c>
      <c r="AM65" s="18">
        <f t="shared" si="9"/>
        <v>77690</v>
      </c>
    </row>
    <row r="66" spans="1:39" x14ac:dyDescent="0.35">
      <c r="A66" s="56" t="s">
        <v>131</v>
      </c>
      <c r="B66" s="58">
        <v>11000</v>
      </c>
      <c r="C66" s="58" t="s">
        <v>29</v>
      </c>
      <c r="D66" s="58">
        <v>5589</v>
      </c>
      <c r="E66" s="58">
        <v>0</v>
      </c>
      <c r="F66" s="58">
        <v>0</v>
      </c>
      <c r="G66" s="58">
        <v>1</v>
      </c>
      <c r="H66" s="58">
        <v>29.99</v>
      </c>
      <c r="I66" s="58">
        <v>101</v>
      </c>
      <c r="J66" s="58">
        <v>-4.25</v>
      </c>
      <c r="K66" s="58">
        <v>-4.0380047505938244</v>
      </c>
      <c r="L66" s="58">
        <v>8700</v>
      </c>
      <c r="M66" s="58">
        <v>5475</v>
      </c>
      <c r="N66" s="58">
        <v>15139.55</v>
      </c>
      <c r="O66" s="58">
        <v>11000</v>
      </c>
      <c r="P66" s="58" t="s">
        <v>29</v>
      </c>
      <c r="Q66" s="58">
        <v>239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1875</v>
      </c>
      <c r="Z66" s="58">
        <v>450</v>
      </c>
      <c r="AA66" s="58">
        <v>15143.3</v>
      </c>
      <c r="AD66" s="18" t="str">
        <f t="array" ref="AD66">IFERROR(INDEX($A$1:$A$2000, MATCH(0, IF($AD$1*1=$C$1:$C$2018*1, COUNTIF($AD$1:$AD65, $A$1:$A$2000), ""), 0)),"")</f>
        <v>682</v>
      </c>
      <c r="AE66" s="57">
        <f t="shared" si="1"/>
        <v>15350</v>
      </c>
      <c r="AF66" s="18">
        <f t="shared" si="2"/>
        <v>1.55</v>
      </c>
      <c r="AG66" s="18">
        <f t="shared" si="3"/>
        <v>8222</v>
      </c>
      <c r="AH66" s="18">
        <f t="shared" si="4"/>
        <v>34488</v>
      </c>
      <c r="AI66" s="18">
        <f t="shared" si="5"/>
        <v>289816</v>
      </c>
      <c r="AJ66" s="18">
        <f t="shared" si="6"/>
        <v>208.15</v>
      </c>
      <c r="AK66" s="18">
        <f t="shared" si="7"/>
        <v>358</v>
      </c>
      <c r="AL66" s="18">
        <f t="shared" si="8"/>
        <v>710</v>
      </c>
      <c r="AM66" s="18">
        <f t="shared" si="9"/>
        <v>5342</v>
      </c>
    </row>
    <row r="67" spans="1:39" x14ac:dyDescent="0.35">
      <c r="A67" s="56" t="s">
        <v>132</v>
      </c>
      <c r="B67" s="58">
        <v>11000</v>
      </c>
      <c r="C67" s="58" t="s">
        <v>28</v>
      </c>
      <c r="D67" s="58">
        <v>2506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0</v>
      </c>
      <c r="M67" s="58">
        <v>675</v>
      </c>
      <c r="N67" s="58">
        <v>15143.3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IF($AD$1*1=$C$1:$C$2018*1, COUNTIF($AD$1:$AD66, $A$1:$A$2000), ""), 0)),"")</f>
        <v>693</v>
      </c>
      <c r="AE67" s="57">
        <f t="shared" ref="AE67:AE130" si="15">IFERROR(VLOOKUP(AD67,$A$2:$AA$2000,2,0),"")</f>
        <v>15400</v>
      </c>
      <c r="AF67" s="18">
        <f t="shared" ref="AF67:AF130" si="16">IFERROR(VLOOKUP(AD67,$A$2:$AA$2000,22,0),"")</f>
        <v>1.1499999999999999</v>
      </c>
      <c r="AG67" s="18">
        <f t="shared" ref="AG67:AG130" si="17">IFERROR(VLOOKUP(AD67,$A$2:$AA$2000,18,0),"")</f>
        <v>17053</v>
      </c>
      <c r="AH67" s="18">
        <f t="shared" ref="AH67:AH130" si="18">IFERROR(VLOOKUP(AD67,$A$2:$AA$2000,17,0),"")</f>
        <v>51437</v>
      </c>
      <c r="AI67" s="18">
        <f t="shared" ref="AI67:AI130" si="19">IFERROR(VLOOKUP(AD67,$A$2:$AA$2000,20,0),"")</f>
        <v>308339</v>
      </c>
      <c r="AJ67" s="18">
        <f t="shared" ref="AJ67:AJ130" si="20">IFERROR(VLOOKUP(AD67,$A$2:$AA$2000,9,0),"")</f>
        <v>256.25</v>
      </c>
      <c r="AK67" s="18">
        <f t="shared" ref="AK67:AK130" si="21">IFERROR(VLOOKUP(AD67,$A$2:$AA$2000,5,0),"")</f>
        <v>315</v>
      </c>
      <c r="AL67" s="18">
        <f t="shared" ref="AL67:AL130" si="22">IFERROR(VLOOKUP(AD67,$A$2:$AA$2000,4,0),"")</f>
        <v>756</v>
      </c>
      <c r="AM67" s="18">
        <f t="shared" ref="AM67:AM130" si="23">IFERROR(VLOOKUP(AD67,$A$2:$AA$2000,7,0),"")</f>
        <v>7810</v>
      </c>
    </row>
    <row r="68" spans="1:39" x14ac:dyDescent="0.35">
      <c r="A68" s="56" t="s">
        <v>133</v>
      </c>
      <c r="B68" s="58">
        <v>11000</v>
      </c>
      <c r="C68" s="58" t="s">
        <v>26</v>
      </c>
      <c r="D68" s="58">
        <v>7077</v>
      </c>
      <c r="E68" s="58">
        <v>118</v>
      </c>
      <c r="F68" s="58">
        <v>1.695645926138813</v>
      </c>
      <c r="G68" s="58">
        <v>697</v>
      </c>
      <c r="H68" s="58">
        <v>61.51</v>
      </c>
      <c r="I68" s="58">
        <v>2.4</v>
      </c>
      <c r="J68" s="58">
        <v>-0.85000000000000009</v>
      </c>
      <c r="K68" s="58">
        <v>-26.153846153846157</v>
      </c>
      <c r="L68" s="58">
        <v>32925</v>
      </c>
      <c r="M68" s="58">
        <v>57675</v>
      </c>
      <c r="N68" s="58">
        <v>15143.3</v>
      </c>
      <c r="O68" s="58">
        <v>11000</v>
      </c>
      <c r="P68" s="58" t="s">
        <v>26</v>
      </c>
      <c r="Q68" s="58">
        <v>1119</v>
      </c>
      <c r="R68" s="58">
        <v>-2</v>
      </c>
      <c r="S68" s="58">
        <v>-0.17841213202497769</v>
      </c>
      <c r="T68" s="58">
        <v>5</v>
      </c>
      <c r="U68" s="58">
        <v>0</v>
      </c>
      <c r="V68" s="58">
        <v>4175</v>
      </c>
      <c r="W68" s="58">
        <v>225</v>
      </c>
      <c r="X68" s="58">
        <v>5.6962025316455698</v>
      </c>
      <c r="Y68" s="58">
        <v>12600</v>
      </c>
      <c r="Z68" s="58">
        <v>12900</v>
      </c>
      <c r="AA68" s="58">
        <v>15143.3</v>
      </c>
      <c r="AD68" s="18" t="str">
        <f t="array" ref="AD68">IFERROR(INDEX($A$1:$A$2000, MATCH(0, IF($AD$1*1=$C$1:$C$2018*1, COUNTIF($AD$1:$AD67, $A$1:$A$2000), ""), 0)),"")</f>
        <v>703</v>
      </c>
      <c r="AE68" s="57">
        <f t="shared" si="15"/>
        <v>15450</v>
      </c>
      <c r="AF68" s="18">
        <f t="shared" si="16"/>
        <v>1</v>
      </c>
      <c r="AG68" s="18">
        <f t="shared" si="17"/>
        <v>5600</v>
      </c>
      <c r="AH68" s="18">
        <f t="shared" si="18"/>
        <v>15506</v>
      </c>
      <c r="AI68" s="18">
        <f t="shared" si="19"/>
        <v>78679</v>
      </c>
      <c r="AJ68" s="18">
        <f t="shared" si="20"/>
        <v>306.10000000000002</v>
      </c>
      <c r="AK68" s="18">
        <f t="shared" si="21"/>
        <v>90</v>
      </c>
      <c r="AL68" s="18">
        <f t="shared" si="22"/>
        <v>277</v>
      </c>
      <c r="AM68" s="18">
        <f t="shared" si="23"/>
        <v>463</v>
      </c>
    </row>
    <row r="69" spans="1:39" x14ac:dyDescent="0.35">
      <c r="A69" s="56" t="s">
        <v>134</v>
      </c>
      <c r="B69" s="58">
        <v>11000</v>
      </c>
      <c r="C69" s="58" t="s">
        <v>27</v>
      </c>
      <c r="D69" s="58">
        <v>758</v>
      </c>
      <c r="E69" s="58">
        <v>0</v>
      </c>
      <c r="F69" s="58">
        <v>0</v>
      </c>
      <c r="G69" s="58">
        <v>1</v>
      </c>
      <c r="H69" s="58">
        <v>35.18</v>
      </c>
      <c r="I69" s="58">
        <v>31.25</v>
      </c>
      <c r="J69" s="58">
        <v>-2.7000000000000028</v>
      </c>
      <c r="K69" s="58">
        <v>-7.9528718703976518</v>
      </c>
      <c r="L69" s="58">
        <v>6450</v>
      </c>
      <c r="M69" s="58">
        <v>3450</v>
      </c>
      <c r="N69" s="58">
        <v>15139.55</v>
      </c>
      <c r="O69" s="58">
        <v>11000</v>
      </c>
      <c r="P69" s="58" t="s">
        <v>27</v>
      </c>
      <c r="Q69" s="58">
        <v>124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2025</v>
      </c>
      <c r="Z69" s="58">
        <v>75</v>
      </c>
      <c r="AA69" s="58">
        <v>15143.3</v>
      </c>
      <c r="AD69" s="18" t="str">
        <f t="array" ref="AD69">IFERROR(INDEX($A$1:$A$2000, MATCH(0, IF($AD$1*1=$C$1:$C$2018*1, COUNTIF($AD$1:$AD68, $A$1:$A$2000), ""), 0)),"")</f>
        <v>715</v>
      </c>
      <c r="AE69" s="57">
        <f t="shared" si="15"/>
        <v>15500</v>
      </c>
      <c r="AF69" s="18">
        <f t="shared" si="16"/>
        <v>0.85</v>
      </c>
      <c r="AG69" s="18">
        <f t="shared" si="17"/>
        <v>29120</v>
      </c>
      <c r="AH69" s="18">
        <f t="shared" si="18"/>
        <v>82046</v>
      </c>
      <c r="AI69" s="18">
        <f t="shared" si="19"/>
        <v>247584</v>
      </c>
      <c r="AJ69" s="18">
        <f t="shared" si="20"/>
        <v>356</v>
      </c>
      <c r="AK69" s="18">
        <f t="shared" si="21"/>
        <v>-83</v>
      </c>
      <c r="AL69" s="18">
        <f t="shared" si="22"/>
        <v>2125</v>
      </c>
      <c r="AM69" s="18">
        <f t="shared" si="23"/>
        <v>1549</v>
      </c>
    </row>
    <row r="70" spans="1:39" x14ac:dyDescent="0.35">
      <c r="A70" s="56" t="s">
        <v>135</v>
      </c>
      <c r="B70" s="58">
        <v>11000</v>
      </c>
      <c r="C70" s="58" t="s">
        <v>31</v>
      </c>
      <c r="D70" s="58">
        <v>0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3750</v>
      </c>
      <c r="M70" s="58">
        <v>75</v>
      </c>
      <c r="N70" s="58">
        <v>15139.55</v>
      </c>
      <c r="O70" s="58">
        <v>11000</v>
      </c>
      <c r="P70" s="58" t="s">
        <v>31</v>
      </c>
      <c r="Q70" s="58">
        <v>2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1200</v>
      </c>
      <c r="Z70" s="58">
        <v>0</v>
      </c>
      <c r="AA70" s="58">
        <v>15143.3</v>
      </c>
      <c r="AD70" s="18" t="str">
        <f t="array" ref="AD70">IFERROR(INDEX($A$1:$A$2000, MATCH(0, IF($AD$1*1=$C$1:$C$2018*1, COUNTIF($AD$1:$AD69, $A$1:$A$2000), ""), 0)),"")</f>
        <v>725</v>
      </c>
      <c r="AE70" s="57">
        <f t="shared" si="15"/>
        <v>15550</v>
      </c>
      <c r="AF70" s="18">
        <f t="shared" si="16"/>
        <v>0.7</v>
      </c>
      <c r="AG70" s="18">
        <f t="shared" si="17"/>
        <v>3101</v>
      </c>
      <c r="AH70" s="18">
        <f t="shared" si="18"/>
        <v>10712</v>
      </c>
      <c r="AI70" s="18">
        <f t="shared" si="19"/>
        <v>25424</v>
      </c>
      <c r="AJ70" s="18">
        <f t="shared" si="20"/>
        <v>408.7</v>
      </c>
      <c r="AK70" s="18">
        <f t="shared" si="21"/>
        <v>4</v>
      </c>
      <c r="AL70" s="18">
        <f t="shared" si="22"/>
        <v>29</v>
      </c>
      <c r="AM70" s="18">
        <f t="shared" si="23"/>
        <v>23</v>
      </c>
    </row>
    <row r="71" spans="1:39" x14ac:dyDescent="0.35">
      <c r="A71" s="56" t="s">
        <v>136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0</v>
      </c>
      <c r="M71" s="58">
        <v>150</v>
      </c>
      <c r="N71" s="58">
        <v>15143.3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IF($AD$1*1=$C$1:$C$2018*1, COUNTIF($AD$1:$AD70, $A$1:$A$2000), ""), 0)),"")</f>
        <v>727</v>
      </c>
      <c r="AE71" s="57">
        <f t="shared" si="15"/>
        <v>15600</v>
      </c>
      <c r="AF71" s="18">
        <f t="shared" si="16"/>
        <v>0.65</v>
      </c>
      <c r="AG71" s="18">
        <f t="shared" si="17"/>
        <v>5991</v>
      </c>
      <c r="AH71" s="18">
        <f t="shared" si="18"/>
        <v>40165</v>
      </c>
      <c r="AI71" s="18">
        <f t="shared" si="19"/>
        <v>79168</v>
      </c>
      <c r="AJ71" s="18">
        <f t="shared" si="20"/>
        <v>459.35</v>
      </c>
      <c r="AK71" s="18">
        <f t="shared" si="21"/>
        <v>-16</v>
      </c>
      <c r="AL71" s="18">
        <f t="shared" si="22"/>
        <v>273</v>
      </c>
      <c r="AM71" s="18">
        <f t="shared" si="23"/>
        <v>490</v>
      </c>
    </row>
    <row r="72" spans="1:39" x14ac:dyDescent="0.35">
      <c r="A72" s="56" t="s">
        <v>137</v>
      </c>
      <c r="B72" s="58">
        <v>11100</v>
      </c>
      <c r="C72" s="58" t="s">
        <v>27</v>
      </c>
      <c r="D72" s="58">
        <v>11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58">
        <v>0</v>
      </c>
      <c r="K72" s="58">
        <v>0</v>
      </c>
      <c r="L72" s="58">
        <v>750</v>
      </c>
      <c r="M72" s="58">
        <v>0</v>
      </c>
      <c r="N72" s="58">
        <v>15139.55</v>
      </c>
      <c r="O72" s="58">
        <v>0</v>
      </c>
      <c r="P72" s="58">
        <v>0</v>
      </c>
      <c r="Q72" s="58">
        <v>0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0</v>
      </c>
      <c r="Z72" s="58">
        <v>0</v>
      </c>
      <c r="AA72" s="58">
        <v>0</v>
      </c>
      <c r="AD72" s="18" t="str">
        <f t="array" ref="AD72">IFERROR(INDEX($A$1:$A$2000, MATCH(0, IF($AD$1*1=$C$1:$C$2018*1, COUNTIF($AD$1:$AD71, $A$1:$A$2000), ""), 0)),"")</f>
        <v>746</v>
      </c>
      <c r="AE72" s="57">
        <f t="shared" si="15"/>
        <v>15650</v>
      </c>
      <c r="AF72" s="18">
        <f t="shared" si="16"/>
        <v>0.6</v>
      </c>
      <c r="AG72" s="18">
        <f t="shared" si="17"/>
        <v>213</v>
      </c>
      <c r="AH72" s="18">
        <f t="shared" si="18"/>
        <v>3894</v>
      </c>
      <c r="AI72" s="18">
        <f t="shared" si="19"/>
        <v>7491</v>
      </c>
      <c r="AJ72" s="18">
        <f t="shared" si="20"/>
        <v>455</v>
      </c>
      <c r="AK72" s="18">
        <f t="shared" si="21"/>
        <v>0</v>
      </c>
      <c r="AL72" s="18">
        <f t="shared" si="22"/>
        <v>19</v>
      </c>
      <c r="AM72" s="18">
        <f t="shared" si="23"/>
        <v>1</v>
      </c>
    </row>
    <row r="73" spans="1:39" x14ac:dyDescent="0.35">
      <c r="A73" s="56" t="s">
        <v>138</v>
      </c>
      <c r="B73" s="58">
        <v>11100</v>
      </c>
      <c r="C73" s="58" t="s">
        <v>29</v>
      </c>
      <c r="D73" s="58">
        <v>2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750</v>
      </c>
      <c r="M73" s="58">
        <v>75</v>
      </c>
      <c r="N73" s="58">
        <v>15143.3</v>
      </c>
      <c r="O73" s="58">
        <v>0</v>
      </c>
      <c r="P73" s="58">
        <v>0</v>
      </c>
      <c r="Q73" s="58">
        <v>0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0</v>
      </c>
      <c r="Z73" s="58">
        <v>0</v>
      </c>
      <c r="AA73" s="58">
        <v>0</v>
      </c>
      <c r="AD73" s="18" t="str">
        <f t="array" ref="AD73">IFERROR(INDEX($A$1:$A$2000, MATCH(0, IF($AD$1*1=$C$1:$C$2018*1, COUNTIF($AD$1:$AD72, $A$1:$A$2000), ""), 0)),"")</f>
        <v>747</v>
      </c>
      <c r="AE73" s="57">
        <f t="shared" si="15"/>
        <v>15700</v>
      </c>
      <c r="AF73" s="18">
        <f t="shared" si="16"/>
        <v>0.55000000000000004</v>
      </c>
      <c r="AG73" s="18">
        <f t="shared" si="17"/>
        <v>-6964</v>
      </c>
      <c r="AH73" s="18">
        <f t="shared" si="18"/>
        <v>26015</v>
      </c>
      <c r="AI73" s="18">
        <f t="shared" si="19"/>
        <v>72931</v>
      </c>
      <c r="AJ73" s="18">
        <f t="shared" si="20"/>
        <v>559.85</v>
      </c>
      <c r="AK73" s="18">
        <f t="shared" si="21"/>
        <v>1</v>
      </c>
      <c r="AL73" s="18">
        <f t="shared" si="22"/>
        <v>64</v>
      </c>
      <c r="AM73" s="18">
        <f t="shared" si="23"/>
        <v>37</v>
      </c>
    </row>
    <row r="74" spans="1:39" x14ac:dyDescent="0.35">
      <c r="A74" s="56" t="s">
        <v>139</v>
      </c>
      <c r="B74" s="58">
        <v>11200</v>
      </c>
      <c r="C74" s="58" t="s">
        <v>27</v>
      </c>
      <c r="D74" s="58">
        <v>252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750</v>
      </c>
      <c r="M74" s="58">
        <v>75</v>
      </c>
      <c r="N74" s="58">
        <v>15139.55</v>
      </c>
      <c r="O74" s="58">
        <v>11200</v>
      </c>
      <c r="P74" s="58" t="s">
        <v>27</v>
      </c>
      <c r="Q74" s="58">
        <v>398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1875</v>
      </c>
      <c r="Z74" s="58">
        <v>0</v>
      </c>
      <c r="AA74" s="58">
        <v>15139.55</v>
      </c>
      <c r="AD74" s="18" t="str">
        <f t="array" ref="AD74">IFERROR(INDEX($A$1:$A$2000, MATCH(0, IF($AD$1*1=$C$1:$C$2018*1, COUNTIF($AD$1:$AD73, $A$1:$A$2000), ""), 0)),"")</f>
        <v>757</v>
      </c>
      <c r="AE74" s="57">
        <f t="shared" si="15"/>
        <v>15750</v>
      </c>
      <c r="AF74" s="18">
        <f t="shared" si="16"/>
        <v>0.55000000000000004</v>
      </c>
      <c r="AG74" s="18">
        <f t="shared" si="17"/>
        <v>471</v>
      </c>
      <c r="AH74" s="18">
        <f t="shared" si="18"/>
        <v>2476</v>
      </c>
      <c r="AI74" s="18">
        <f t="shared" si="19"/>
        <v>3345</v>
      </c>
      <c r="AJ74" s="18">
        <f t="shared" si="20"/>
        <v>0</v>
      </c>
      <c r="AK74" s="18">
        <f t="shared" si="21"/>
        <v>0</v>
      </c>
      <c r="AL74" s="18">
        <f t="shared" si="22"/>
        <v>2</v>
      </c>
      <c r="AM74" s="18">
        <f t="shared" si="23"/>
        <v>0</v>
      </c>
    </row>
    <row r="75" spans="1:39" x14ac:dyDescent="0.35">
      <c r="A75" s="56" t="s">
        <v>140</v>
      </c>
      <c r="B75" s="58">
        <v>11300</v>
      </c>
      <c r="C75" s="58" t="s">
        <v>30</v>
      </c>
      <c r="D75" s="58">
        <v>116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225</v>
      </c>
      <c r="N75" s="58">
        <v>15143.3</v>
      </c>
      <c r="O75" s="58">
        <v>0</v>
      </c>
      <c r="P75" s="58">
        <v>0</v>
      </c>
      <c r="Q75" s="58">
        <v>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0</v>
      </c>
      <c r="Z75" s="58">
        <v>0</v>
      </c>
      <c r="AA75" s="58">
        <v>0</v>
      </c>
      <c r="AD75" s="18" t="str">
        <f t="array" ref="AD75">IFERROR(INDEX($A$1:$A$2000, MATCH(0, IF($AD$1*1=$C$1:$C$2018*1, COUNTIF($AD$1:$AD74, $A$1:$A$2000), ""), 0)),"")</f>
        <v>775</v>
      </c>
      <c r="AE75" s="57">
        <f t="shared" si="15"/>
        <v>15800</v>
      </c>
      <c r="AF75" s="18">
        <f t="shared" si="16"/>
        <v>0.5</v>
      </c>
      <c r="AG75" s="18">
        <f t="shared" si="17"/>
        <v>-4309</v>
      </c>
      <c r="AH75" s="18">
        <f t="shared" si="18"/>
        <v>22734</v>
      </c>
      <c r="AI75" s="18">
        <f t="shared" si="19"/>
        <v>45294</v>
      </c>
      <c r="AJ75" s="18">
        <f t="shared" si="20"/>
        <v>659.05</v>
      </c>
      <c r="AK75" s="18">
        <f t="shared" si="21"/>
        <v>0</v>
      </c>
      <c r="AL75" s="18">
        <f t="shared" si="22"/>
        <v>18</v>
      </c>
      <c r="AM75" s="18">
        <f t="shared" si="23"/>
        <v>4</v>
      </c>
    </row>
    <row r="76" spans="1:39" x14ac:dyDescent="0.35">
      <c r="A76" s="56" t="s">
        <v>141</v>
      </c>
      <c r="B76" s="58">
        <v>11300</v>
      </c>
      <c r="C76" s="58" t="s">
        <v>29</v>
      </c>
      <c r="D76" s="58">
        <v>9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75</v>
      </c>
      <c r="N76" s="58">
        <v>15139.55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IF($AD$1*1=$C$1:$C$2018*1, COUNTIF($AD$1:$AD75, $A$1:$A$2000), ""), 0)),"")</f>
        <v>786</v>
      </c>
      <c r="AE76" s="57">
        <f t="shared" si="15"/>
        <v>15850</v>
      </c>
      <c r="AF76" s="18">
        <f t="shared" si="16"/>
        <v>0.45</v>
      </c>
      <c r="AG76" s="18">
        <f t="shared" si="17"/>
        <v>-156</v>
      </c>
      <c r="AH76" s="18">
        <f t="shared" si="18"/>
        <v>1213</v>
      </c>
      <c r="AI76" s="18">
        <f t="shared" si="19"/>
        <v>1736</v>
      </c>
      <c r="AJ76" s="18">
        <f t="shared" si="20"/>
        <v>0</v>
      </c>
      <c r="AK76" s="18">
        <f t="shared" si="21"/>
        <v>0</v>
      </c>
      <c r="AL76" s="18">
        <f t="shared" si="22"/>
        <v>0</v>
      </c>
      <c r="AM76" s="18">
        <f t="shared" si="23"/>
        <v>0</v>
      </c>
    </row>
    <row r="77" spans="1:39" x14ac:dyDescent="0.35">
      <c r="A77" s="56" t="s">
        <v>142</v>
      </c>
      <c r="B77" s="58">
        <v>11300</v>
      </c>
      <c r="C77" s="58" t="s">
        <v>27</v>
      </c>
      <c r="D77" s="58">
        <v>19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750</v>
      </c>
      <c r="M77" s="58">
        <v>75</v>
      </c>
      <c r="N77" s="58">
        <v>15139.55</v>
      </c>
      <c r="O77" s="58">
        <v>11300</v>
      </c>
      <c r="P77" s="58" t="s">
        <v>27</v>
      </c>
      <c r="Q77" s="58">
        <v>1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2100</v>
      </c>
      <c r="Z77" s="58">
        <v>75</v>
      </c>
      <c r="AA77" s="58">
        <v>15143.3</v>
      </c>
      <c r="AD77" s="18" t="str">
        <f t="array" ref="AD77">IFERROR(INDEX($A$1:$A$2000, MATCH(0, IF($AD$1*1=$C$1:$C$2018*1, COUNTIF($AD$1:$AD76, $A$1:$A$2000), ""), 0)),"")</f>
        <v>792</v>
      </c>
      <c r="AE77" s="57">
        <f t="shared" si="15"/>
        <v>15900</v>
      </c>
      <c r="AF77" s="18">
        <f t="shared" si="16"/>
        <v>0.5</v>
      </c>
      <c r="AG77" s="18">
        <f t="shared" si="17"/>
        <v>-824</v>
      </c>
      <c r="AH77" s="18">
        <f t="shared" si="18"/>
        <v>6943</v>
      </c>
      <c r="AI77" s="18">
        <f t="shared" si="19"/>
        <v>11849</v>
      </c>
      <c r="AJ77" s="18">
        <f t="shared" si="20"/>
        <v>0</v>
      </c>
      <c r="AK77" s="18">
        <f t="shared" si="21"/>
        <v>0</v>
      </c>
      <c r="AL77" s="18">
        <f t="shared" si="22"/>
        <v>3</v>
      </c>
      <c r="AM77" s="18">
        <f t="shared" si="23"/>
        <v>0</v>
      </c>
    </row>
    <row r="78" spans="1:39" x14ac:dyDescent="0.35">
      <c r="A78" s="56" t="s">
        <v>143</v>
      </c>
      <c r="B78" s="58">
        <v>11400</v>
      </c>
      <c r="C78" s="58" t="s">
        <v>27</v>
      </c>
      <c r="D78" s="58">
        <v>690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75</v>
      </c>
      <c r="N78" s="58">
        <v>15143.3</v>
      </c>
      <c r="O78" s="58">
        <v>11400</v>
      </c>
      <c r="P78" s="58" t="s">
        <v>27</v>
      </c>
      <c r="Q78" s="58">
        <v>1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1875</v>
      </c>
      <c r="Z78" s="58">
        <v>75</v>
      </c>
      <c r="AA78" s="58">
        <v>15143.3</v>
      </c>
      <c r="AD78" s="18" t="str">
        <f t="array" ref="AD78">IFERROR(INDEX($A$1:$A$2000, MATCH(0, IF($AD$1*1=$C$1:$C$2018*1, COUNTIF($AD$1:$AD77, $A$1:$A$2000), ""), 0)),"")</f>
        <v>805</v>
      </c>
      <c r="AE78" s="57">
        <f t="shared" si="15"/>
        <v>15950</v>
      </c>
      <c r="AF78" s="18">
        <f t="shared" si="16"/>
        <v>0.4</v>
      </c>
      <c r="AG78" s="18">
        <f t="shared" si="17"/>
        <v>-69</v>
      </c>
      <c r="AH78" s="18">
        <f t="shared" si="18"/>
        <v>477</v>
      </c>
      <c r="AI78" s="18">
        <f t="shared" si="19"/>
        <v>1627</v>
      </c>
      <c r="AJ78" s="18">
        <f t="shared" si="20"/>
        <v>770</v>
      </c>
      <c r="AK78" s="18">
        <f t="shared" si="21"/>
        <v>0</v>
      </c>
      <c r="AL78" s="18">
        <f t="shared" si="22"/>
        <v>2</v>
      </c>
      <c r="AM78" s="18">
        <f t="shared" si="23"/>
        <v>1</v>
      </c>
    </row>
    <row r="79" spans="1:39" x14ac:dyDescent="0.35">
      <c r="A79" s="56" t="s">
        <v>144</v>
      </c>
      <c r="B79" s="58">
        <v>11400</v>
      </c>
      <c r="C79" s="58" t="s">
        <v>29</v>
      </c>
      <c r="D79" s="58">
        <v>20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150</v>
      </c>
      <c r="N79" s="58">
        <v>15139.55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IF($AD$1*1=$C$1:$C$2018*1, COUNTIF($AD$1:$AD78, $A$1:$A$2000), ""), 0)),"")</f>
        <v>819</v>
      </c>
      <c r="AE79" s="57">
        <f t="shared" si="15"/>
        <v>16000</v>
      </c>
      <c r="AF79" s="18">
        <f t="shared" si="16"/>
        <v>0.4</v>
      </c>
      <c r="AG79" s="18">
        <f t="shared" si="17"/>
        <v>-5800</v>
      </c>
      <c r="AH79" s="18">
        <f t="shared" si="18"/>
        <v>33860</v>
      </c>
      <c r="AI79" s="18">
        <f t="shared" si="19"/>
        <v>58806</v>
      </c>
      <c r="AJ79" s="18">
        <f t="shared" si="20"/>
        <v>856</v>
      </c>
      <c r="AK79" s="18">
        <f t="shared" si="21"/>
        <v>-11</v>
      </c>
      <c r="AL79" s="18">
        <f t="shared" si="22"/>
        <v>60</v>
      </c>
      <c r="AM79" s="18">
        <f t="shared" si="23"/>
        <v>37</v>
      </c>
    </row>
    <row r="80" spans="1:39" x14ac:dyDescent="0.35">
      <c r="A80" s="56" t="s">
        <v>145</v>
      </c>
      <c r="B80" s="58">
        <v>11500</v>
      </c>
      <c r="C80" s="58" t="s">
        <v>30</v>
      </c>
      <c r="D80" s="58">
        <v>383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0</v>
      </c>
      <c r="M80" s="58">
        <v>150</v>
      </c>
      <c r="N80" s="58">
        <v>15143.3</v>
      </c>
      <c r="O80" s="58">
        <v>0</v>
      </c>
      <c r="P80" s="58">
        <v>0</v>
      </c>
      <c r="Q80" s="58">
        <v>0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0</v>
      </c>
      <c r="Z80" s="58">
        <v>0</v>
      </c>
      <c r="AA80" s="58">
        <v>0</v>
      </c>
      <c r="AD80" s="18" t="str">
        <f t="array" ref="AD80">IFERROR(INDEX($A$1:$A$2000, MATCH(0, IF($AD$1*1=$C$1:$C$2018*1, COUNTIF($AD$1:$AD79, $A$1:$A$2000), ""), 0)),"")</f>
        <v>821</v>
      </c>
      <c r="AE80" s="57">
        <f t="shared" si="15"/>
        <v>16050</v>
      </c>
      <c r="AF80" s="18">
        <f t="shared" si="16"/>
        <v>0.4</v>
      </c>
      <c r="AG80" s="18">
        <f t="shared" si="17"/>
        <v>-25</v>
      </c>
      <c r="AH80" s="18">
        <f t="shared" si="18"/>
        <v>198</v>
      </c>
      <c r="AI80" s="18">
        <f t="shared" si="19"/>
        <v>76</v>
      </c>
      <c r="AJ80" s="18">
        <f t="shared" si="20"/>
        <v>0</v>
      </c>
      <c r="AK80" s="18">
        <f t="shared" si="21"/>
        <v>0</v>
      </c>
      <c r="AL80" s="18">
        <f t="shared" si="22"/>
        <v>1</v>
      </c>
      <c r="AM80" s="18">
        <f t="shared" si="23"/>
        <v>0</v>
      </c>
    </row>
    <row r="81" spans="1:39" x14ac:dyDescent="0.35">
      <c r="A81" s="56" t="s">
        <v>146</v>
      </c>
      <c r="B81" s="58">
        <v>11500</v>
      </c>
      <c r="C81" s="58" t="s">
        <v>26</v>
      </c>
      <c r="D81" s="58">
        <v>7463</v>
      </c>
      <c r="E81" s="58">
        <v>-136</v>
      </c>
      <c r="F81" s="58">
        <v>-1.7897091722595078</v>
      </c>
      <c r="G81" s="58">
        <v>723</v>
      </c>
      <c r="H81" s="58">
        <v>55.86</v>
      </c>
      <c r="I81" s="58">
        <v>3.05</v>
      </c>
      <c r="J81" s="58">
        <v>-1.2999999999999998</v>
      </c>
      <c r="K81" s="58">
        <v>-29.885057471264364</v>
      </c>
      <c r="L81" s="58">
        <v>32100</v>
      </c>
      <c r="M81" s="58">
        <v>52050</v>
      </c>
      <c r="N81" s="58">
        <v>15139.55</v>
      </c>
      <c r="O81" s="58">
        <v>11500</v>
      </c>
      <c r="P81" s="58" t="s">
        <v>26</v>
      </c>
      <c r="Q81" s="58">
        <v>2642</v>
      </c>
      <c r="R81" s="58">
        <v>-9</v>
      </c>
      <c r="S81" s="58">
        <v>-0.33949453036589966</v>
      </c>
      <c r="T81" s="58">
        <v>11</v>
      </c>
      <c r="U81" s="58">
        <v>0</v>
      </c>
      <c r="V81" s="58">
        <v>3658</v>
      </c>
      <c r="W81" s="58">
        <v>42.050000000000182</v>
      </c>
      <c r="X81" s="58">
        <v>1.1629032481090773</v>
      </c>
      <c r="Y81" s="58">
        <v>13275</v>
      </c>
      <c r="Z81" s="58">
        <v>13275</v>
      </c>
      <c r="AA81" s="58">
        <v>15143.3</v>
      </c>
      <c r="AD81" s="18" t="str">
        <f t="array" ref="AD81">IFERROR(INDEX($A$1:$A$2000, MATCH(0, IF($AD$1*1=$C$1:$C$2018*1, COUNTIF($AD$1:$AD80, $A$1:$A$2000), ""), 0)),"")</f>
        <v>839</v>
      </c>
      <c r="AE81" s="57">
        <f t="shared" si="15"/>
        <v>16100</v>
      </c>
      <c r="AF81" s="18">
        <f t="shared" si="16"/>
        <v>0.35</v>
      </c>
      <c r="AG81" s="18">
        <f t="shared" si="17"/>
        <v>-315</v>
      </c>
      <c r="AH81" s="18">
        <f t="shared" si="18"/>
        <v>4472</v>
      </c>
      <c r="AI81" s="18">
        <f t="shared" si="19"/>
        <v>5695</v>
      </c>
      <c r="AJ81" s="18">
        <f t="shared" si="20"/>
        <v>0</v>
      </c>
      <c r="AK81" s="18">
        <f t="shared" si="21"/>
        <v>0</v>
      </c>
      <c r="AL81" s="18">
        <f t="shared" si="22"/>
        <v>1</v>
      </c>
      <c r="AM81" s="18">
        <f t="shared" si="23"/>
        <v>0</v>
      </c>
    </row>
    <row r="82" spans="1:39" x14ac:dyDescent="0.35">
      <c r="A82" s="56" t="s">
        <v>147</v>
      </c>
      <c r="B82" s="58">
        <v>11500</v>
      </c>
      <c r="C82" s="58" t="s">
        <v>27</v>
      </c>
      <c r="D82" s="58">
        <v>157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10200</v>
      </c>
      <c r="M82" s="58">
        <v>2775</v>
      </c>
      <c r="N82" s="58">
        <v>15143.3</v>
      </c>
      <c r="O82" s="58">
        <v>11500</v>
      </c>
      <c r="P82" s="58" t="s">
        <v>27</v>
      </c>
      <c r="Q82" s="58">
        <v>531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2175</v>
      </c>
      <c r="Z82" s="58">
        <v>150</v>
      </c>
      <c r="AA82" s="58">
        <v>15143.3</v>
      </c>
      <c r="AD82" s="18" t="str">
        <f t="array" ref="AD82">IFERROR(INDEX($A$1:$A$2000, MATCH(0, IF($AD$1*1=$C$1:$C$2018*1, COUNTIF($AD$1:$AD81, $A$1:$A$2000), ""), 0)),"")</f>
        <v>850</v>
      </c>
      <c r="AE82" s="57">
        <f t="shared" si="15"/>
        <v>16150</v>
      </c>
      <c r="AF82" s="18">
        <f t="shared" si="16"/>
        <v>0.3</v>
      </c>
      <c r="AG82" s="18">
        <f t="shared" si="17"/>
        <v>1</v>
      </c>
      <c r="AH82" s="18">
        <f t="shared" si="18"/>
        <v>112</v>
      </c>
      <c r="AI82" s="18">
        <f t="shared" si="19"/>
        <v>180</v>
      </c>
      <c r="AJ82" s="18">
        <f t="shared" si="20"/>
        <v>0</v>
      </c>
      <c r="AK82" s="18">
        <f t="shared" si="21"/>
        <v>0</v>
      </c>
      <c r="AL82" s="18">
        <f t="shared" si="22"/>
        <v>5</v>
      </c>
      <c r="AM82" s="18">
        <f t="shared" si="23"/>
        <v>0</v>
      </c>
    </row>
    <row r="83" spans="1:39" x14ac:dyDescent="0.35">
      <c r="A83" s="56" t="s">
        <v>148</v>
      </c>
      <c r="B83" s="58">
        <v>0</v>
      </c>
      <c r="C83" s="58">
        <v>0</v>
      </c>
      <c r="D83" s="58">
        <v>0</v>
      </c>
      <c r="E83" s="58">
        <v>0</v>
      </c>
      <c r="F83" s="58">
        <v>0</v>
      </c>
      <c r="G83" s="58">
        <v>0</v>
      </c>
      <c r="H83" s="58">
        <v>0</v>
      </c>
      <c r="I83" s="58">
        <v>0</v>
      </c>
      <c r="J83" s="58">
        <v>0</v>
      </c>
      <c r="K83" s="58">
        <v>0</v>
      </c>
      <c r="L83" s="58">
        <v>0</v>
      </c>
      <c r="M83" s="58">
        <v>0</v>
      </c>
      <c r="N83" s="58">
        <v>0</v>
      </c>
      <c r="O83" s="58">
        <v>11500</v>
      </c>
      <c r="P83" s="58" t="s">
        <v>28</v>
      </c>
      <c r="Q83" s="58">
        <v>51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900</v>
      </c>
      <c r="Z83" s="58">
        <v>0</v>
      </c>
      <c r="AA83" s="58">
        <v>15139.55</v>
      </c>
      <c r="AD83" s="18" t="str">
        <f t="array" ref="AD83">IFERROR(INDEX($A$1:$A$2000, MATCH(0, IF($AD$1*1=$C$1:$C$2018*1, COUNTIF($AD$1:$AD82, $A$1:$A$2000), ""), 0)),"")</f>
        <v>851</v>
      </c>
      <c r="AE83" s="57">
        <f t="shared" si="15"/>
        <v>16200</v>
      </c>
      <c r="AF83" s="18">
        <f t="shared" si="16"/>
        <v>0.35</v>
      </c>
      <c r="AG83" s="18">
        <f t="shared" si="17"/>
        <v>-2484</v>
      </c>
      <c r="AH83" s="18">
        <f t="shared" si="18"/>
        <v>6421</v>
      </c>
      <c r="AI83" s="18">
        <f t="shared" si="19"/>
        <v>7038</v>
      </c>
      <c r="AJ83" s="18">
        <f t="shared" si="20"/>
        <v>0</v>
      </c>
      <c r="AK83" s="18">
        <f t="shared" si="21"/>
        <v>0</v>
      </c>
      <c r="AL83" s="18">
        <f t="shared" si="22"/>
        <v>3</v>
      </c>
      <c r="AM83" s="18">
        <f t="shared" si="23"/>
        <v>0</v>
      </c>
    </row>
    <row r="84" spans="1:39" x14ac:dyDescent="0.35">
      <c r="A84" s="56" t="s">
        <v>149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3750</v>
      </c>
      <c r="M84" s="58">
        <v>75</v>
      </c>
      <c r="N84" s="58">
        <v>15139.55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15139.55</v>
      </c>
      <c r="AD84" s="18" t="str">
        <f t="array" ref="AD84">IFERROR(INDEX($A$1:$A$2000, MATCH(0, IF($AD$1*1=$C$1:$C$2018*1, COUNTIF($AD$1:$AD83, $A$1:$A$2000), ""), 0)),"")</f>
        <v>861</v>
      </c>
      <c r="AE84" s="57">
        <f t="shared" si="15"/>
        <v>16250</v>
      </c>
      <c r="AF84" s="18">
        <f t="shared" si="16"/>
        <v>0.15</v>
      </c>
      <c r="AG84" s="18">
        <f t="shared" si="17"/>
        <v>14</v>
      </c>
      <c r="AH84" s="18">
        <f t="shared" si="18"/>
        <v>113</v>
      </c>
      <c r="AI84" s="18">
        <f t="shared" si="19"/>
        <v>56</v>
      </c>
      <c r="AJ84" s="18">
        <f t="shared" si="20"/>
        <v>0</v>
      </c>
      <c r="AK84" s="18">
        <f t="shared" si="21"/>
        <v>0</v>
      </c>
      <c r="AL84" s="18">
        <f t="shared" si="22"/>
        <v>0</v>
      </c>
      <c r="AM84" s="18">
        <f t="shared" si="23"/>
        <v>0</v>
      </c>
    </row>
    <row r="85" spans="1:39" x14ac:dyDescent="0.35">
      <c r="A85" s="56" t="s">
        <v>150</v>
      </c>
      <c r="B85" s="58">
        <v>11500</v>
      </c>
      <c r="C85" s="58" t="s">
        <v>29</v>
      </c>
      <c r="D85" s="58">
        <v>1332</v>
      </c>
      <c r="E85" s="58">
        <v>1</v>
      </c>
      <c r="F85" s="58">
        <v>7.5131480090157771E-2</v>
      </c>
      <c r="G85" s="58">
        <v>16</v>
      </c>
      <c r="H85" s="58">
        <v>28.97</v>
      </c>
      <c r="I85" s="58">
        <v>129.9</v>
      </c>
      <c r="J85" s="58">
        <v>-8.6999999999999886</v>
      </c>
      <c r="K85" s="58">
        <v>-6.2770562770562686</v>
      </c>
      <c r="L85" s="58">
        <v>9225</v>
      </c>
      <c r="M85" s="58">
        <v>4350</v>
      </c>
      <c r="N85" s="58">
        <v>15143.3</v>
      </c>
      <c r="O85" s="58">
        <v>11500</v>
      </c>
      <c r="P85" s="58" t="s">
        <v>29</v>
      </c>
      <c r="Q85" s="58">
        <v>857</v>
      </c>
      <c r="R85" s="58">
        <v>0</v>
      </c>
      <c r="S85" s="58">
        <v>0</v>
      </c>
      <c r="T85" s="58">
        <v>0</v>
      </c>
      <c r="U85" s="58">
        <v>0</v>
      </c>
      <c r="V85" s="58">
        <v>0</v>
      </c>
      <c r="W85" s="58">
        <v>0</v>
      </c>
      <c r="X85" s="58">
        <v>0</v>
      </c>
      <c r="Y85" s="58">
        <v>1875</v>
      </c>
      <c r="Z85" s="58">
        <v>1200</v>
      </c>
      <c r="AA85" s="58">
        <v>15139.55</v>
      </c>
      <c r="AD85" s="18" t="str">
        <f t="array" ref="AD85">IFERROR(INDEX($A$1:$A$2000, MATCH(0, IF($AD$1*1=$C$1:$C$2018*1, COUNTIF($AD$1:$AD84, $A$1:$A$2000), ""), 0)),"")</f>
        <v>871</v>
      </c>
      <c r="AE85" s="57">
        <f t="shared" si="15"/>
        <v>16300</v>
      </c>
      <c r="AF85" s="18">
        <f t="shared" si="16"/>
        <v>0.3</v>
      </c>
      <c r="AG85" s="18">
        <f t="shared" si="17"/>
        <v>590</v>
      </c>
      <c r="AH85" s="18">
        <f t="shared" si="18"/>
        <v>2942</v>
      </c>
      <c r="AI85" s="18">
        <f t="shared" si="19"/>
        <v>2469</v>
      </c>
      <c r="AJ85" s="18">
        <f t="shared" si="20"/>
        <v>1120</v>
      </c>
      <c r="AK85" s="18">
        <f t="shared" si="21"/>
        <v>-5</v>
      </c>
      <c r="AL85" s="18">
        <f t="shared" si="22"/>
        <v>1</v>
      </c>
      <c r="AM85" s="18">
        <f t="shared" si="23"/>
        <v>6</v>
      </c>
    </row>
    <row r="86" spans="1:39" x14ac:dyDescent="0.35">
      <c r="A86" s="56" t="s">
        <v>151</v>
      </c>
      <c r="B86" s="58">
        <v>11600</v>
      </c>
      <c r="C86" s="58" t="s">
        <v>27</v>
      </c>
      <c r="D86" s="58">
        <v>15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750</v>
      </c>
      <c r="M86" s="58">
        <v>75</v>
      </c>
      <c r="N86" s="58">
        <v>15139.55</v>
      </c>
      <c r="O86" s="58">
        <v>11600</v>
      </c>
      <c r="P86" s="58" t="s">
        <v>27</v>
      </c>
      <c r="Q86" s="58">
        <v>30</v>
      </c>
      <c r="R86" s="58">
        <v>0</v>
      </c>
      <c r="S86" s="58">
        <v>0</v>
      </c>
      <c r="T86" s="58">
        <v>1</v>
      </c>
      <c r="U86" s="58">
        <v>0</v>
      </c>
      <c r="V86" s="58">
        <v>3520</v>
      </c>
      <c r="W86" s="58">
        <v>-5.0000000000181899E-2</v>
      </c>
      <c r="X86" s="58">
        <v>-1.4204343688351555E-3</v>
      </c>
      <c r="Y86" s="58">
        <v>1800</v>
      </c>
      <c r="Z86" s="58">
        <v>0</v>
      </c>
      <c r="AA86" s="58">
        <v>15143.3</v>
      </c>
      <c r="AD86" s="18" t="str">
        <f t="array" ref="AD86">IFERROR(INDEX($A$1:$A$2000, MATCH(0, IF($AD$1*1=$C$1:$C$2018*1, COUNTIF($AD$1:$AD85, $A$1:$A$2000), ""), 0)),"")</f>
        <v>881</v>
      </c>
      <c r="AE86" s="57">
        <f t="shared" si="15"/>
        <v>16350</v>
      </c>
      <c r="AF86" s="18">
        <f t="shared" si="16"/>
        <v>0.35</v>
      </c>
      <c r="AG86" s="18">
        <f t="shared" si="17"/>
        <v>6</v>
      </c>
      <c r="AH86" s="18">
        <f t="shared" si="18"/>
        <v>20</v>
      </c>
      <c r="AI86" s="18">
        <f t="shared" si="19"/>
        <v>7</v>
      </c>
      <c r="AJ86" s="18">
        <f t="shared" si="20"/>
        <v>0</v>
      </c>
      <c r="AK86" s="18">
        <f t="shared" si="21"/>
        <v>0</v>
      </c>
      <c r="AL86" s="18">
        <f t="shared" si="22"/>
        <v>0</v>
      </c>
      <c r="AM86" s="18">
        <f t="shared" si="23"/>
        <v>0</v>
      </c>
    </row>
    <row r="87" spans="1:39" x14ac:dyDescent="0.35">
      <c r="A87" s="56" t="s">
        <v>152</v>
      </c>
      <c r="B87" s="58">
        <v>11600</v>
      </c>
      <c r="C87" s="58" t="s">
        <v>29</v>
      </c>
      <c r="D87" s="58">
        <v>524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750</v>
      </c>
      <c r="M87" s="58">
        <v>75</v>
      </c>
      <c r="N87" s="58">
        <v>15139.55</v>
      </c>
      <c r="O87" s="58">
        <v>11600</v>
      </c>
      <c r="P87" s="58" t="s">
        <v>29</v>
      </c>
      <c r="Q87" s="58">
        <v>70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525</v>
      </c>
      <c r="Z87" s="58">
        <v>0</v>
      </c>
      <c r="AA87" s="58">
        <v>15143.3</v>
      </c>
      <c r="AD87" s="18" t="str">
        <f t="array" ref="AD87">IFERROR(INDEX($A$1:$A$2000, MATCH(0, IF($AD$1*1=$C$1:$C$2018*1, COUNTIF($AD$1:$AD86, $A$1:$A$2000), ""), 0)),"")</f>
        <v>899</v>
      </c>
      <c r="AE87" s="57">
        <f t="shared" si="15"/>
        <v>16400</v>
      </c>
      <c r="AF87" s="18">
        <f t="shared" si="16"/>
        <v>0.3</v>
      </c>
      <c r="AG87" s="18">
        <f t="shared" si="17"/>
        <v>121</v>
      </c>
      <c r="AH87" s="18">
        <f t="shared" si="18"/>
        <v>2749</v>
      </c>
      <c r="AI87" s="18">
        <f t="shared" si="19"/>
        <v>1912</v>
      </c>
      <c r="AJ87" s="18">
        <f t="shared" si="20"/>
        <v>0</v>
      </c>
      <c r="AK87" s="18">
        <f t="shared" si="21"/>
        <v>0</v>
      </c>
      <c r="AL87" s="18">
        <f t="shared" si="22"/>
        <v>1</v>
      </c>
      <c r="AM87" s="18">
        <f t="shared" si="23"/>
        <v>0</v>
      </c>
    </row>
    <row r="88" spans="1:39" x14ac:dyDescent="0.35">
      <c r="A88" s="56" t="s">
        <v>153</v>
      </c>
      <c r="B88" s="58">
        <v>11700</v>
      </c>
      <c r="C88" s="58" t="s">
        <v>27</v>
      </c>
      <c r="D88" s="58">
        <v>31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750</v>
      </c>
      <c r="M88" s="58">
        <v>75</v>
      </c>
      <c r="N88" s="58">
        <v>15139.55</v>
      </c>
      <c r="O88" s="58">
        <v>11700</v>
      </c>
      <c r="P88" s="58" t="s">
        <v>27</v>
      </c>
      <c r="Q88" s="58">
        <v>687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2100</v>
      </c>
      <c r="Z88" s="58">
        <v>0</v>
      </c>
      <c r="AA88" s="58">
        <v>15143.3</v>
      </c>
      <c r="AD88" s="18" t="str">
        <f t="array" ref="AD88">IFERROR(INDEX($A$1:$A$2000, MATCH(0, IF($AD$1*1=$C$1:$C$2018*1, COUNTIF($AD$1:$AD87, $A$1:$A$2000), ""), 0)),"")</f>
        <v>910</v>
      </c>
      <c r="AE88" s="57">
        <f t="shared" si="15"/>
        <v>16450</v>
      </c>
      <c r="AF88" s="18">
        <f t="shared" si="16"/>
        <v>0.3</v>
      </c>
      <c r="AG88" s="18">
        <f t="shared" si="17"/>
        <v>3</v>
      </c>
      <c r="AH88" s="18">
        <f t="shared" si="18"/>
        <v>16</v>
      </c>
      <c r="AI88" s="18">
        <f t="shared" si="19"/>
        <v>6</v>
      </c>
      <c r="AJ88" s="18">
        <f t="shared" si="20"/>
        <v>0</v>
      </c>
      <c r="AK88" s="18">
        <f t="shared" si="21"/>
        <v>0</v>
      </c>
      <c r="AL88" s="18">
        <f t="shared" si="22"/>
        <v>0</v>
      </c>
      <c r="AM88" s="18">
        <f t="shared" si="23"/>
        <v>0</v>
      </c>
    </row>
    <row r="89" spans="1:39" x14ac:dyDescent="0.35">
      <c r="A89" s="56" t="s">
        <v>154</v>
      </c>
      <c r="B89" s="58">
        <v>11700</v>
      </c>
      <c r="C89" s="58" t="s">
        <v>29</v>
      </c>
      <c r="D89" s="58">
        <v>792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750</v>
      </c>
      <c r="M89" s="58">
        <v>75</v>
      </c>
      <c r="N89" s="58">
        <v>15139.55</v>
      </c>
      <c r="O89" s="58">
        <v>11700</v>
      </c>
      <c r="P89" s="58" t="s">
        <v>29</v>
      </c>
      <c r="Q89" s="58">
        <v>612</v>
      </c>
      <c r="R89" s="58">
        <v>0</v>
      </c>
      <c r="S89" s="58">
        <v>0</v>
      </c>
      <c r="T89" s="58">
        <v>0</v>
      </c>
      <c r="U89" s="58">
        <v>0</v>
      </c>
      <c r="V89" s="58">
        <v>0</v>
      </c>
      <c r="W89" s="58">
        <v>0</v>
      </c>
      <c r="X89" s="58">
        <v>0</v>
      </c>
      <c r="Y89" s="58">
        <v>525</v>
      </c>
      <c r="Z89" s="58">
        <v>0</v>
      </c>
      <c r="AA89" s="58">
        <v>15143.3</v>
      </c>
      <c r="AD89" s="18" t="str">
        <f t="array" ref="AD89">IFERROR(INDEX($A$1:$A$2000, MATCH(0, IF($AD$1*1=$C$1:$C$2018*1, COUNTIF($AD$1:$AD88, $A$1:$A$2000), ""), 0)),"")</f>
        <v>922</v>
      </c>
      <c r="AE89" s="57">
        <f t="shared" si="15"/>
        <v>16500</v>
      </c>
      <c r="AF89" s="18">
        <f t="shared" si="16"/>
        <v>0.3</v>
      </c>
      <c r="AG89" s="18">
        <f t="shared" si="17"/>
        <v>-3138</v>
      </c>
      <c r="AH89" s="18">
        <f t="shared" si="18"/>
        <v>26455</v>
      </c>
      <c r="AI89" s="18">
        <f t="shared" si="19"/>
        <v>21859</v>
      </c>
      <c r="AJ89" s="18">
        <f t="shared" si="20"/>
        <v>0</v>
      </c>
      <c r="AK89" s="18">
        <f t="shared" si="21"/>
        <v>0</v>
      </c>
      <c r="AL89" s="18">
        <f t="shared" si="22"/>
        <v>2</v>
      </c>
      <c r="AM89" s="18">
        <f t="shared" si="23"/>
        <v>0</v>
      </c>
    </row>
    <row r="90" spans="1:39" x14ac:dyDescent="0.35">
      <c r="A90" s="56" t="s">
        <v>155</v>
      </c>
      <c r="B90" s="58">
        <v>0</v>
      </c>
      <c r="C90" s="58">
        <v>0</v>
      </c>
      <c r="D90" s="58">
        <v>0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0</v>
      </c>
      <c r="M90" s="58">
        <v>0</v>
      </c>
      <c r="N90" s="58">
        <v>0</v>
      </c>
      <c r="O90" s="58">
        <v>11800</v>
      </c>
      <c r="P90" s="58" t="s">
        <v>29</v>
      </c>
      <c r="Q90" s="58">
        <v>173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525</v>
      </c>
      <c r="Z90" s="58">
        <v>0</v>
      </c>
      <c r="AA90" s="58">
        <v>15143.3</v>
      </c>
      <c r="AD90" s="18" t="str">
        <f t="array" ref="AD90">IFERROR(INDEX($A$1:$A$2000, MATCH(0, IF($AD$1*1=$C$1:$C$2018*1, COUNTIF($AD$1:$AD89, $A$1:$A$2000), ""), 0)),"")</f>
        <v>924</v>
      </c>
      <c r="AE90" s="57">
        <f t="shared" si="15"/>
        <v>16550</v>
      </c>
      <c r="AF90" s="18">
        <f t="shared" si="16"/>
        <v>0.2</v>
      </c>
      <c r="AG90" s="18">
        <f t="shared" si="17"/>
        <v>-6</v>
      </c>
      <c r="AH90" s="18">
        <f t="shared" si="18"/>
        <v>61</v>
      </c>
      <c r="AI90" s="18">
        <f t="shared" si="19"/>
        <v>34</v>
      </c>
      <c r="AJ90" s="18">
        <f t="shared" si="20"/>
        <v>0</v>
      </c>
      <c r="AK90" s="18">
        <f t="shared" si="21"/>
        <v>0</v>
      </c>
      <c r="AL90" s="18">
        <f t="shared" si="22"/>
        <v>0</v>
      </c>
      <c r="AM90" s="18">
        <f t="shared" si="23"/>
        <v>0</v>
      </c>
    </row>
    <row r="91" spans="1:39" x14ac:dyDescent="0.35">
      <c r="A91" s="56" t="s">
        <v>156</v>
      </c>
      <c r="B91" s="58">
        <v>11800</v>
      </c>
      <c r="C91" s="58" t="s">
        <v>30</v>
      </c>
      <c r="D91" s="58">
        <v>186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0</v>
      </c>
      <c r="M91" s="58">
        <v>0</v>
      </c>
      <c r="N91" s="58">
        <v>15143.3</v>
      </c>
      <c r="O91" s="58">
        <v>0</v>
      </c>
      <c r="P91" s="58">
        <v>0</v>
      </c>
      <c r="Q91" s="58">
        <v>0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0</v>
      </c>
      <c r="Z91" s="58">
        <v>0</v>
      </c>
      <c r="AA91" s="58">
        <v>0</v>
      </c>
      <c r="AD91" s="18" t="str">
        <f t="array" ref="AD91">IFERROR(INDEX($A$1:$A$2000, MATCH(0, IF($AD$1*1=$C$1:$C$2018*1, COUNTIF($AD$1:$AD90, $A$1:$A$2000), ""), 0)),"")</f>
        <v>934</v>
      </c>
      <c r="AE91" s="57">
        <f t="shared" si="15"/>
        <v>16600</v>
      </c>
      <c r="AF91" s="18">
        <f t="shared" si="16"/>
        <v>0.25</v>
      </c>
      <c r="AG91" s="18">
        <f t="shared" si="17"/>
        <v>467</v>
      </c>
      <c r="AH91" s="18">
        <f t="shared" si="18"/>
        <v>2762</v>
      </c>
      <c r="AI91" s="18">
        <f t="shared" si="19"/>
        <v>1404</v>
      </c>
      <c r="AJ91" s="18">
        <f t="shared" si="20"/>
        <v>0</v>
      </c>
      <c r="AK91" s="18">
        <f t="shared" si="21"/>
        <v>0</v>
      </c>
      <c r="AL91" s="18">
        <f t="shared" si="22"/>
        <v>0</v>
      </c>
      <c r="AM91" s="18">
        <f t="shared" si="23"/>
        <v>0</v>
      </c>
    </row>
    <row r="92" spans="1:39" x14ac:dyDescent="0.35">
      <c r="A92" s="56" t="s">
        <v>157</v>
      </c>
      <c r="B92" s="58">
        <v>0</v>
      </c>
      <c r="C92" s="58">
        <v>0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0</v>
      </c>
      <c r="M92" s="58">
        <v>0</v>
      </c>
      <c r="N92" s="58">
        <v>0</v>
      </c>
      <c r="O92" s="58">
        <v>11800</v>
      </c>
      <c r="P92" s="58" t="s">
        <v>27</v>
      </c>
      <c r="Q92" s="58">
        <v>38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1875</v>
      </c>
      <c r="Z92" s="58">
        <v>0</v>
      </c>
      <c r="AA92" s="58">
        <v>15143.3</v>
      </c>
      <c r="AD92" s="18" t="str">
        <f t="array" ref="AD92">IFERROR(INDEX($A$1:$A$2000, MATCH(0, IF($AD$1*1=$C$1:$C$2018*1, COUNTIF($AD$1:$AD91, $A$1:$A$2000), ""), 0)),"")</f>
        <v>944</v>
      </c>
      <c r="AE92" s="57">
        <f t="shared" si="15"/>
        <v>16650</v>
      </c>
      <c r="AF92" s="18">
        <f t="shared" si="16"/>
        <v>0.3</v>
      </c>
      <c r="AG92" s="18">
        <f t="shared" si="17"/>
        <v>0</v>
      </c>
      <c r="AH92" s="18">
        <f t="shared" si="18"/>
        <v>21</v>
      </c>
      <c r="AI92" s="18">
        <f t="shared" si="19"/>
        <v>386</v>
      </c>
      <c r="AJ92" s="18">
        <f t="shared" si="20"/>
        <v>0</v>
      </c>
      <c r="AK92" s="18">
        <f t="shared" si="21"/>
        <v>0</v>
      </c>
      <c r="AL92" s="18">
        <f t="shared" si="22"/>
        <v>0</v>
      </c>
      <c r="AM92" s="18">
        <f t="shared" si="23"/>
        <v>0</v>
      </c>
    </row>
    <row r="93" spans="1:39" x14ac:dyDescent="0.35">
      <c r="A93" s="56" t="s">
        <v>158</v>
      </c>
      <c r="B93" s="58">
        <v>11900</v>
      </c>
      <c r="C93" s="58" t="s">
        <v>27</v>
      </c>
      <c r="D93" s="58">
        <v>2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75</v>
      </c>
      <c r="N93" s="58">
        <v>15139.55</v>
      </c>
      <c r="O93" s="58">
        <v>11900</v>
      </c>
      <c r="P93" s="58" t="s">
        <v>27</v>
      </c>
      <c r="Q93" s="58">
        <v>146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2100</v>
      </c>
      <c r="Z93" s="58">
        <v>0</v>
      </c>
      <c r="AA93" s="58">
        <v>15139.55</v>
      </c>
      <c r="AD93" s="18" t="str">
        <f t="array" ref="AD93">IFERROR(INDEX($A$1:$A$2000, MATCH(0, IF($AD$1*1=$C$1:$C$2018*1, COUNTIF($AD$1:$AD92, $A$1:$A$2000), ""), 0)),"")</f>
        <v>953</v>
      </c>
      <c r="AE93" s="57">
        <f t="shared" si="15"/>
        <v>16700</v>
      </c>
      <c r="AF93" s="18">
        <f t="shared" si="16"/>
        <v>0.3</v>
      </c>
      <c r="AG93" s="18">
        <f t="shared" si="17"/>
        <v>374</v>
      </c>
      <c r="AH93" s="18">
        <f t="shared" si="18"/>
        <v>2651</v>
      </c>
      <c r="AI93" s="18">
        <f t="shared" si="19"/>
        <v>1993</v>
      </c>
      <c r="AJ93" s="18">
        <f t="shared" si="20"/>
        <v>0</v>
      </c>
      <c r="AK93" s="18">
        <f t="shared" si="21"/>
        <v>0</v>
      </c>
      <c r="AL93" s="18">
        <f t="shared" si="22"/>
        <v>0</v>
      </c>
      <c r="AM93" s="18">
        <f t="shared" si="23"/>
        <v>0</v>
      </c>
    </row>
    <row r="94" spans="1:39" x14ac:dyDescent="0.35">
      <c r="A94" s="56" t="s">
        <v>159</v>
      </c>
      <c r="B94" s="58">
        <v>0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58">
        <v>11900</v>
      </c>
      <c r="P94" s="58" t="s">
        <v>29</v>
      </c>
      <c r="Q94" s="58">
        <v>392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525</v>
      </c>
      <c r="Z94" s="58">
        <v>0</v>
      </c>
      <c r="AA94" s="58">
        <v>15143.3</v>
      </c>
      <c r="AD94" s="18" t="str">
        <f t="array" ref="AD94">IFERROR(INDEX($A$1:$A$2000, MATCH(0, IF($AD$1*1=$C$1:$C$2018*1, COUNTIF($AD$1:$AD93, $A$1:$A$2000), ""), 0)),"")</f>
        <v>962</v>
      </c>
      <c r="AE94" s="57">
        <f t="shared" si="15"/>
        <v>16750</v>
      </c>
      <c r="AF94" s="18">
        <f t="shared" si="16"/>
        <v>0.15</v>
      </c>
      <c r="AG94" s="18">
        <f t="shared" si="17"/>
        <v>-42</v>
      </c>
      <c r="AH94" s="18">
        <f t="shared" si="18"/>
        <v>69</v>
      </c>
      <c r="AI94" s="18">
        <f t="shared" si="19"/>
        <v>521</v>
      </c>
      <c r="AJ94" s="18">
        <f t="shared" si="20"/>
        <v>0</v>
      </c>
      <c r="AK94" s="18">
        <f t="shared" si="21"/>
        <v>0</v>
      </c>
      <c r="AL94" s="18">
        <f t="shared" si="22"/>
        <v>0</v>
      </c>
      <c r="AM94" s="18">
        <f t="shared" si="23"/>
        <v>0</v>
      </c>
    </row>
    <row r="95" spans="1:39" x14ac:dyDescent="0.35">
      <c r="A95" s="56" t="s">
        <v>160</v>
      </c>
      <c r="B95" s="58">
        <v>12000</v>
      </c>
      <c r="C95" s="58" t="s">
        <v>31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3750</v>
      </c>
      <c r="M95" s="58">
        <v>75</v>
      </c>
      <c r="N95" s="58">
        <v>15139.55</v>
      </c>
      <c r="O95" s="58">
        <v>12000</v>
      </c>
      <c r="P95" s="58" t="s">
        <v>31</v>
      </c>
      <c r="Q95" s="58">
        <v>0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1800</v>
      </c>
      <c r="Z95" s="58">
        <v>0</v>
      </c>
      <c r="AA95" s="58">
        <v>15143.3</v>
      </c>
      <c r="AD95" s="18" t="str">
        <f t="array" ref="AD95">IFERROR(INDEX($A$1:$A$2000, MATCH(0, IF($AD$1*1=$C$1:$C$2018*1, COUNTIF($AD$1:$AD94, $A$1:$A$2000), ""), 0)),"")</f>
        <v>971</v>
      </c>
      <c r="AE95" s="57">
        <f t="shared" si="15"/>
        <v>16800</v>
      </c>
      <c r="AF95" s="18">
        <f t="shared" si="16"/>
        <v>0.15</v>
      </c>
      <c r="AG95" s="18">
        <f t="shared" si="17"/>
        <v>103</v>
      </c>
      <c r="AH95" s="18">
        <f t="shared" si="18"/>
        <v>30985</v>
      </c>
      <c r="AI95" s="18">
        <f t="shared" si="19"/>
        <v>8564</v>
      </c>
      <c r="AJ95" s="18">
        <f t="shared" si="20"/>
        <v>0</v>
      </c>
      <c r="AK95" s="18">
        <f t="shared" si="21"/>
        <v>0</v>
      </c>
      <c r="AL95" s="18">
        <f t="shared" si="22"/>
        <v>0</v>
      </c>
      <c r="AM95" s="18">
        <f t="shared" si="23"/>
        <v>0</v>
      </c>
    </row>
    <row r="96" spans="1:39" x14ac:dyDescent="0.35">
      <c r="A96" s="56" t="s">
        <v>161</v>
      </c>
      <c r="B96" s="58">
        <v>12000</v>
      </c>
      <c r="C96" s="58" t="s">
        <v>29</v>
      </c>
      <c r="D96" s="58">
        <v>1411</v>
      </c>
      <c r="E96" s="58">
        <v>2</v>
      </c>
      <c r="F96" s="58">
        <v>0.14194464158978001</v>
      </c>
      <c r="G96" s="58">
        <v>5</v>
      </c>
      <c r="H96" s="58">
        <v>29.31</v>
      </c>
      <c r="I96" s="58">
        <v>195</v>
      </c>
      <c r="J96" s="58">
        <v>-3.4000000000000057</v>
      </c>
      <c r="K96" s="58">
        <v>-1.7137096774193581</v>
      </c>
      <c r="L96" s="58">
        <v>5325</v>
      </c>
      <c r="M96" s="58">
        <v>5850</v>
      </c>
      <c r="N96" s="58">
        <v>15143.3</v>
      </c>
      <c r="O96" s="58">
        <v>12000</v>
      </c>
      <c r="P96" s="58" t="s">
        <v>29</v>
      </c>
      <c r="Q96" s="58">
        <v>957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3300</v>
      </c>
      <c r="Z96" s="58">
        <v>3600</v>
      </c>
      <c r="AA96" s="58">
        <v>15143.3</v>
      </c>
      <c r="AD96" s="18" t="str">
        <f t="array" ref="AD96">IFERROR(INDEX($A$1:$A$2000, MATCH(0, IF($AD$1*1=$C$1:$C$2018*1, COUNTIF($AD$1:$AD95, $A$1:$A$2000), ""), 0)),"")</f>
        <v/>
      </c>
      <c r="AE96" s="57" t="str">
        <f t="shared" si="15"/>
        <v/>
      </c>
      <c r="AF96" s="18" t="str">
        <f t="shared" si="16"/>
        <v/>
      </c>
      <c r="AG96" s="18" t="str">
        <f t="shared" si="17"/>
        <v/>
      </c>
      <c r="AH96" s="18" t="str">
        <f t="shared" si="18"/>
        <v/>
      </c>
      <c r="AI96" s="18" t="str">
        <f t="shared" si="19"/>
        <v/>
      </c>
      <c r="AJ96" s="18" t="str">
        <f t="shared" si="20"/>
        <v/>
      </c>
      <c r="AK96" s="18" t="str">
        <f t="shared" si="21"/>
        <v/>
      </c>
      <c r="AL96" s="18" t="str">
        <f t="shared" si="22"/>
        <v/>
      </c>
      <c r="AM96" s="18" t="str">
        <f t="shared" si="23"/>
        <v/>
      </c>
    </row>
    <row r="97" spans="1:39" x14ac:dyDescent="0.35">
      <c r="A97" s="56" t="s">
        <v>162</v>
      </c>
      <c r="B97" s="58">
        <v>12000</v>
      </c>
      <c r="C97" s="58" t="s">
        <v>28</v>
      </c>
      <c r="D97" s="58">
        <v>223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750</v>
      </c>
      <c r="N97" s="58">
        <v>15143.3</v>
      </c>
      <c r="O97" s="58">
        <v>0</v>
      </c>
      <c r="P97" s="58">
        <v>0</v>
      </c>
      <c r="Q97" s="58">
        <v>0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0</v>
      </c>
      <c r="Z97" s="58">
        <v>0</v>
      </c>
      <c r="AA97" s="58">
        <v>0</v>
      </c>
      <c r="AD97" s="18" t="str">
        <f t="array" ref="AD97">IFERROR(INDEX($A$1:$A$2000, MATCH(0, IF($AD$1*1=$C$1:$C$2018*1, COUNTIF($AD$1:$AD96, $A$1:$A$2000), ""), 0)),"")</f>
        <v/>
      </c>
      <c r="AE97" s="57" t="str">
        <f t="shared" si="15"/>
        <v/>
      </c>
      <c r="AF97" s="18" t="str">
        <f t="shared" si="16"/>
        <v/>
      </c>
      <c r="AG97" s="18" t="str">
        <f t="shared" si="17"/>
        <v/>
      </c>
      <c r="AH97" s="18" t="str">
        <f t="shared" si="18"/>
        <v/>
      </c>
      <c r="AI97" s="18" t="str">
        <f t="shared" si="19"/>
        <v/>
      </c>
      <c r="AJ97" s="18" t="str">
        <f t="shared" si="20"/>
        <v/>
      </c>
      <c r="AK97" s="18" t="str">
        <f t="shared" si="21"/>
        <v/>
      </c>
      <c r="AL97" s="18" t="str">
        <f t="shared" si="22"/>
        <v/>
      </c>
      <c r="AM97" s="18" t="str">
        <f t="shared" si="23"/>
        <v/>
      </c>
    </row>
    <row r="98" spans="1:39" x14ac:dyDescent="0.35">
      <c r="A98" s="56" t="s">
        <v>163</v>
      </c>
      <c r="B98" s="58">
        <v>12000</v>
      </c>
      <c r="C98" s="58" t="s">
        <v>27</v>
      </c>
      <c r="D98" s="58">
        <v>999</v>
      </c>
      <c r="E98" s="58">
        <v>26</v>
      </c>
      <c r="F98" s="58">
        <v>2.6721479958890031</v>
      </c>
      <c r="G98" s="58">
        <v>31</v>
      </c>
      <c r="H98" s="58">
        <v>31.29</v>
      </c>
      <c r="I98" s="58">
        <v>58.5</v>
      </c>
      <c r="J98" s="58">
        <v>-1.7000000000000028</v>
      </c>
      <c r="K98" s="58">
        <v>-2.8239202657807354</v>
      </c>
      <c r="L98" s="58">
        <v>17775</v>
      </c>
      <c r="M98" s="58">
        <v>4500</v>
      </c>
      <c r="N98" s="58">
        <v>15139.55</v>
      </c>
      <c r="O98" s="58">
        <v>12000</v>
      </c>
      <c r="P98" s="58" t="s">
        <v>27</v>
      </c>
      <c r="Q98" s="58">
        <v>56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3225</v>
      </c>
      <c r="Z98" s="58">
        <v>75</v>
      </c>
      <c r="AA98" s="58">
        <v>15143.3</v>
      </c>
      <c r="AD98" s="18" t="str">
        <f t="array" ref="AD98">IFERROR(INDEX($A$1:$A$2000, MATCH(0, IF($AD$1*1=$C$1:$C$2018*1, COUNTIF($AD$1:$AD97, $A$1:$A$2000), ""), 0)),"")</f>
        <v/>
      </c>
      <c r="AE98" s="57" t="str">
        <f t="shared" si="15"/>
        <v/>
      </c>
      <c r="AF98" s="18" t="str">
        <f t="shared" si="16"/>
        <v/>
      </c>
      <c r="AG98" s="18" t="str">
        <f t="shared" si="17"/>
        <v/>
      </c>
      <c r="AH98" s="18" t="str">
        <f t="shared" si="18"/>
        <v/>
      </c>
      <c r="AI98" s="18" t="str">
        <f t="shared" si="19"/>
        <v/>
      </c>
      <c r="AJ98" s="18" t="str">
        <f t="shared" si="20"/>
        <v/>
      </c>
      <c r="AK98" s="18" t="str">
        <f t="shared" si="21"/>
        <v/>
      </c>
      <c r="AL98" s="18" t="str">
        <f t="shared" si="22"/>
        <v/>
      </c>
      <c r="AM98" s="18" t="str">
        <f t="shared" si="23"/>
        <v/>
      </c>
    </row>
    <row r="99" spans="1:39" x14ac:dyDescent="0.35">
      <c r="A99" s="56" t="s">
        <v>164</v>
      </c>
      <c r="B99" s="58">
        <v>12000</v>
      </c>
      <c r="C99" s="58" t="s">
        <v>26</v>
      </c>
      <c r="D99" s="58">
        <v>21663</v>
      </c>
      <c r="E99" s="58">
        <v>-9</v>
      </c>
      <c r="F99" s="58">
        <v>-4.1528239202657809E-2</v>
      </c>
      <c r="G99" s="58">
        <v>2206</v>
      </c>
      <c r="H99" s="58">
        <v>50.86</v>
      </c>
      <c r="I99" s="58">
        <v>5</v>
      </c>
      <c r="J99" s="58">
        <v>-1.6500000000000004</v>
      </c>
      <c r="K99" s="58">
        <v>-24.812030075187973</v>
      </c>
      <c r="L99" s="58">
        <v>30075</v>
      </c>
      <c r="M99" s="58">
        <v>84900</v>
      </c>
      <c r="N99" s="58">
        <v>15143.3</v>
      </c>
      <c r="O99" s="58">
        <v>12000</v>
      </c>
      <c r="P99" s="58" t="s">
        <v>26</v>
      </c>
      <c r="Q99" s="58">
        <v>5332</v>
      </c>
      <c r="R99" s="58">
        <v>-61</v>
      </c>
      <c r="S99" s="58">
        <v>-1.1310958650101983</v>
      </c>
      <c r="T99" s="58">
        <v>66</v>
      </c>
      <c r="U99" s="58">
        <v>0</v>
      </c>
      <c r="V99" s="58">
        <v>3161</v>
      </c>
      <c r="W99" s="58">
        <v>31.400000000000091</v>
      </c>
      <c r="X99" s="58">
        <v>1.0033231083844609</v>
      </c>
      <c r="Y99" s="58">
        <v>13725</v>
      </c>
      <c r="Z99" s="58">
        <v>13800</v>
      </c>
      <c r="AA99" s="58">
        <v>15139.55</v>
      </c>
      <c r="AD99" s="18" t="str">
        <f t="array" ref="AD99">IFERROR(INDEX($A$1:$A$2000, MATCH(0, IF($AD$1*1=$C$1:$C$2018*1, COUNTIF($AD$1:$AD98, $A$1:$A$2000), ""), 0)),"")</f>
        <v/>
      </c>
      <c r="AE99" s="57" t="str">
        <f t="shared" si="15"/>
        <v/>
      </c>
      <c r="AF99" s="18" t="str">
        <f t="shared" si="16"/>
        <v/>
      </c>
      <c r="AG99" s="18" t="str">
        <f t="shared" si="17"/>
        <v/>
      </c>
      <c r="AH99" s="18" t="str">
        <f t="shared" si="18"/>
        <v/>
      </c>
      <c r="AI99" s="18" t="str">
        <f t="shared" si="19"/>
        <v/>
      </c>
      <c r="AJ99" s="18" t="str">
        <f t="shared" si="20"/>
        <v/>
      </c>
      <c r="AK99" s="18" t="str">
        <f t="shared" si="21"/>
        <v/>
      </c>
      <c r="AL99" s="18" t="str">
        <f t="shared" si="22"/>
        <v/>
      </c>
      <c r="AM99" s="18" t="str">
        <f t="shared" si="23"/>
        <v/>
      </c>
    </row>
    <row r="100" spans="1:39" x14ac:dyDescent="0.35">
      <c r="A100" s="56" t="s">
        <v>165</v>
      </c>
      <c r="B100" s="58">
        <v>12100</v>
      </c>
      <c r="C100" s="58" t="s">
        <v>32</v>
      </c>
      <c r="D100" s="58">
        <v>341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0</v>
      </c>
      <c r="M100" s="58">
        <v>375</v>
      </c>
      <c r="N100" s="58">
        <v>15143.3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IF($AD$1*1=$C$1:$C$2018*1, COUNTIF($AD$1:$AD99, $A$1:$A$2000), ""), 0)),"")</f>
        <v/>
      </c>
      <c r="AE100" s="57" t="str">
        <f t="shared" si="15"/>
        <v/>
      </c>
      <c r="AF100" s="18" t="str">
        <f t="shared" si="16"/>
        <v/>
      </c>
      <c r="AG100" s="18" t="str">
        <f t="shared" si="17"/>
        <v/>
      </c>
      <c r="AH100" s="18" t="str">
        <f t="shared" si="18"/>
        <v/>
      </c>
      <c r="AI100" s="18" t="str">
        <f t="shared" si="19"/>
        <v/>
      </c>
      <c r="AJ100" s="18" t="str">
        <f t="shared" si="20"/>
        <v/>
      </c>
      <c r="AK100" s="18" t="str">
        <f t="shared" si="21"/>
        <v/>
      </c>
      <c r="AL100" s="18" t="str">
        <f t="shared" si="22"/>
        <v/>
      </c>
      <c r="AM100" s="18" t="str">
        <f t="shared" si="23"/>
        <v/>
      </c>
    </row>
    <row r="101" spans="1:39" x14ac:dyDescent="0.35">
      <c r="A101" s="56" t="s">
        <v>166</v>
      </c>
      <c r="B101" s="58">
        <v>0</v>
      </c>
      <c r="C101" s="58">
        <v>0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0</v>
      </c>
      <c r="M101" s="58">
        <v>0</v>
      </c>
      <c r="N101" s="58">
        <v>0</v>
      </c>
      <c r="O101" s="58">
        <v>12100</v>
      </c>
      <c r="P101" s="58" t="s">
        <v>27</v>
      </c>
      <c r="Q101" s="58">
        <v>3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3075</v>
      </c>
      <c r="Z101" s="58">
        <v>75</v>
      </c>
      <c r="AA101" s="58">
        <v>15139.55</v>
      </c>
      <c r="AD101" s="18" t="str">
        <f t="array" ref="AD101">IFERROR(INDEX($A$1:$A$2000, MATCH(0, IF($AD$1*1=$C$1:$C$2018*1, COUNTIF($AD$1:$AD100, $A$1:$A$2000), ""), 0)),"")</f>
        <v/>
      </c>
      <c r="AE101" s="57" t="str">
        <f t="shared" si="15"/>
        <v/>
      </c>
      <c r="AF101" s="18" t="str">
        <f t="shared" si="16"/>
        <v/>
      </c>
      <c r="AG101" s="18" t="str">
        <f t="shared" si="17"/>
        <v/>
      </c>
      <c r="AH101" s="18" t="str">
        <f t="shared" si="18"/>
        <v/>
      </c>
      <c r="AI101" s="18" t="str">
        <f t="shared" si="19"/>
        <v/>
      </c>
      <c r="AJ101" s="18" t="str">
        <f t="shared" si="20"/>
        <v/>
      </c>
      <c r="AK101" s="18" t="str">
        <f t="shared" si="21"/>
        <v/>
      </c>
      <c r="AL101" s="18" t="str">
        <f t="shared" si="22"/>
        <v/>
      </c>
      <c r="AM101" s="18" t="str">
        <f t="shared" si="23"/>
        <v/>
      </c>
    </row>
    <row r="102" spans="1:39" x14ac:dyDescent="0.35">
      <c r="A102" s="56" t="s">
        <v>167</v>
      </c>
      <c r="B102" s="58">
        <v>12150</v>
      </c>
      <c r="C102" s="58" t="s">
        <v>64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10650</v>
      </c>
      <c r="M102" s="58">
        <v>0</v>
      </c>
      <c r="N102" s="58">
        <v>15143.3</v>
      </c>
      <c r="O102" s="58">
        <v>12150</v>
      </c>
      <c r="P102" s="58" t="s">
        <v>64</v>
      </c>
      <c r="Q102" s="58">
        <v>0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4875</v>
      </c>
      <c r="Z102" s="58">
        <v>4875</v>
      </c>
      <c r="AA102" s="58">
        <v>15139.55</v>
      </c>
      <c r="AD102" s="18" t="str">
        <f t="array" ref="AD102">IFERROR(INDEX($A$1:$A$2000, MATCH(0, IF($AD$1*1=$C$1:$C$2018*1, COUNTIF($AD$1:$AD101, $A$1:$A$2000), ""), 0)),"")</f>
        <v/>
      </c>
      <c r="AE102" s="57" t="str">
        <f t="shared" si="15"/>
        <v/>
      </c>
      <c r="AF102" s="18" t="str">
        <f t="shared" si="16"/>
        <v/>
      </c>
      <c r="AG102" s="18" t="str">
        <f t="shared" si="17"/>
        <v/>
      </c>
      <c r="AH102" s="18" t="str">
        <f t="shared" si="18"/>
        <v/>
      </c>
      <c r="AI102" s="18" t="str">
        <f t="shared" si="19"/>
        <v/>
      </c>
      <c r="AJ102" s="18" t="str">
        <f t="shared" si="20"/>
        <v/>
      </c>
      <c r="AK102" s="18" t="str">
        <f t="shared" si="21"/>
        <v/>
      </c>
      <c r="AL102" s="18" t="str">
        <f t="shared" si="22"/>
        <v/>
      </c>
      <c r="AM102" s="18" t="str">
        <f t="shared" si="23"/>
        <v/>
      </c>
    </row>
    <row r="103" spans="1:39" x14ac:dyDescent="0.35">
      <c r="A103" s="56" t="s">
        <v>168</v>
      </c>
      <c r="B103" s="58">
        <v>12150</v>
      </c>
      <c r="C103" s="58" t="s">
        <v>34</v>
      </c>
      <c r="D103" s="58">
        <v>182</v>
      </c>
      <c r="E103" s="58">
        <v>160</v>
      </c>
      <c r="F103" s="58">
        <v>727.27272727272725</v>
      </c>
      <c r="G103" s="58">
        <v>234</v>
      </c>
      <c r="H103" s="58">
        <v>56.08</v>
      </c>
      <c r="I103" s="58">
        <v>1.4</v>
      </c>
      <c r="J103" s="58">
        <v>4.9999999999999822E-2</v>
      </c>
      <c r="K103" s="58">
        <v>3.7037037037036904</v>
      </c>
      <c r="L103" s="58">
        <v>46800</v>
      </c>
      <c r="M103" s="58">
        <v>33225</v>
      </c>
      <c r="N103" s="58">
        <v>15139.55</v>
      </c>
      <c r="O103" s="58">
        <v>12150</v>
      </c>
      <c r="P103" s="58" t="s">
        <v>34</v>
      </c>
      <c r="Q103" s="58">
        <v>0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10050</v>
      </c>
      <c r="Z103" s="58">
        <v>10050</v>
      </c>
      <c r="AA103" s="58">
        <v>15139.55</v>
      </c>
      <c r="AD103" s="18" t="str">
        <f t="array" ref="AD103">IFERROR(INDEX($A$1:$A$2000, MATCH(0, IF($AD$1*1=$C$1:$C$2018*1, COUNTIF($AD$1:$AD102, $A$1:$A$2000), ""), 0)),"")</f>
        <v/>
      </c>
      <c r="AE103" s="57" t="str">
        <f t="shared" si="15"/>
        <v/>
      </c>
      <c r="AF103" s="18" t="str">
        <f t="shared" si="16"/>
        <v/>
      </c>
      <c r="AG103" s="18" t="str">
        <f t="shared" si="17"/>
        <v/>
      </c>
      <c r="AH103" s="18" t="str">
        <f t="shared" si="18"/>
        <v/>
      </c>
      <c r="AI103" s="18" t="str">
        <f t="shared" si="19"/>
        <v/>
      </c>
      <c r="AJ103" s="18" t="str">
        <f t="shared" si="20"/>
        <v/>
      </c>
      <c r="AK103" s="18" t="str">
        <f t="shared" si="21"/>
        <v/>
      </c>
      <c r="AL103" s="18" t="str">
        <f t="shared" si="22"/>
        <v/>
      </c>
      <c r="AM103" s="18" t="str">
        <f t="shared" si="23"/>
        <v/>
      </c>
    </row>
    <row r="104" spans="1:39" x14ac:dyDescent="0.35">
      <c r="A104" s="56" t="s">
        <v>169</v>
      </c>
      <c r="B104" s="58">
        <v>12150</v>
      </c>
      <c r="C104" s="58" t="s">
        <v>33</v>
      </c>
      <c r="D104" s="58">
        <v>2942</v>
      </c>
      <c r="E104" s="58">
        <v>754</v>
      </c>
      <c r="F104" s="58">
        <v>34.460694698354665</v>
      </c>
      <c r="G104" s="58">
        <v>4700</v>
      </c>
      <c r="H104" s="58">
        <v>126.09</v>
      </c>
      <c r="I104" s="58">
        <v>0.1</v>
      </c>
      <c r="J104" s="58">
        <v>-0.24999999999999997</v>
      </c>
      <c r="K104" s="58">
        <v>-71.428571428571431</v>
      </c>
      <c r="L104" s="58">
        <v>136950</v>
      </c>
      <c r="M104" s="58">
        <v>144150</v>
      </c>
      <c r="N104" s="58">
        <v>15139.55</v>
      </c>
      <c r="O104" s="58">
        <v>12150</v>
      </c>
      <c r="P104" s="58" t="s">
        <v>33</v>
      </c>
      <c r="Q104" s="58">
        <v>2</v>
      </c>
      <c r="R104" s="58">
        <v>0</v>
      </c>
      <c r="S104" s="58">
        <v>0</v>
      </c>
      <c r="T104" s="58">
        <v>0</v>
      </c>
      <c r="U104" s="58">
        <v>0</v>
      </c>
      <c r="V104" s="58">
        <v>0</v>
      </c>
      <c r="W104" s="58">
        <v>0</v>
      </c>
      <c r="X104" s="58">
        <v>0</v>
      </c>
      <c r="Y104" s="58">
        <v>8100</v>
      </c>
      <c r="Z104" s="58">
        <v>8100</v>
      </c>
      <c r="AA104" s="58">
        <v>15139.55</v>
      </c>
      <c r="AD104" s="18" t="str">
        <f t="array" ref="AD104">IFERROR(INDEX($A$1:$A$2000, MATCH(0, IF($AD$1*1=$C$1:$C$2018*1, COUNTIF($AD$1:$AD103, $A$1:$A$2000), ""), 0)),"")</f>
        <v/>
      </c>
      <c r="AE104" s="57" t="str">
        <f t="shared" si="15"/>
        <v/>
      </c>
      <c r="AF104" s="18" t="str">
        <f t="shared" si="16"/>
        <v/>
      </c>
      <c r="AG104" s="18" t="str">
        <f t="shared" si="17"/>
        <v/>
      </c>
      <c r="AH104" s="18" t="str">
        <f t="shared" si="18"/>
        <v/>
      </c>
      <c r="AI104" s="18" t="str">
        <f t="shared" si="19"/>
        <v/>
      </c>
      <c r="AJ104" s="18" t="str">
        <f t="shared" si="20"/>
        <v/>
      </c>
      <c r="AK104" s="18" t="str">
        <f t="shared" si="21"/>
        <v/>
      </c>
      <c r="AL104" s="18" t="str">
        <f t="shared" si="22"/>
        <v/>
      </c>
      <c r="AM104" s="18" t="str">
        <f t="shared" si="23"/>
        <v/>
      </c>
    </row>
    <row r="105" spans="1:39" x14ac:dyDescent="0.35">
      <c r="A105" s="56" t="s">
        <v>170</v>
      </c>
      <c r="B105" s="58">
        <v>12150</v>
      </c>
      <c r="C105" s="58" t="s">
        <v>26</v>
      </c>
      <c r="D105" s="58">
        <v>31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10800</v>
      </c>
      <c r="M105" s="58">
        <v>0</v>
      </c>
      <c r="N105" s="58">
        <v>15143.3</v>
      </c>
      <c r="O105" s="58">
        <v>12150</v>
      </c>
      <c r="P105" s="58" t="s">
        <v>26</v>
      </c>
      <c r="Q105" s="58">
        <v>32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14925</v>
      </c>
      <c r="Z105" s="58">
        <v>6600</v>
      </c>
      <c r="AA105" s="58">
        <v>15139.55</v>
      </c>
      <c r="AD105" s="18" t="str">
        <f t="array" ref="AD105">IFERROR(INDEX($A$1:$A$2000, MATCH(0, IF($AD$1*1=$C$1:$C$2018*1, COUNTIF($AD$1:$AD104, $A$1:$A$2000), ""), 0)),"")</f>
        <v/>
      </c>
      <c r="AE105" s="57" t="str">
        <f t="shared" si="15"/>
        <v/>
      </c>
      <c r="AF105" s="18" t="str">
        <f t="shared" si="16"/>
        <v/>
      </c>
      <c r="AG105" s="18" t="str">
        <f t="shared" si="17"/>
        <v/>
      </c>
      <c r="AH105" s="18" t="str">
        <f t="shared" si="18"/>
        <v/>
      </c>
      <c r="AI105" s="18" t="str">
        <f t="shared" si="19"/>
        <v/>
      </c>
      <c r="AJ105" s="18" t="str">
        <f t="shared" si="20"/>
        <v/>
      </c>
      <c r="AK105" s="18" t="str">
        <f t="shared" si="21"/>
        <v/>
      </c>
      <c r="AL105" s="18" t="str">
        <f t="shared" si="22"/>
        <v/>
      </c>
      <c r="AM105" s="18" t="str">
        <f t="shared" si="23"/>
        <v/>
      </c>
    </row>
    <row r="106" spans="1:39" x14ac:dyDescent="0.35">
      <c r="A106" s="56" t="s">
        <v>171</v>
      </c>
      <c r="B106" s="58">
        <v>12150</v>
      </c>
      <c r="C106" s="58" t="s">
        <v>2068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14175</v>
      </c>
      <c r="M106" s="58">
        <v>1575</v>
      </c>
      <c r="N106" s="58">
        <v>15143.3</v>
      </c>
      <c r="O106" s="58">
        <v>12150</v>
      </c>
      <c r="P106" s="58" t="s">
        <v>2068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9600</v>
      </c>
      <c r="Z106" s="58">
        <v>8400</v>
      </c>
      <c r="AA106" s="58">
        <v>15139.55</v>
      </c>
      <c r="AD106" s="18" t="str">
        <f t="array" ref="AD106">IFERROR(INDEX($A$1:$A$2000, MATCH(0, IF($AD$1*1=$C$1:$C$2018*1,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172</v>
      </c>
      <c r="B107" s="58">
        <v>12200</v>
      </c>
      <c r="C107" s="58" t="s">
        <v>64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9375</v>
      </c>
      <c r="M107" s="58">
        <v>0</v>
      </c>
      <c r="N107" s="58">
        <v>15139.55</v>
      </c>
      <c r="O107" s="58">
        <v>12200</v>
      </c>
      <c r="P107" s="58" t="s">
        <v>64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4875</v>
      </c>
      <c r="Z107" s="58">
        <v>4875</v>
      </c>
      <c r="AA107" s="58">
        <v>15143.3</v>
      </c>
      <c r="AD107" s="18" t="str">
        <f t="array" ref="AD107">IFERROR(INDEX($A$1:$A$2000, MATCH(0, IF($AD$1*1=$C$1:$C$2018*1,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173</v>
      </c>
      <c r="B108" s="58">
        <v>0</v>
      </c>
      <c r="C108" s="58">
        <v>0</v>
      </c>
      <c r="D108" s="58">
        <v>0</v>
      </c>
      <c r="E108" s="58">
        <v>0</v>
      </c>
      <c r="F108" s="58">
        <v>0</v>
      </c>
      <c r="G108" s="58">
        <v>0</v>
      </c>
      <c r="H108" s="58">
        <v>0</v>
      </c>
      <c r="I108" s="58">
        <v>0</v>
      </c>
      <c r="J108" s="58">
        <v>0</v>
      </c>
      <c r="K108" s="58">
        <v>0</v>
      </c>
      <c r="L108" s="58">
        <v>0</v>
      </c>
      <c r="M108" s="58">
        <v>0</v>
      </c>
      <c r="N108" s="58">
        <v>0</v>
      </c>
      <c r="O108" s="58">
        <v>12200</v>
      </c>
      <c r="P108" s="58" t="s">
        <v>27</v>
      </c>
      <c r="Q108" s="58">
        <v>6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3075</v>
      </c>
      <c r="Z108" s="58">
        <v>75</v>
      </c>
      <c r="AA108" s="58">
        <v>15143.3</v>
      </c>
      <c r="AD108" s="18" t="str">
        <f t="array" ref="AD108">IFERROR(INDEX($A$1:$A$2000, MATCH(0, IF($AD$1*1=$C$1:$C$2018*1,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174</v>
      </c>
      <c r="B109" s="58">
        <v>12200</v>
      </c>
      <c r="C109" s="58" t="s">
        <v>29</v>
      </c>
      <c r="D109" s="58">
        <v>1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750</v>
      </c>
      <c r="M109" s="58">
        <v>75</v>
      </c>
      <c r="N109" s="58">
        <v>15143.3</v>
      </c>
      <c r="O109" s="58">
        <v>0</v>
      </c>
      <c r="P109" s="58">
        <v>0</v>
      </c>
      <c r="Q109" s="58">
        <v>0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0</v>
      </c>
      <c r="Z109" s="58">
        <v>0</v>
      </c>
      <c r="AA109" s="58">
        <v>0</v>
      </c>
      <c r="AD109" s="18" t="str">
        <f t="array" ref="AD109">IFERROR(INDEX($A$1:$A$2000, MATCH(0, IF($AD$1*1=$C$1:$C$2018*1,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175</v>
      </c>
      <c r="B110" s="58">
        <v>12200</v>
      </c>
      <c r="C110" s="58" t="s">
        <v>26</v>
      </c>
      <c r="D110" s="58">
        <v>1420</v>
      </c>
      <c r="E110" s="58">
        <v>-16</v>
      </c>
      <c r="F110" s="58">
        <v>-1.1142061281337048</v>
      </c>
      <c r="G110" s="58">
        <v>104</v>
      </c>
      <c r="H110" s="58">
        <v>48.29</v>
      </c>
      <c r="I110" s="58">
        <v>5.7</v>
      </c>
      <c r="J110" s="58">
        <v>-1.4500000000000002</v>
      </c>
      <c r="K110" s="58">
        <v>-20.27972027972028</v>
      </c>
      <c r="L110" s="58">
        <v>8850</v>
      </c>
      <c r="M110" s="58">
        <v>11250</v>
      </c>
      <c r="N110" s="58">
        <v>15139.55</v>
      </c>
      <c r="O110" s="58">
        <v>12200</v>
      </c>
      <c r="P110" s="58" t="s">
        <v>26</v>
      </c>
      <c r="Q110" s="58">
        <v>1065</v>
      </c>
      <c r="R110" s="58">
        <v>0</v>
      </c>
      <c r="S110" s="58">
        <v>0</v>
      </c>
      <c r="T110" s="58">
        <v>1</v>
      </c>
      <c r="U110" s="58">
        <v>0</v>
      </c>
      <c r="V110" s="58">
        <v>2979.3</v>
      </c>
      <c r="W110" s="58">
        <v>30.200000000000273</v>
      </c>
      <c r="X110" s="58">
        <v>1.0240412329185269</v>
      </c>
      <c r="Y110" s="58">
        <v>15450</v>
      </c>
      <c r="Z110" s="58">
        <v>15525</v>
      </c>
      <c r="AA110" s="58">
        <v>15139.55</v>
      </c>
      <c r="AD110" s="18" t="str">
        <f t="array" ref="AD110">IFERROR(INDEX($A$1:$A$2000, MATCH(0, IF($AD$1*1=$C$1:$C$2018*1,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176</v>
      </c>
      <c r="B111" s="58">
        <v>12200</v>
      </c>
      <c r="C111" s="58" t="s">
        <v>2068</v>
      </c>
      <c r="D111" s="58">
        <v>104</v>
      </c>
      <c r="E111" s="58">
        <v>2</v>
      </c>
      <c r="F111" s="58">
        <v>1.9607843137254899</v>
      </c>
      <c r="G111" s="58">
        <v>10</v>
      </c>
      <c r="H111" s="58">
        <v>32.69</v>
      </c>
      <c r="I111" s="58">
        <v>18.25</v>
      </c>
      <c r="J111" s="58">
        <v>0.30000000000000071</v>
      </c>
      <c r="K111" s="58">
        <v>1.671309192200561</v>
      </c>
      <c r="L111" s="58">
        <v>20850</v>
      </c>
      <c r="M111" s="58">
        <v>10650</v>
      </c>
      <c r="N111" s="58">
        <v>15139.55</v>
      </c>
      <c r="O111" s="58">
        <v>12200</v>
      </c>
      <c r="P111" s="58" t="s">
        <v>2068</v>
      </c>
      <c r="Q111" s="58">
        <v>7</v>
      </c>
      <c r="R111" s="58">
        <v>0</v>
      </c>
      <c r="S111" s="58">
        <v>0</v>
      </c>
      <c r="T111" s="58">
        <v>1</v>
      </c>
      <c r="U111" s="58">
        <v>0</v>
      </c>
      <c r="V111" s="58">
        <v>3040</v>
      </c>
      <c r="W111" s="58">
        <v>140</v>
      </c>
      <c r="X111" s="58">
        <v>4.8275862068965516</v>
      </c>
      <c r="Y111" s="58">
        <v>13350</v>
      </c>
      <c r="Z111" s="58">
        <v>13350</v>
      </c>
      <c r="AA111" s="58">
        <v>15139.55</v>
      </c>
      <c r="AD111" s="18" t="str">
        <f t="array" ref="AD111">IFERROR(INDEX($A$1:$A$2000, MATCH(0, IF($AD$1*1=$C$1:$C$2018*1,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177</v>
      </c>
      <c r="B112" s="58">
        <v>12200</v>
      </c>
      <c r="C112" s="58" t="s">
        <v>33</v>
      </c>
      <c r="D112" s="58">
        <v>1372</v>
      </c>
      <c r="E112" s="58">
        <v>392</v>
      </c>
      <c r="F112" s="58">
        <v>40</v>
      </c>
      <c r="G112" s="58">
        <v>812</v>
      </c>
      <c r="H112" s="58">
        <v>123.89</v>
      </c>
      <c r="I112" s="58">
        <v>0.1</v>
      </c>
      <c r="J112" s="58">
        <v>-0.2</v>
      </c>
      <c r="K112" s="58">
        <v>-66.666666666666657</v>
      </c>
      <c r="L112" s="58">
        <v>50550</v>
      </c>
      <c r="M112" s="58">
        <v>45675</v>
      </c>
      <c r="N112" s="58">
        <v>15143.3</v>
      </c>
      <c r="O112" s="58">
        <v>12200</v>
      </c>
      <c r="P112" s="58" t="s">
        <v>33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10275</v>
      </c>
      <c r="Z112" s="58">
        <v>10275</v>
      </c>
      <c r="AA112" s="58">
        <v>15139.55</v>
      </c>
      <c r="AD112" s="18" t="str">
        <f t="array" ref="AD112">IFERROR(INDEX($A$1:$A$2000, MATCH(0, IF($AD$1*1=$C$1:$C$2018*1,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178</v>
      </c>
      <c r="B113" s="58">
        <v>12200</v>
      </c>
      <c r="C113" s="58" t="s">
        <v>34</v>
      </c>
      <c r="D113" s="58">
        <v>0</v>
      </c>
      <c r="E113" s="58">
        <v>0</v>
      </c>
      <c r="F113" s="58">
        <v>0</v>
      </c>
      <c r="G113" s="58">
        <v>0</v>
      </c>
      <c r="H113" s="58">
        <v>0</v>
      </c>
      <c r="I113" s="58">
        <v>0</v>
      </c>
      <c r="J113" s="58">
        <v>0</v>
      </c>
      <c r="K113" s="58">
        <v>0</v>
      </c>
      <c r="L113" s="58">
        <v>38775</v>
      </c>
      <c r="M113" s="58">
        <v>12300</v>
      </c>
      <c r="N113" s="58">
        <v>15139.55</v>
      </c>
      <c r="O113" s="58">
        <v>12200</v>
      </c>
      <c r="P113" s="58" t="s">
        <v>34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9750</v>
      </c>
      <c r="Z113" s="58">
        <v>9750</v>
      </c>
      <c r="AA113" s="58">
        <v>15139.55</v>
      </c>
      <c r="AD113" s="18" t="str">
        <f t="array" ref="AD113">IFERROR(INDEX($A$1:$A$2000, MATCH(0, IF($AD$1*1=$C$1:$C$2018*1,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179</v>
      </c>
      <c r="B114" s="58">
        <v>12250</v>
      </c>
      <c r="C114" s="58" t="s">
        <v>64</v>
      </c>
      <c r="D114" s="58">
        <v>0</v>
      </c>
      <c r="E114" s="58">
        <v>0</v>
      </c>
      <c r="F114" s="58">
        <v>0</v>
      </c>
      <c r="G114" s="58">
        <v>0</v>
      </c>
      <c r="H114" s="58">
        <v>0</v>
      </c>
      <c r="I114" s="58">
        <v>0</v>
      </c>
      <c r="J114" s="58">
        <v>0</v>
      </c>
      <c r="K114" s="58">
        <v>0</v>
      </c>
      <c r="L114" s="58">
        <v>9675</v>
      </c>
      <c r="M114" s="58">
        <v>0</v>
      </c>
      <c r="N114" s="58">
        <v>15139.55</v>
      </c>
      <c r="O114" s="58">
        <v>12250</v>
      </c>
      <c r="P114" s="58" t="s">
        <v>64</v>
      </c>
      <c r="Q114" s="58">
        <v>0</v>
      </c>
      <c r="R114" s="58">
        <v>0</v>
      </c>
      <c r="S114" s="58">
        <v>0</v>
      </c>
      <c r="T114" s="58">
        <v>0</v>
      </c>
      <c r="U114" s="58">
        <v>0</v>
      </c>
      <c r="V114" s="58">
        <v>0</v>
      </c>
      <c r="W114" s="58">
        <v>0</v>
      </c>
      <c r="X114" s="58">
        <v>0</v>
      </c>
      <c r="Y114" s="58">
        <v>4875</v>
      </c>
      <c r="Z114" s="58">
        <v>4875</v>
      </c>
      <c r="AA114" s="58">
        <v>15143.3</v>
      </c>
      <c r="AD114" s="18" t="str">
        <f t="array" ref="AD114">IFERROR(INDEX($A$1:$A$2000, MATCH(0, IF($AD$1*1=$C$1:$C$2018*1,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180</v>
      </c>
      <c r="B115" s="58">
        <v>12250</v>
      </c>
      <c r="C115" s="58" t="s">
        <v>2068</v>
      </c>
      <c r="D115" s="58">
        <v>0</v>
      </c>
      <c r="E115" s="58">
        <v>0</v>
      </c>
      <c r="F115" s="58">
        <v>0</v>
      </c>
      <c r="G115" s="58">
        <v>0</v>
      </c>
      <c r="H115" s="58">
        <v>0</v>
      </c>
      <c r="I115" s="58">
        <v>0</v>
      </c>
      <c r="J115" s="58">
        <v>0</v>
      </c>
      <c r="K115" s="58">
        <v>0</v>
      </c>
      <c r="L115" s="58">
        <v>17025</v>
      </c>
      <c r="M115" s="58">
        <v>0</v>
      </c>
      <c r="N115" s="58">
        <v>15143.3</v>
      </c>
      <c r="O115" s="58">
        <v>12250</v>
      </c>
      <c r="P115" s="58" t="s">
        <v>2068</v>
      </c>
      <c r="Q115" s="58">
        <v>0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9075</v>
      </c>
      <c r="Z115" s="58">
        <v>8250</v>
      </c>
      <c r="AA115" s="58">
        <v>15143.3</v>
      </c>
      <c r="AD115" s="18" t="str">
        <f t="array" ref="AD115">IFERROR(INDEX($A$1:$A$2000, MATCH(0, IF($AD$1*1=$C$1:$C$2018*1,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181</v>
      </c>
      <c r="B116" s="58">
        <v>12250</v>
      </c>
      <c r="C116" s="58" t="s">
        <v>33</v>
      </c>
      <c r="D116" s="58">
        <v>416</v>
      </c>
      <c r="E116" s="58">
        <v>109</v>
      </c>
      <c r="F116" s="58">
        <v>35.504885993485345</v>
      </c>
      <c r="G116" s="58">
        <v>1029</v>
      </c>
      <c r="H116" s="58">
        <v>125.44</v>
      </c>
      <c r="I116" s="58">
        <v>0.1</v>
      </c>
      <c r="J116" s="58">
        <v>-0.45000000000000007</v>
      </c>
      <c r="K116" s="58">
        <v>-81.818181818181827</v>
      </c>
      <c r="L116" s="58">
        <v>5475</v>
      </c>
      <c r="M116" s="58">
        <v>35475</v>
      </c>
      <c r="N116" s="58">
        <v>15139.55</v>
      </c>
      <c r="O116" s="58">
        <v>12250</v>
      </c>
      <c r="P116" s="58" t="s">
        <v>33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9750</v>
      </c>
      <c r="Z116" s="58">
        <v>9750</v>
      </c>
      <c r="AA116" s="58">
        <v>15139.55</v>
      </c>
      <c r="AD116" s="18" t="str">
        <f t="array" ref="AD116">IFERROR(INDEX($A$1:$A$2000, MATCH(0, IF($AD$1*1=$C$1:$C$2018*1,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182</v>
      </c>
      <c r="B117" s="58">
        <v>12250</v>
      </c>
      <c r="C117" s="58" t="s">
        <v>34</v>
      </c>
      <c r="D117" s="58">
        <v>0</v>
      </c>
      <c r="E117" s="58">
        <v>0</v>
      </c>
      <c r="F117" s="58">
        <v>0</v>
      </c>
      <c r="G117" s="58">
        <v>0</v>
      </c>
      <c r="H117" s="58">
        <v>0</v>
      </c>
      <c r="I117" s="58">
        <v>0</v>
      </c>
      <c r="J117" s="58">
        <v>0</v>
      </c>
      <c r="K117" s="58">
        <v>0</v>
      </c>
      <c r="L117" s="58">
        <v>17325</v>
      </c>
      <c r="M117" s="58">
        <v>375</v>
      </c>
      <c r="N117" s="58">
        <v>15139.55</v>
      </c>
      <c r="O117" s="58">
        <v>12250</v>
      </c>
      <c r="P117" s="58" t="s">
        <v>34</v>
      </c>
      <c r="Q117" s="58">
        <v>0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9750</v>
      </c>
      <c r="Z117" s="58">
        <v>9750</v>
      </c>
      <c r="AA117" s="58">
        <v>15139.55</v>
      </c>
      <c r="AD117" s="18" t="str">
        <f t="array" ref="AD117">IFERROR(INDEX($A$1:$A$2000, MATCH(0, IF($AD$1*1=$C$1:$C$2018*1,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183</v>
      </c>
      <c r="B118" s="58">
        <v>12250</v>
      </c>
      <c r="C118" s="58" t="s">
        <v>26</v>
      </c>
      <c r="D118" s="58">
        <v>0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14625</v>
      </c>
      <c r="M118" s="58">
        <v>0</v>
      </c>
      <c r="N118" s="58">
        <v>15139.55</v>
      </c>
      <c r="O118" s="58">
        <v>12250</v>
      </c>
      <c r="P118" s="58" t="s">
        <v>26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10125</v>
      </c>
      <c r="Z118" s="58">
        <v>9825</v>
      </c>
      <c r="AA118" s="58">
        <v>15139.55</v>
      </c>
      <c r="AD118" s="18" t="str">
        <f t="array" ref="AD118">IFERROR(INDEX($A$1:$A$2000, MATCH(0, IF($AD$1*1=$C$1:$C$2018*1,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184</v>
      </c>
      <c r="B119" s="58">
        <v>12300</v>
      </c>
      <c r="C119" s="58" t="s">
        <v>64</v>
      </c>
      <c r="D119" s="58">
        <v>0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9375</v>
      </c>
      <c r="M119" s="58">
        <v>0</v>
      </c>
      <c r="N119" s="58">
        <v>15139.55</v>
      </c>
      <c r="O119" s="58">
        <v>12300</v>
      </c>
      <c r="P119" s="58" t="s">
        <v>64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4875</v>
      </c>
      <c r="Z119" s="58">
        <v>4875</v>
      </c>
      <c r="AA119" s="58">
        <v>15139.55</v>
      </c>
      <c r="AD119" s="18" t="str">
        <f t="array" ref="AD119">IFERROR(INDEX($A$1:$A$2000, MATCH(0, IF($AD$1*1=$C$1:$C$2018*1,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185</v>
      </c>
      <c r="B120" s="58">
        <v>12300</v>
      </c>
      <c r="C120" s="58" t="s">
        <v>2068</v>
      </c>
      <c r="D120" s="58">
        <v>61</v>
      </c>
      <c r="E120" s="58">
        <v>1</v>
      </c>
      <c r="F120" s="58">
        <v>1.6666666666666667</v>
      </c>
      <c r="G120" s="58">
        <v>1</v>
      </c>
      <c r="H120" s="58">
        <v>31.32</v>
      </c>
      <c r="I120" s="58">
        <v>17</v>
      </c>
      <c r="J120" s="58">
        <v>-1.5</v>
      </c>
      <c r="K120" s="58">
        <v>-8.1081081081081088</v>
      </c>
      <c r="L120" s="58">
        <v>15600</v>
      </c>
      <c r="M120" s="58">
        <v>5625</v>
      </c>
      <c r="N120" s="58">
        <v>15139.55</v>
      </c>
      <c r="O120" s="58">
        <v>12300</v>
      </c>
      <c r="P120" s="58" t="s">
        <v>2068</v>
      </c>
      <c r="Q120" s="58">
        <v>2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9300</v>
      </c>
      <c r="Z120" s="58">
        <v>8475</v>
      </c>
      <c r="AA120" s="58">
        <v>15139.55</v>
      </c>
      <c r="AD120" s="18" t="str">
        <f t="array" ref="AD120">IFERROR(INDEX($A$1:$A$2000, MATCH(0, IF($AD$1*1=$C$1:$C$2018*1,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186</v>
      </c>
      <c r="B121" s="58">
        <v>12300</v>
      </c>
      <c r="C121" s="58" t="s">
        <v>29</v>
      </c>
      <c r="D121" s="58">
        <v>1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750</v>
      </c>
      <c r="M121" s="58">
        <v>75</v>
      </c>
      <c r="N121" s="58">
        <v>15139.55</v>
      </c>
      <c r="O121" s="58">
        <v>0</v>
      </c>
      <c r="P121" s="58">
        <v>0</v>
      </c>
      <c r="Q121" s="58">
        <v>0</v>
      </c>
      <c r="R121" s="58">
        <v>0</v>
      </c>
      <c r="S121" s="58">
        <v>0</v>
      </c>
      <c r="T121" s="58">
        <v>0</v>
      </c>
      <c r="U121" s="58">
        <v>0</v>
      </c>
      <c r="V121" s="58">
        <v>0</v>
      </c>
      <c r="W121" s="58">
        <v>0</v>
      </c>
      <c r="X121" s="58">
        <v>0</v>
      </c>
      <c r="Y121" s="58">
        <v>0</v>
      </c>
      <c r="Z121" s="58">
        <v>0</v>
      </c>
      <c r="AA121" s="58">
        <v>0</v>
      </c>
      <c r="AD121" s="18" t="str">
        <f t="array" ref="AD121">IFERROR(INDEX($A$1:$A$2000, MATCH(0, IF($AD$1*1=$C$1:$C$2018*1,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187</v>
      </c>
      <c r="B122" s="58">
        <v>12300</v>
      </c>
      <c r="C122" s="58" t="s">
        <v>26</v>
      </c>
      <c r="D122" s="58">
        <v>981</v>
      </c>
      <c r="E122" s="58">
        <v>-12</v>
      </c>
      <c r="F122" s="58">
        <v>-1.2084592145015105</v>
      </c>
      <c r="G122" s="58">
        <v>35</v>
      </c>
      <c r="H122" s="58">
        <v>47.14</v>
      </c>
      <c r="I122" s="58">
        <v>5.95</v>
      </c>
      <c r="J122" s="58">
        <v>-2</v>
      </c>
      <c r="K122" s="58">
        <v>-25.157232704402517</v>
      </c>
      <c r="L122" s="58">
        <v>7725</v>
      </c>
      <c r="M122" s="58">
        <v>11550</v>
      </c>
      <c r="N122" s="58">
        <v>15139.55</v>
      </c>
      <c r="O122" s="58">
        <v>12300</v>
      </c>
      <c r="P122" s="58" t="s">
        <v>26</v>
      </c>
      <c r="Q122" s="58">
        <v>201</v>
      </c>
      <c r="R122" s="58">
        <v>0</v>
      </c>
      <c r="S122" s="58">
        <v>0</v>
      </c>
      <c r="T122" s="58">
        <v>0</v>
      </c>
      <c r="U122" s="58">
        <v>0</v>
      </c>
      <c r="V122" s="58">
        <v>0</v>
      </c>
      <c r="W122" s="58">
        <v>0</v>
      </c>
      <c r="X122" s="58">
        <v>0</v>
      </c>
      <c r="Y122" s="58">
        <v>14850</v>
      </c>
      <c r="Z122" s="58">
        <v>14850</v>
      </c>
      <c r="AA122" s="58">
        <v>15143.3</v>
      </c>
      <c r="AD122" s="18" t="str">
        <f t="array" ref="AD122">IFERROR(INDEX($A$1:$A$2000, MATCH(0, IF($AD$1*1=$C$1:$C$2018*1,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188</v>
      </c>
      <c r="B123" s="58">
        <v>12300</v>
      </c>
      <c r="C123" s="58" t="s">
        <v>34</v>
      </c>
      <c r="D123" s="58">
        <v>52</v>
      </c>
      <c r="E123" s="58">
        <v>49</v>
      </c>
      <c r="F123" s="58">
        <v>1633.3333333333333</v>
      </c>
      <c r="G123" s="58">
        <v>49</v>
      </c>
      <c r="H123" s="58">
        <v>54.97</v>
      </c>
      <c r="I123" s="58">
        <v>1.75</v>
      </c>
      <c r="J123" s="58">
        <v>-1.1000000000000001</v>
      </c>
      <c r="K123" s="58">
        <v>-38.596491228070178</v>
      </c>
      <c r="L123" s="58">
        <v>51825</v>
      </c>
      <c r="M123" s="58">
        <v>11775</v>
      </c>
      <c r="N123" s="58">
        <v>15139.55</v>
      </c>
      <c r="O123" s="58">
        <v>12300</v>
      </c>
      <c r="P123" s="58" t="s">
        <v>34</v>
      </c>
      <c r="Q123" s="58">
        <v>1</v>
      </c>
      <c r="R123" s="58">
        <v>0</v>
      </c>
      <c r="S123" s="58">
        <v>0</v>
      </c>
      <c r="T123" s="58">
        <v>0</v>
      </c>
      <c r="U123" s="58">
        <v>0</v>
      </c>
      <c r="V123" s="58">
        <v>0</v>
      </c>
      <c r="W123" s="58">
        <v>0</v>
      </c>
      <c r="X123" s="58">
        <v>0</v>
      </c>
      <c r="Y123" s="58">
        <v>10350</v>
      </c>
      <c r="Z123" s="58">
        <v>10350</v>
      </c>
      <c r="AA123" s="58">
        <v>15143.3</v>
      </c>
      <c r="AD123" s="18" t="str">
        <f t="array" ref="AD123">IFERROR(INDEX($A$1:$A$2000, MATCH(0, IF($AD$1*1=$C$1:$C$2018*1,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189</v>
      </c>
      <c r="B124" s="58">
        <v>12300</v>
      </c>
      <c r="C124" s="58" t="s">
        <v>33</v>
      </c>
      <c r="D124" s="58">
        <v>629</v>
      </c>
      <c r="E124" s="58">
        <v>156</v>
      </c>
      <c r="F124" s="58">
        <v>32.980972515856237</v>
      </c>
      <c r="G124" s="58">
        <v>468</v>
      </c>
      <c r="H124" s="58">
        <v>113.83</v>
      </c>
      <c r="I124" s="58">
        <v>0.15</v>
      </c>
      <c r="J124" s="58">
        <v>-0.25</v>
      </c>
      <c r="K124" s="58">
        <v>-62.5</v>
      </c>
      <c r="L124" s="58">
        <v>48750</v>
      </c>
      <c r="M124" s="58">
        <v>49500</v>
      </c>
      <c r="N124" s="58">
        <v>15139.55</v>
      </c>
      <c r="O124" s="58">
        <v>12300</v>
      </c>
      <c r="P124" s="58" t="s">
        <v>33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10275</v>
      </c>
      <c r="Z124" s="58">
        <v>10275</v>
      </c>
      <c r="AA124" s="58">
        <v>15139.55</v>
      </c>
      <c r="AD124" s="18" t="str">
        <f t="array" ref="AD124">IFERROR(INDEX($A$1:$A$2000, MATCH(0, IF($AD$1*1=$C$1:$C$2018*1,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190</v>
      </c>
      <c r="B125" s="58">
        <v>12350</v>
      </c>
      <c r="C125" s="58" t="s">
        <v>26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14625</v>
      </c>
      <c r="M125" s="58">
        <v>0</v>
      </c>
      <c r="N125" s="58">
        <v>15143.3</v>
      </c>
      <c r="O125" s="58">
        <v>12350</v>
      </c>
      <c r="P125" s="58" t="s">
        <v>26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14775</v>
      </c>
      <c r="Z125" s="58">
        <v>6525</v>
      </c>
      <c r="AA125" s="58">
        <v>15139.55</v>
      </c>
      <c r="AD125" s="18" t="str">
        <f t="array" ref="AD125">IFERROR(INDEX($A$1:$A$2000, MATCH(0, IF($AD$1*1=$C$1:$C$2018*1,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191</v>
      </c>
      <c r="B126" s="58">
        <v>12350</v>
      </c>
      <c r="C126" s="58" t="s">
        <v>64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9375</v>
      </c>
      <c r="M126" s="58">
        <v>0</v>
      </c>
      <c r="N126" s="58">
        <v>15139.55</v>
      </c>
      <c r="O126" s="58">
        <v>12350</v>
      </c>
      <c r="P126" s="58" t="s">
        <v>64</v>
      </c>
      <c r="Q126" s="58">
        <v>0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4875</v>
      </c>
      <c r="Z126" s="58">
        <v>4875</v>
      </c>
      <c r="AA126" s="58">
        <v>15139.55</v>
      </c>
      <c r="AD126" s="18" t="str">
        <f t="array" ref="AD126">IFERROR(INDEX($A$1:$A$2000, MATCH(0, IF($AD$1*1=$C$1:$C$2018*1,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192</v>
      </c>
      <c r="B127" s="58">
        <v>12350</v>
      </c>
      <c r="C127" s="58" t="s">
        <v>2068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17025</v>
      </c>
      <c r="M127" s="58">
        <v>0</v>
      </c>
      <c r="N127" s="58">
        <v>15139.55</v>
      </c>
      <c r="O127" s="58">
        <v>12350</v>
      </c>
      <c r="P127" s="58" t="s">
        <v>2068</v>
      </c>
      <c r="Q127" s="58">
        <v>0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9300</v>
      </c>
      <c r="Z127" s="58">
        <v>8250</v>
      </c>
      <c r="AA127" s="58">
        <v>15139.55</v>
      </c>
      <c r="AD127" s="18" t="str">
        <f t="array" ref="AD127">IFERROR(INDEX($A$1:$A$2000, MATCH(0, IF($AD$1*1=$C$1:$C$2018*1,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193</v>
      </c>
      <c r="B128" s="58">
        <v>12350</v>
      </c>
      <c r="C128" s="58" t="s">
        <v>33</v>
      </c>
      <c r="D128" s="58">
        <v>168</v>
      </c>
      <c r="E128" s="58">
        <v>134</v>
      </c>
      <c r="F128" s="58">
        <v>394.11764705882354</v>
      </c>
      <c r="G128" s="58">
        <v>394</v>
      </c>
      <c r="H128" s="58">
        <v>120.95</v>
      </c>
      <c r="I128" s="58">
        <v>0.15</v>
      </c>
      <c r="J128" s="58">
        <v>-0.1</v>
      </c>
      <c r="K128" s="58">
        <v>-40</v>
      </c>
      <c r="L128" s="58">
        <v>5700</v>
      </c>
      <c r="M128" s="58">
        <v>63300</v>
      </c>
      <c r="N128" s="58">
        <v>15143.3</v>
      </c>
      <c r="O128" s="58">
        <v>12350</v>
      </c>
      <c r="P128" s="58" t="s">
        <v>33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9750</v>
      </c>
      <c r="Z128" s="58">
        <v>9750</v>
      </c>
      <c r="AA128" s="58">
        <v>15139.55</v>
      </c>
      <c r="AD128" s="18" t="str">
        <f t="array" ref="AD128">IFERROR(INDEX($A$1:$A$2000, MATCH(0, IF($AD$1*1=$C$1:$C$2018*1,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194</v>
      </c>
      <c r="B129" s="58">
        <v>12350</v>
      </c>
      <c r="C129" s="58" t="s">
        <v>34</v>
      </c>
      <c r="D129" s="58">
        <v>0</v>
      </c>
      <c r="E129" s="58">
        <v>0</v>
      </c>
      <c r="F129" s="58">
        <v>0</v>
      </c>
      <c r="G129" s="58">
        <v>0</v>
      </c>
      <c r="H129" s="58">
        <v>0</v>
      </c>
      <c r="I129" s="58">
        <v>0</v>
      </c>
      <c r="J129" s="58">
        <v>0</v>
      </c>
      <c r="K129" s="58">
        <v>0</v>
      </c>
      <c r="L129" s="58">
        <v>15225</v>
      </c>
      <c r="M129" s="58">
        <v>300</v>
      </c>
      <c r="N129" s="58">
        <v>15143.3</v>
      </c>
      <c r="O129" s="58">
        <v>12350</v>
      </c>
      <c r="P129" s="58" t="s">
        <v>34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9750</v>
      </c>
      <c r="Z129" s="58">
        <v>9750</v>
      </c>
      <c r="AA129" s="58">
        <v>15139.55</v>
      </c>
      <c r="AD129" s="18" t="str">
        <f t="array" ref="AD129">IFERROR(INDEX($A$1:$A$2000, MATCH(0, IF($AD$1*1=$C$1:$C$2018*1,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195</v>
      </c>
      <c r="B130" s="58">
        <v>12400</v>
      </c>
      <c r="C130" s="58" t="s">
        <v>26</v>
      </c>
      <c r="D130" s="58">
        <v>542</v>
      </c>
      <c r="E130" s="58">
        <v>-9</v>
      </c>
      <c r="F130" s="58">
        <v>-1.633393829401089</v>
      </c>
      <c r="G130" s="58">
        <v>30</v>
      </c>
      <c r="H130" s="58">
        <v>45.95</v>
      </c>
      <c r="I130" s="58">
        <v>6.5</v>
      </c>
      <c r="J130" s="58">
        <v>-2.1500000000000004</v>
      </c>
      <c r="K130" s="58">
        <v>-24.855491329479772</v>
      </c>
      <c r="L130" s="58">
        <v>5925</v>
      </c>
      <c r="M130" s="58">
        <v>9450</v>
      </c>
      <c r="N130" s="58">
        <v>15143.3</v>
      </c>
      <c r="O130" s="58">
        <v>12400</v>
      </c>
      <c r="P130" s="58" t="s">
        <v>26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15150</v>
      </c>
      <c r="Z130" s="58">
        <v>10725</v>
      </c>
      <c r="AA130" s="58">
        <v>15139.55</v>
      </c>
      <c r="AD130" s="18" t="str">
        <f t="array" ref="AD130">IFERROR(INDEX($A$1:$A$2000, MATCH(0, IF($AD$1*1=$C$1:$C$2018*1,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196</v>
      </c>
      <c r="B131" s="58">
        <v>12400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39225</v>
      </c>
      <c r="M131" s="58">
        <v>1950</v>
      </c>
      <c r="N131" s="58">
        <v>15143.3</v>
      </c>
      <c r="O131" s="58">
        <v>12400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9750</v>
      </c>
      <c r="Z131" s="58">
        <v>9750</v>
      </c>
      <c r="AA131" s="58">
        <v>15139.55</v>
      </c>
      <c r="AD131" s="18" t="str">
        <f t="array" ref="AD131">IFERROR(INDEX($A$1:$A$2000, MATCH(0, IF($AD$1*1=$C$1:$C$2018*1,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197</v>
      </c>
      <c r="B132" s="58">
        <v>12400</v>
      </c>
      <c r="C132" s="58" t="s">
        <v>2068</v>
      </c>
      <c r="D132" s="58">
        <v>65</v>
      </c>
      <c r="E132" s="58">
        <v>0</v>
      </c>
      <c r="F132" s="58">
        <v>0</v>
      </c>
      <c r="G132" s="58">
        <v>4</v>
      </c>
      <c r="H132" s="58">
        <v>30.64</v>
      </c>
      <c r="I132" s="58">
        <v>18</v>
      </c>
      <c r="J132" s="58">
        <v>-4.9499999999999993</v>
      </c>
      <c r="K132" s="58">
        <v>-21.56862745098039</v>
      </c>
      <c r="L132" s="58">
        <v>16050</v>
      </c>
      <c r="M132" s="58">
        <v>3075</v>
      </c>
      <c r="N132" s="58">
        <v>15143.3</v>
      </c>
      <c r="O132" s="58">
        <v>12400</v>
      </c>
      <c r="P132" s="58" t="s">
        <v>2068</v>
      </c>
      <c r="Q132" s="58">
        <v>1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9300</v>
      </c>
      <c r="Z132" s="58">
        <v>8775</v>
      </c>
      <c r="AA132" s="58">
        <v>15143.3</v>
      </c>
      <c r="AD132" s="18" t="str">
        <f t="array" ref="AD132">IFERROR(INDEX($A$1:$A$2000, MATCH(0, IF($AD$1*1=$C$1:$C$2018*1,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198</v>
      </c>
      <c r="B133" s="58">
        <v>12400</v>
      </c>
      <c r="C133" s="58" t="s">
        <v>27</v>
      </c>
      <c r="D133" s="58">
        <v>103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750</v>
      </c>
      <c r="M133" s="58">
        <v>0</v>
      </c>
      <c r="N133" s="58">
        <v>15143.3</v>
      </c>
      <c r="O133" s="58">
        <v>0</v>
      </c>
      <c r="P133" s="58">
        <v>0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0</v>
      </c>
      <c r="Z133" s="58">
        <v>0</v>
      </c>
      <c r="AA133" s="58">
        <v>0</v>
      </c>
      <c r="AD133" s="18" t="str">
        <f t="array" ref="AD133">IFERROR(INDEX($A$1:$A$2000, MATCH(0, IF($AD$1*1=$C$1:$C$2018*1,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199</v>
      </c>
      <c r="B134" s="58">
        <v>12400</v>
      </c>
      <c r="C134" s="58" t="s">
        <v>29</v>
      </c>
      <c r="D134" s="58">
        <v>3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750</v>
      </c>
      <c r="M134" s="58">
        <v>75</v>
      </c>
      <c r="N134" s="58">
        <v>15143.3</v>
      </c>
      <c r="O134" s="58">
        <v>0</v>
      </c>
      <c r="P134" s="58">
        <v>0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0</v>
      </c>
      <c r="Z134" s="58">
        <v>0</v>
      </c>
      <c r="AA134" s="58">
        <v>0</v>
      </c>
      <c r="AD134" s="18" t="str">
        <f t="array" ref="AD134">IFERROR(INDEX($A$1:$A$2000, MATCH(0, IF($AD$1*1=$C$1:$C$2018*1,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200</v>
      </c>
      <c r="B135" s="58">
        <v>12400</v>
      </c>
      <c r="C135" s="58" t="s">
        <v>33</v>
      </c>
      <c r="D135" s="58">
        <v>917</v>
      </c>
      <c r="E135" s="58">
        <v>472</v>
      </c>
      <c r="F135" s="58">
        <v>106.06741573033707</v>
      </c>
      <c r="G135" s="58">
        <v>2272</v>
      </c>
      <c r="H135" s="58">
        <v>115.15</v>
      </c>
      <c r="I135" s="58">
        <v>0.15</v>
      </c>
      <c r="J135" s="58">
        <v>-0.2</v>
      </c>
      <c r="K135" s="58">
        <v>-57.142857142857139</v>
      </c>
      <c r="L135" s="58">
        <v>59025</v>
      </c>
      <c r="M135" s="58">
        <v>89925</v>
      </c>
      <c r="N135" s="58">
        <v>15139.55</v>
      </c>
      <c r="O135" s="58">
        <v>12400</v>
      </c>
      <c r="P135" s="58" t="s">
        <v>33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10275</v>
      </c>
      <c r="Z135" s="58">
        <v>10275</v>
      </c>
      <c r="AA135" s="58">
        <v>15143.3</v>
      </c>
      <c r="AD135" s="18" t="str">
        <f t="array" ref="AD135">IFERROR(INDEX($A$1:$A$2000, MATCH(0, IF($AD$1*1=$C$1:$C$2018*1,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201</v>
      </c>
      <c r="B136" s="58">
        <v>12400</v>
      </c>
      <c r="C136" s="58" t="s">
        <v>64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9675</v>
      </c>
      <c r="M136" s="58">
        <v>0</v>
      </c>
      <c r="N136" s="58">
        <v>15143.3</v>
      </c>
      <c r="O136" s="58">
        <v>12400</v>
      </c>
      <c r="P136" s="58" t="s">
        <v>64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15143.3</v>
      </c>
      <c r="AD136" s="18" t="str">
        <f t="array" ref="AD136">IFERROR(INDEX($A$1:$A$2000, MATCH(0, IF($AD$1*1=$C$1:$C$2018*1,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202</v>
      </c>
      <c r="B137" s="58">
        <v>12450</v>
      </c>
      <c r="C137" s="58" t="s">
        <v>26</v>
      </c>
      <c r="D137" s="58">
        <v>7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14925</v>
      </c>
      <c r="M137" s="58">
        <v>0</v>
      </c>
      <c r="N137" s="58">
        <v>15139.55</v>
      </c>
      <c r="O137" s="58">
        <v>12450</v>
      </c>
      <c r="P137" s="58" t="s">
        <v>26</v>
      </c>
      <c r="Q137" s="58">
        <v>0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14775</v>
      </c>
      <c r="Z137" s="58">
        <v>6450</v>
      </c>
      <c r="AA137" s="58">
        <v>15139.55</v>
      </c>
      <c r="AD137" s="18" t="str">
        <f t="array" ref="AD137">IFERROR(INDEX($A$1:$A$2000, MATCH(0, IF($AD$1*1=$C$1:$C$2018*1,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203</v>
      </c>
      <c r="B138" s="58">
        <v>12450</v>
      </c>
      <c r="C138" s="58" t="s">
        <v>33</v>
      </c>
      <c r="D138" s="58">
        <v>89</v>
      </c>
      <c r="E138" s="58">
        <v>55</v>
      </c>
      <c r="F138" s="58">
        <v>161.76470588235293</v>
      </c>
      <c r="G138" s="58">
        <v>111</v>
      </c>
      <c r="H138" s="58">
        <v>121.34</v>
      </c>
      <c r="I138" s="58">
        <v>0.25</v>
      </c>
      <c r="J138" s="58">
        <v>-4.9999999999999989E-2</v>
      </c>
      <c r="K138" s="58">
        <v>-16.666666666666664</v>
      </c>
      <c r="L138" s="58">
        <v>8325</v>
      </c>
      <c r="M138" s="58">
        <v>46575</v>
      </c>
      <c r="N138" s="58">
        <v>15139.55</v>
      </c>
      <c r="O138" s="58">
        <v>12450</v>
      </c>
      <c r="P138" s="58" t="s">
        <v>33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9750</v>
      </c>
      <c r="Z138" s="58">
        <v>9750</v>
      </c>
      <c r="AA138" s="58">
        <v>15139.55</v>
      </c>
      <c r="AD138" s="18" t="str">
        <f t="array" ref="AD138">IFERROR(INDEX($A$1:$A$2000, MATCH(0, IF($AD$1*1=$C$1:$C$2018*1,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204</v>
      </c>
      <c r="B139" s="58">
        <v>12450</v>
      </c>
      <c r="C139" s="58" t="s">
        <v>64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10875</v>
      </c>
      <c r="M139" s="58">
        <v>0</v>
      </c>
      <c r="N139" s="58">
        <v>15139.55</v>
      </c>
      <c r="O139" s="58">
        <v>12450</v>
      </c>
      <c r="P139" s="58" t="s">
        <v>64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4875</v>
      </c>
      <c r="Z139" s="58">
        <v>4875</v>
      </c>
      <c r="AA139" s="58">
        <v>15139.55</v>
      </c>
      <c r="AD139" s="18" t="str">
        <f t="array" ref="AD139">IFERROR(INDEX($A$1:$A$2000, MATCH(0, IF($AD$1*1=$C$1:$C$2018*1,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205</v>
      </c>
      <c r="B140" s="58">
        <v>12450</v>
      </c>
      <c r="C140" s="58" t="s">
        <v>34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16350</v>
      </c>
      <c r="M140" s="58">
        <v>300</v>
      </c>
      <c r="N140" s="58">
        <v>15143.3</v>
      </c>
      <c r="O140" s="58">
        <v>12450</v>
      </c>
      <c r="P140" s="58" t="s">
        <v>34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9750</v>
      </c>
      <c r="Z140" s="58">
        <v>9750</v>
      </c>
      <c r="AA140" s="58">
        <v>15143.3</v>
      </c>
      <c r="AD140" s="18" t="str">
        <f t="array" ref="AD140">IFERROR(INDEX($A$1:$A$2000, MATCH(0, IF($AD$1*1=$C$1:$C$2018*1,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206</v>
      </c>
      <c r="B141" s="58">
        <v>12450</v>
      </c>
      <c r="C141" s="58" t="s">
        <v>2068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18150</v>
      </c>
      <c r="M141" s="58">
        <v>375</v>
      </c>
      <c r="N141" s="58">
        <v>15139.55</v>
      </c>
      <c r="O141" s="58">
        <v>12450</v>
      </c>
      <c r="P141" s="58" t="s">
        <v>2068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9150</v>
      </c>
      <c r="Z141" s="58">
        <v>8250</v>
      </c>
      <c r="AA141" s="58">
        <v>15139.55</v>
      </c>
      <c r="AD141" s="18" t="str">
        <f t="array" ref="AD141">IFERROR(INDEX($A$1:$A$2000, MATCH(0, IF($AD$1*1=$C$1:$C$2018*1,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207</v>
      </c>
      <c r="B142" s="58">
        <v>12500</v>
      </c>
      <c r="C142" s="58" t="s">
        <v>64</v>
      </c>
      <c r="D142" s="58">
        <v>16</v>
      </c>
      <c r="E142" s="58">
        <v>1</v>
      </c>
      <c r="F142" s="58">
        <v>6.666666666666667</v>
      </c>
      <c r="G142" s="58">
        <v>1</v>
      </c>
      <c r="H142" s="58">
        <v>35.97</v>
      </c>
      <c r="I142" s="58">
        <v>5.35</v>
      </c>
      <c r="J142" s="58">
        <v>-7.2000000000000011</v>
      </c>
      <c r="K142" s="58">
        <v>-57.370517928286858</v>
      </c>
      <c r="L142" s="58">
        <v>14775</v>
      </c>
      <c r="M142" s="58">
        <v>0</v>
      </c>
      <c r="N142" s="58">
        <v>15139.55</v>
      </c>
      <c r="O142" s="58">
        <v>12500</v>
      </c>
      <c r="P142" s="58" t="s">
        <v>64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4875</v>
      </c>
      <c r="Z142" s="58">
        <v>4875</v>
      </c>
      <c r="AA142" s="58">
        <v>15139.55</v>
      </c>
      <c r="AD142" s="18" t="str">
        <f t="array" ref="AD142">IFERROR(INDEX($A$1:$A$2000, MATCH(0, IF($AD$1*1=$C$1:$C$2018*1,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208</v>
      </c>
      <c r="B143" s="58">
        <v>12500</v>
      </c>
      <c r="C143" s="58" t="s">
        <v>34</v>
      </c>
      <c r="D143" s="58">
        <v>571</v>
      </c>
      <c r="E143" s="58">
        <v>175</v>
      </c>
      <c r="F143" s="58">
        <v>44.19191919191919</v>
      </c>
      <c r="G143" s="58">
        <v>263</v>
      </c>
      <c r="H143" s="58">
        <v>50.29</v>
      </c>
      <c r="I143" s="58">
        <v>1.45</v>
      </c>
      <c r="J143" s="58">
        <v>-0.35000000000000009</v>
      </c>
      <c r="K143" s="58">
        <v>-19.444444444444446</v>
      </c>
      <c r="L143" s="58">
        <v>79125</v>
      </c>
      <c r="M143" s="58">
        <v>63000</v>
      </c>
      <c r="N143" s="58">
        <v>15139.55</v>
      </c>
      <c r="O143" s="58">
        <v>12500</v>
      </c>
      <c r="P143" s="58" t="s">
        <v>34</v>
      </c>
      <c r="Q143" s="58">
        <v>2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10650</v>
      </c>
      <c r="Z143" s="58">
        <v>10650</v>
      </c>
      <c r="AA143" s="58">
        <v>15139.55</v>
      </c>
      <c r="AD143" s="18" t="str">
        <f t="array" ref="AD143">IFERROR(INDEX($A$1:$A$2000, MATCH(0, IF($AD$1*1=$C$1:$C$2018*1,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209</v>
      </c>
      <c r="B144" s="58">
        <v>12500</v>
      </c>
      <c r="C144" s="58" t="s">
        <v>31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3225</v>
      </c>
      <c r="M144" s="58">
        <v>75</v>
      </c>
      <c r="N144" s="58">
        <v>15139.55</v>
      </c>
      <c r="O144" s="58">
        <v>12500</v>
      </c>
      <c r="P144" s="58" t="s">
        <v>31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1500</v>
      </c>
      <c r="Z144" s="58">
        <v>0</v>
      </c>
      <c r="AA144" s="58">
        <v>15139.55</v>
      </c>
      <c r="AD144" s="18" t="str">
        <f t="array" ref="AD144">IFERROR(INDEX($A$1:$A$2000, MATCH(0, IF($AD$1*1=$C$1:$C$2018*1,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210</v>
      </c>
      <c r="B145" s="58">
        <v>12500</v>
      </c>
      <c r="C145" s="58" t="s">
        <v>29</v>
      </c>
      <c r="D145" s="58">
        <v>1321</v>
      </c>
      <c r="E145" s="58">
        <v>0</v>
      </c>
      <c r="F145" s="58">
        <v>0</v>
      </c>
      <c r="G145" s="58">
        <v>7</v>
      </c>
      <c r="H145" s="58">
        <v>28.17</v>
      </c>
      <c r="I145" s="58">
        <v>240</v>
      </c>
      <c r="J145" s="58">
        <v>-10</v>
      </c>
      <c r="K145" s="58">
        <v>-4</v>
      </c>
      <c r="L145" s="58">
        <v>7350</v>
      </c>
      <c r="M145" s="58">
        <v>2625</v>
      </c>
      <c r="N145" s="58">
        <v>15139.55</v>
      </c>
      <c r="O145" s="58">
        <v>12500</v>
      </c>
      <c r="P145" s="58" t="s">
        <v>29</v>
      </c>
      <c r="Q145" s="58">
        <v>11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3300</v>
      </c>
      <c r="Z145" s="58">
        <v>675</v>
      </c>
      <c r="AA145" s="58">
        <v>15143.3</v>
      </c>
      <c r="AD145" s="18" t="str">
        <f t="array" ref="AD145">IFERROR(INDEX($A$1:$A$2000, MATCH(0, IF($AD$1*1=$C$1:$C$2018*1,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211</v>
      </c>
      <c r="B146" s="58">
        <v>12500</v>
      </c>
      <c r="C146" s="58" t="s">
        <v>33</v>
      </c>
      <c r="D146" s="58">
        <v>4654</v>
      </c>
      <c r="E146" s="58">
        <v>14</v>
      </c>
      <c r="F146" s="58">
        <v>0.30172413793103448</v>
      </c>
      <c r="G146" s="58">
        <v>1255</v>
      </c>
      <c r="H146" s="58">
        <v>114.26</v>
      </c>
      <c r="I146" s="58">
        <v>0.15</v>
      </c>
      <c r="J146" s="58">
        <v>-0.2</v>
      </c>
      <c r="K146" s="58">
        <v>-57.142857142857139</v>
      </c>
      <c r="L146" s="58">
        <v>152325</v>
      </c>
      <c r="M146" s="58">
        <v>93900</v>
      </c>
      <c r="N146" s="58">
        <v>15143.3</v>
      </c>
      <c r="O146" s="58">
        <v>12500</v>
      </c>
      <c r="P146" s="58" t="s">
        <v>33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10425</v>
      </c>
      <c r="Z146" s="58">
        <v>10425</v>
      </c>
      <c r="AA146" s="58">
        <v>15139.55</v>
      </c>
      <c r="AD146" s="18" t="str">
        <f t="array" ref="AD146">IFERROR(INDEX($A$1:$A$2000, MATCH(0, IF($AD$1*1=$C$1:$C$2018*1,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212</v>
      </c>
      <c r="B147" s="58">
        <v>12500</v>
      </c>
      <c r="C147" s="58" t="s">
        <v>2068</v>
      </c>
      <c r="D147" s="58">
        <v>2842</v>
      </c>
      <c r="E147" s="58">
        <v>-5</v>
      </c>
      <c r="F147" s="58">
        <v>-0.17562346329469616</v>
      </c>
      <c r="G147" s="58">
        <v>538</v>
      </c>
      <c r="H147" s="58">
        <v>30.41</v>
      </c>
      <c r="I147" s="58">
        <v>21.85</v>
      </c>
      <c r="J147" s="58">
        <v>-0.89999999999999858</v>
      </c>
      <c r="K147" s="58">
        <v>-3.9560439560439495</v>
      </c>
      <c r="L147" s="58">
        <v>54750</v>
      </c>
      <c r="M147" s="58">
        <v>22200</v>
      </c>
      <c r="N147" s="58">
        <v>15139.55</v>
      </c>
      <c r="O147" s="58">
        <v>12500</v>
      </c>
      <c r="P147" s="58" t="s">
        <v>2068</v>
      </c>
      <c r="Q147" s="58">
        <v>1196</v>
      </c>
      <c r="R147" s="58">
        <v>25</v>
      </c>
      <c r="S147" s="58">
        <v>2.134927412467976</v>
      </c>
      <c r="T147" s="58">
        <v>60</v>
      </c>
      <c r="U147" s="58">
        <v>0</v>
      </c>
      <c r="V147" s="58">
        <v>2724.55</v>
      </c>
      <c r="W147" s="58">
        <v>44.600000000000371</v>
      </c>
      <c r="X147" s="58">
        <v>1.6642101531745133</v>
      </c>
      <c r="Y147" s="58">
        <v>14250</v>
      </c>
      <c r="Z147" s="58">
        <v>15375</v>
      </c>
      <c r="AA147" s="58">
        <v>15139.55</v>
      </c>
      <c r="AD147" s="18" t="str">
        <f t="array" ref="AD147">IFERROR(INDEX($A$1:$A$2000, MATCH(0, IF($AD$1*1=$C$1:$C$2018*1,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213</v>
      </c>
      <c r="B148" s="58">
        <v>12500</v>
      </c>
      <c r="C148" s="58" t="s">
        <v>26</v>
      </c>
      <c r="D148" s="58">
        <v>27425</v>
      </c>
      <c r="E148" s="58">
        <v>-659</v>
      </c>
      <c r="F148" s="58">
        <v>-2.3465318330722118</v>
      </c>
      <c r="G148" s="58">
        <v>4308</v>
      </c>
      <c r="H148" s="58">
        <v>45.49</v>
      </c>
      <c r="I148" s="58">
        <v>7.8</v>
      </c>
      <c r="J148" s="58">
        <v>-1.7000000000000002</v>
      </c>
      <c r="K148" s="58">
        <v>-17.894736842105267</v>
      </c>
      <c r="L148" s="58">
        <v>18600</v>
      </c>
      <c r="M148" s="58">
        <v>30525</v>
      </c>
      <c r="N148" s="58">
        <v>15139.55</v>
      </c>
      <c r="O148" s="58">
        <v>12500</v>
      </c>
      <c r="P148" s="58" t="s">
        <v>26</v>
      </c>
      <c r="Q148" s="58">
        <v>5868</v>
      </c>
      <c r="R148" s="58">
        <v>-577</v>
      </c>
      <c r="S148" s="58">
        <v>-8.9526764934057415</v>
      </c>
      <c r="T148" s="58">
        <v>602</v>
      </c>
      <c r="U148" s="58">
        <v>0</v>
      </c>
      <c r="V148" s="58">
        <v>2670.8</v>
      </c>
      <c r="W148" s="58">
        <v>37.900000000000091</v>
      </c>
      <c r="X148" s="58">
        <v>1.4394773823540616</v>
      </c>
      <c r="Y148" s="58">
        <v>21075</v>
      </c>
      <c r="Z148" s="58">
        <v>20475</v>
      </c>
      <c r="AA148" s="58">
        <v>15143.3</v>
      </c>
      <c r="AD148" s="18" t="str">
        <f t="array" ref="AD148">IFERROR(INDEX($A$1:$A$2000, MATCH(0, IF($AD$1*1=$C$1:$C$2018*1,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214</v>
      </c>
      <c r="B149" s="58">
        <v>12500</v>
      </c>
      <c r="C149" s="58" t="s">
        <v>27</v>
      </c>
      <c r="D149" s="58">
        <v>797</v>
      </c>
      <c r="E149" s="58">
        <v>0</v>
      </c>
      <c r="F149" s="58">
        <v>0</v>
      </c>
      <c r="G149" s="58">
        <v>26</v>
      </c>
      <c r="H149" s="58">
        <v>29.11</v>
      </c>
      <c r="I149" s="58">
        <v>77</v>
      </c>
      <c r="J149" s="58">
        <v>-1.2999999999999972</v>
      </c>
      <c r="K149" s="58">
        <v>-1.6602809706257948</v>
      </c>
      <c r="L149" s="58">
        <v>13950</v>
      </c>
      <c r="M149" s="58">
        <v>11700</v>
      </c>
      <c r="N149" s="58">
        <v>15143.3</v>
      </c>
      <c r="O149" s="58">
        <v>12500</v>
      </c>
      <c r="P149" s="58" t="s">
        <v>27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3150</v>
      </c>
      <c r="Z149" s="58">
        <v>0</v>
      </c>
      <c r="AA149" s="58">
        <v>15143.3</v>
      </c>
      <c r="AD149" s="18" t="str">
        <f t="array" ref="AD149">IFERROR(INDEX($A$1:$A$2000, MATCH(0, IF($AD$1*1=$C$1:$C$2018*1,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215</v>
      </c>
      <c r="B150" s="58">
        <v>12550</v>
      </c>
      <c r="C150" s="58" t="s">
        <v>2068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13725</v>
      </c>
      <c r="M150" s="58">
        <v>5175</v>
      </c>
      <c r="N150" s="58">
        <v>15139.55</v>
      </c>
      <c r="O150" s="58">
        <v>12550</v>
      </c>
      <c r="P150" s="58" t="s">
        <v>2068</v>
      </c>
      <c r="Q150" s="58">
        <v>0</v>
      </c>
      <c r="R150" s="58">
        <v>0</v>
      </c>
      <c r="S150" s="58">
        <v>0</v>
      </c>
      <c r="T150" s="58">
        <v>0</v>
      </c>
      <c r="U150" s="58">
        <v>0</v>
      </c>
      <c r="V150" s="58">
        <v>0</v>
      </c>
      <c r="W150" s="58">
        <v>0</v>
      </c>
      <c r="X150" s="58">
        <v>0</v>
      </c>
      <c r="Y150" s="58">
        <v>9075</v>
      </c>
      <c r="Z150" s="58">
        <v>8250</v>
      </c>
      <c r="AA150" s="58">
        <v>15139.55</v>
      </c>
      <c r="AD150" s="18" t="str">
        <f t="array" ref="AD150">IFERROR(INDEX($A$1:$A$2000, MATCH(0, IF($AD$1*1=$C$1:$C$2018*1,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216</v>
      </c>
      <c r="B151" s="58">
        <v>12550</v>
      </c>
      <c r="C151" s="58" t="s">
        <v>64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10275</v>
      </c>
      <c r="M151" s="58">
        <v>0</v>
      </c>
      <c r="N151" s="58">
        <v>15139.55</v>
      </c>
      <c r="O151" s="58">
        <v>12550</v>
      </c>
      <c r="P151" s="58" t="s">
        <v>64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15143.3</v>
      </c>
      <c r="AD151" s="18" t="str">
        <f t="array" ref="AD151">IFERROR(INDEX($A$1:$A$2000, MATCH(0, IF($AD$1*1=$C$1:$C$2018*1,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217</v>
      </c>
      <c r="B152" s="58">
        <v>12550</v>
      </c>
      <c r="C152" s="58" t="s">
        <v>33</v>
      </c>
      <c r="D152" s="58">
        <v>43</v>
      </c>
      <c r="E152" s="58">
        <v>-34</v>
      </c>
      <c r="F152" s="58">
        <v>-44.155844155844157</v>
      </c>
      <c r="G152" s="58">
        <v>44</v>
      </c>
      <c r="H152" s="58">
        <v>108.66</v>
      </c>
      <c r="I152" s="58">
        <v>0.3</v>
      </c>
      <c r="J152" s="58">
        <v>4.9999999999999989E-2</v>
      </c>
      <c r="K152" s="58">
        <v>19.999999999999996</v>
      </c>
      <c r="L152" s="58">
        <v>5400</v>
      </c>
      <c r="M152" s="58">
        <v>32850</v>
      </c>
      <c r="N152" s="58">
        <v>15139.55</v>
      </c>
      <c r="O152" s="58">
        <v>12550</v>
      </c>
      <c r="P152" s="58" t="s">
        <v>33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9750</v>
      </c>
      <c r="Z152" s="58">
        <v>9750</v>
      </c>
      <c r="AA152" s="58">
        <v>15143.3</v>
      </c>
      <c r="AD152" s="18" t="str">
        <f t="array" ref="AD152">IFERROR(INDEX($A$1:$A$2000, MATCH(0, IF($AD$1*1=$C$1:$C$2018*1,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218</v>
      </c>
      <c r="B153" s="58">
        <v>12550</v>
      </c>
      <c r="C153" s="58" t="s">
        <v>34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19950</v>
      </c>
      <c r="M153" s="58">
        <v>300</v>
      </c>
      <c r="N153" s="58">
        <v>15139.55</v>
      </c>
      <c r="O153" s="58">
        <v>12550</v>
      </c>
      <c r="P153" s="58" t="s">
        <v>34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9750</v>
      </c>
      <c r="Z153" s="58">
        <v>9750</v>
      </c>
      <c r="AA153" s="58">
        <v>15139.55</v>
      </c>
      <c r="AD153" s="18" t="str">
        <f t="array" ref="AD153">IFERROR(INDEX($A$1:$A$2000, MATCH(0, IF($AD$1*1=$C$1:$C$2018*1,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219</v>
      </c>
      <c r="B154" s="58">
        <v>12550</v>
      </c>
      <c r="C154" s="58" t="s">
        <v>26</v>
      </c>
      <c r="D154" s="58">
        <v>1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14550</v>
      </c>
      <c r="M154" s="58">
        <v>0</v>
      </c>
      <c r="N154" s="58">
        <v>15143.3</v>
      </c>
      <c r="O154" s="58">
        <v>12550</v>
      </c>
      <c r="P154" s="58" t="s">
        <v>26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15300</v>
      </c>
      <c r="Z154" s="58">
        <v>11550</v>
      </c>
      <c r="AA154" s="58">
        <v>15139.55</v>
      </c>
      <c r="AD154" s="18" t="str">
        <f t="array" ref="AD154">IFERROR(INDEX($A$1:$A$2000, MATCH(0, IF($AD$1*1=$C$1:$C$2018*1,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220</v>
      </c>
      <c r="B155" s="58">
        <v>12600</v>
      </c>
      <c r="C155" s="58" t="s">
        <v>2068</v>
      </c>
      <c r="D155" s="58">
        <v>55</v>
      </c>
      <c r="E155" s="58">
        <v>11</v>
      </c>
      <c r="F155" s="58">
        <v>25</v>
      </c>
      <c r="G155" s="58">
        <v>16</v>
      </c>
      <c r="H155" s="58">
        <v>29.72</v>
      </c>
      <c r="I155" s="58">
        <v>21.95</v>
      </c>
      <c r="J155" s="58">
        <v>-3.9499999999999993</v>
      </c>
      <c r="K155" s="58">
        <v>-15.250965250965248</v>
      </c>
      <c r="L155" s="58">
        <v>13200</v>
      </c>
      <c r="M155" s="58">
        <v>6825</v>
      </c>
      <c r="N155" s="58">
        <v>15143.3</v>
      </c>
      <c r="O155" s="58">
        <v>12600</v>
      </c>
      <c r="P155" s="58" t="s">
        <v>2068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13350</v>
      </c>
      <c r="Z155" s="58">
        <v>13350</v>
      </c>
      <c r="AA155" s="58">
        <v>15139.55</v>
      </c>
      <c r="AD155" s="18" t="str">
        <f t="array" ref="AD155">IFERROR(INDEX($A$1:$A$2000, MATCH(0, IF($AD$1*1=$C$1:$C$2018*1,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221</v>
      </c>
      <c r="B156" s="58">
        <v>12600</v>
      </c>
      <c r="C156" s="58" t="s">
        <v>34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35100</v>
      </c>
      <c r="M156" s="58">
        <v>0</v>
      </c>
      <c r="N156" s="58">
        <v>15139.55</v>
      </c>
      <c r="O156" s="58">
        <v>12600</v>
      </c>
      <c r="P156" s="58" t="s">
        <v>34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9750</v>
      </c>
      <c r="Z156" s="58">
        <v>9750</v>
      </c>
      <c r="AA156" s="58">
        <v>15139.55</v>
      </c>
      <c r="AD156" s="18" t="str">
        <f t="array" ref="AD156">IFERROR(INDEX($A$1:$A$2000, MATCH(0, IF($AD$1*1=$C$1:$C$2018*1,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222</v>
      </c>
      <c r="B157" s="58">
        <v>12600</v>
      </c>
      <c r="C157" s="58" t="s">
        <v>33</v>
      </c>
      <c r="D157" s="58">
        <v>656</v>
      </c>
      <c r="E157" s="58">
        <v>151</v>
      </c>
      <c r="F157" s="58">
        <v>29.900990099009903</v>
      </c>
      <c r="G157" s="58">
        <v>472</v>
      </c>
      <c r="H157" s="58">
        <v>106.51</v>
      </c>
      <c r="I157" s="58">
        <v>0.15</v>
      </c>
      <c r="J157" s="58">
        <v>-0.30000000000000004</v>
      </c>
      <c r="K157" s="58">
        <v>-66.666666666666671</v>
      </c>
      <c r="L157" s="58">
        <v>16275</v>
      </c>
      <c r="M157" s="58">
        <v>61200</v>
      </c>
      <c r="N157" s="58">
        <v>15139.55</v>
      </c>
      <c r="O157" s="58">
        <v>12600</v>
      </c>
      <c r="P157" s="58" t="s">
        <v>33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10275</v>
      </c>
      <c r="Z157" s="58">
        <v>10275</v>
      </c>
      <c r="AA157" s="58">
        <v>15139.55</v>
      </c>
      <c r="AD157" s="18" t="str">
        <f t="array" ref="AD157">IFERROR(INDEX($A$1:$A$2000, MATCH(0, IF($AD$1*1=$C$1:$C$2018*1,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223</v>
      </c>
      <c r="B158" s="58">
        <v>12600</v>
      </c>
      <c r="C158" s="58" t="s">
        <v>26</v>
      </c>
      <c r="D158" s="58">
        <v>814</v>
      </c>
      <c r="E158" s="58">
        <v>-22</v>
      </c>
      <c r="F158" s="58">
        <v>-2.6315789473684212</v>
      </c>
      <c r="G158" s="58">
        <v>216</v>
      </c>
      <c r="H158" s="58">
        <v>44.32</v>
      </c>
      <c r="I158" s="58">
        <v>8.1999999999999993</v>
      </c>
      <c r="J158" s="58">
        <v>-1.9500000000000011</v>
      </c>
      <c r="K158" s="58">
        <v>-19.211822660098537</v>
      </c>
      <c r="L158" s="58">
        <v>675</v>
      </c>
      <c r="M158" s="58">
        <v>5625</v>
      </c>
      <c r="N158" s="58">
        <v>15139.55</v>
      </c>
      <c r="O158" s="58">
        <v>12600</v>
      </c>
      <c r="P158" s="58" t="s">
        <v>26</v>
      </c>
      <c r="Q158" s="58">
        <v>185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20175</v>
      </c>
      <c r="Z158" s="58">
        <v>20175</v>
      </c>
      <c r="AA158" s="58">
        <v>15143.3</v>
      </c>
      <c r="AD158" s="18" t="str">
        <f t="array" ref="AD158">IFERROR(INDEX($A$1:$A$2000, MATCH(0, IF($AD$1*1=$C$1:$C$2018*1,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224</v>
      </c>
      <c r="B159" s="58">
        <v>12600</v>
      </c>
      <c r="C159" s="58" t="s">
        <v>64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12150</v>
      </c>
      <c r="M159" s="58">
        <v>0</v>
      </c>
      <c r="N159" s="58">
        <v>15143.3</v>
      </c>
      <c r="O159" s="58">
        <v>12600</v>
      </c>
      <c r="P159" s="58" t="s">
        <v>64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4875</v>
      </c>
      <c r="Z159" s="58">
        <v>4875</v>
      </c>
      <c r="AA159" s="58">
        <v>15139.55</v>
      </c>
      <c r="AD159" s="18" t="str">
        <f t="array" ref="AD159">IFERROR(INDEX($A$1:$A$2000, MATCH(0, IF($AD$1*1=$C$1:$C$2018*1,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225</v>
      </c>
      <c r="B160" s="58">
        <v>12650</v>
      </c>
      <c r="C160" s="58" t="s">
        <v>2068</v>
      </c>
      <c r="D160" s="58">
        <v>0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13800</v>
      </c>
      <c r="M160" s="58">
        <v>5025</v>
      </c>
      <c r="N160" s="58">
        <v>15139.55</v>
      </c>
      <c r="O160" s="58">
        <v>12650</v>
      </c>
      <c r="P160" s="58" t="s">
        <v>2068</v>
      </c>
      <c r="Q160" s="58">
        <v>0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13200</v>
      </c>
      <c r="Z160" s="58">
        <v>8250</v>
      </c>
      <c r="AA160" s="58">
        <v>15139.55</v>
      </c>
      <c r="AD160" s="18" t="str">
        <f t="array" ref="AD160">IFERROR(INDEX($A$1:$A$2000, MATCH(0, IF($AD$1*1=$C$1:$C$2018*1,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226</v>
      </c>
      <c r="B161" s="58">
        <v>12650</v>
      </c>
      <c r="C161" s="58" t="s">
        <v>64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9450</v>
      </c>
      <c r="M161" s="58">
        <v>0</v>
      </c>
      <c r="N161" s="58">
        <v>15139.55</v>
      </c>
      <c r="O161" s="58">
        <v>12650</v>
      </c>
      <c r="P161" s="58" t="s">
        <v>64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4875</v>
      </c>
      <c r="Z161" s="58">
        <v>4875</v>
      </c>
      <c r="AA161" s="58">
        <v>15139.55</v>
      </c>
      <c r="AD161" s="18" t="str">
        <f t="array" ref="AD161">IFERROR(INDEX($A$1:$A$2000, MATCH(0, IF($AD$1*1=$C$1:$C$2018*1,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227</v>
      </c>
      <c r="B162" s="58">
        <v>12650</v>
      </c>
      <c r="C162" s="58" t="s">
        <v>26</v>
      </c>
      <c r="D162" s="58">
        <v>7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15450</v>
      </c>
      <c r="M162" s="58">
        <v>0</v>
      </c>
      <c r="N162" s="58">
        <v>15139.55</v>
      </c>
      <c r="O162" s="58">
        <v>12650</v>
      </c>
      <c r="P162" s="58" t="s">
        <v>26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15600</v>
      </c>
      <c r="Z162" s="58">
        <v>11325</v>
      </c>
      <c r="AA162" s="58">
        <v>15139.55</v>
      </c>
      <c r="AD162" s="18" t="str">
        <f t="array" ref="AD162">IFERROR(INDEX($A$1:$A$2000, MATCH(0, IF($AD$1*1=$C$1:$C$2018*1,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228</v>
      </c>
      <c r="B163" s="58">
        <v>12650</v>
      </c>
      <c r="C163" s="58" t="s">
        <v>33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2400</v>
      </c>
      <c r="M163" s="58">
        <v>46350</v>
      </c>
      <c r="N163" s="58">
        <v>15139.55</v>
      </c>
      <c r="O163" s="58">
        <v>12650</v>
      </c>
      <c r="P163" s="58" t="s">
        <v>33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9750</v>
      </c>
      <c r="Z163" s="58">
        <v>9750</v>
      </c>
      <c r="AA163" s="58">
        <v>15139.55</v>
      </c>
      <c r="AD163" s="18" t="str">
        <f t="array" ref="AD163">IFERROR(INDEX($A$1:$A$2000, MATCH(0, IF($AD$1*1=$C$1:$C$2018*1,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229</v>
      </c>
      <c r="B164" s="58">
        <v>12650</v>
      </c>
      <c r="C164" s="58" t="s">
        <v>34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17700</v>
      </c>
      <c r="M164" s="58">
        <v>0</v>
      </c>
      <c r="N164" s="58">
        <v>15139.55</v>
      </c>
      <c r="O164" s="58">
        <v>12650</v>
      </c>
      <c r="P164" s="58" t="s">
        <v>34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9750</v>
      </c>
      <c r="Z164" s="58">
        <v>9750</v>
      </c>
      <c r="AA164" s="58">
        <v>15139.55</v>
      </c>
      <c r="AD164" s="18" t="str">
        <f t="array" ref="AD164">IFERROR(INDEX($A$1:$A$2000, MATCH(0, IF($AD$1*1=$C$1:$C$2018*1,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230</v>
      </c>
      <c r="B165" s="58">
        <v>12700</v>
      </c>
      <c r="C165" s="58" t="s">
        <v>64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12000</v>
      </c>
      <c r="M165" s="58">
        <v>0</v>
      </c>
      <c r="N165" s="58">
        <v>15139.55</v>
      </c>
      <c r="O165" s="58">
        <v>12700</v>
      </c>
      <c r="P165" s="58" t="s">
        <v>64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4875</v>
      </c>
      <c r="Z165" s="58">
        <v>4875</v>
      </c>
      <c r="AA165" s="58">
        <v>15139.55</v>
      </c>
      <c r="AD165" s="18" t="str">
        <f t="array" ref="AD165">IFERROR(INDEX($A$1:$A$2000, MATCH(0, IF($AD$1*1=$C$1:$C$2018*1,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231</v>
      </c>
      <c r="B166" s="58">
        <v>12700</v>
      </c>
      <c r="C166" s="58" t="s">
        <v>2068</v>
      </c>
      <c r="D166" s="58">
        <v>52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11700</v>
      </c>
      <c r="M166" s="58">
        <v>8100</v>
      </c>
      <c r="N166" s="58">
        <v>15143.3</v>
      </c>
      <c r="O166" s="58">
        <v>12700</v>
      </c>
      <c r="P166" s="58" t="s">
        <v>2068</v>
      </c>
      <c r="Q166" s="58">
        <v>1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13350</v>
      </c>
      <c r="Z166" s="58">
        <v>8400</v>
      </c>
      <c r="AA166" s="58">
        <v>15139.55</v>
      </c>
      <c r="AD166" s="18" t="str">
        <f t="array" ref="AD166">IFERROR(INDEX($A$1:$A$2000, MATCH(0, IF($AD$1*1=$C$1:$C$2018*1,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232</v>
      </c>
      <c r="B167" s="58">
        <v>12700</v>
      </c>
      <c r="C167" s="58" t="s">
        <v>33</v>
      </c>
      <c r="D167" s="58">
        <v>653</v>
      </c>
      <c r="E167" s="58">
        <v>170</v>
      </c>
      <c r="F167" s="58">
        <v>35.196687370600415</v>
      </c>
      <c r="G167" s="58">
        <v>930</v>
      </c>
      <c r="H167" s="58">
        <v>105.44</v>
      </c>
      <c r="I167" s="58">
        <v>0.15</v>
      </c>
      <c r="J167" s="58">
        <v>-0.4</v>
      </c>
      <c r="K167" s="58">
        <v>-72.727272727272734</v>
      </c>
      <c r="L167" s="58">
        <v>26700</v>
      </c>
      <c r="M167" s="58">
        <v>71550</v>
      </c>
      <c r="N167" s="58">
        <v>15139.55</v>
      </c>
      <c r="O167" s="58">
        <v>12700</v>
      </c>
      <c r="P167" s="58" t="s">
        <v>33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10275</v>
      </c>
      <c r="Z167" s="58">
        <v>10275</v>
      </c>
      <c r="AA167" s="58">
        <v>15139.55</v>
      </c>
      <c r="AD167" s="18" t="str">
        <f t="array" ref="AD167">IFERROR(INDEX($A$1:$A$2000, MATCH(0, IF($AD$1*1=$C$1:$C$2018*1,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233</v>
      </c>
      <c r="B168" s="58">
        <v>12700</v>
      </c>
      <c r="C168" s="58" t="s">
        <v>29</v>
      </c>
      <c r="D168" s="58">
        <v>2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75</v>
      </c>
      <c r="N168" s="58">
        <v>15143.3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IF($AD$1*1=$C$1:$C$2018*1,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234</v>
      </c>
      <c r="B169" s="58">
        <v>12700</v>
      </c>
      <c r="C169" s="58" t="s">
        <v>34</v>
      </c>
      <c r="D169" s="58">
        <v>0</v>
      </c>
      <c r="E169" s="58">
        <v>0</v>
      </c>
      <c r="F169" s="58">
        <v>0</v>
      </c>
      <c r="G169" s="58">
        <v>0</v>
      </c>
      <c r="H169" s="58">
        <v>0</v>
      </c>
      <c r="I169" s="58">
        <v>0</v>
      </c>
      <c r="J169" s="58">
        <v>0</v>
      </c>
      <c r="K169" s="58">
        <v>0</v>
      </c>
      <c r="L169" s="58">
        <v>29850</v>
      </c>
      <c r="M169" s="58">
        <v>0</v>
      </c>
      <c r="N169" s="58">
        <v>15143.3</v>
      </c>
      <c r="O169" s="58">
        <v>12700</v>
      </c>
      <c r="P169" s="58" t="s">
        <v>34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9750</v>
      </c>
      <c r="Z169" s="58">
        <v>9750</v>
      </c>
      <c r="AA169" s="58">
        <v>15139.55</v>
      </c>
      <c r="AD169" s="18" t="str">
        <f t="array" ref="AD169">IFERROR(INDEX($A$1:$A$2000, MATCH(0, IF($AD$1*1=$C$1:$C$2018*1,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235</v>
      </c>
      <c r="B170" s="58">
        <v>12700</v>
      </c>
      <c r="C170" s="58" t="s">
        <v>26</v>
      </c>
      <c r="D170" s="58">
        <v>605</v>
      </c>
      <c r="E170" s="58">
        <v>-2</v>
      </c>
      <c r="F170" s="58">
        <v>-0.32948929159802304</v>
      </c>
      <c r="G170" s="58">
        <v>14</v>
      </c>
      <c r="H170" s="58">
        <v>42.89</v>
      </c>
      <c r="I170" s="58">
        <v>8.5500000000000007</v>
      </c>
      <c r="J170" s="58">
        <v>-1.75</v>
      </c>
      <c r="K170" s="58">
        <v>-16.990291262135919</v>
      </c>
      <c r="L170" s="58">
        <v>3525</v>
      </c>
      <c r="M170" s="58">
        <v>4125</v>
      </c>
      <c r="N170" s="58">
        <v>15143.3</v>
      </c>
      <c r="O170" s="58">
        <v>12700</v>
      </c>
      <c r="P170" s="58" t="s">
        <v>26</v>
      </c>
      <c r="Q170" s="58">
        <v>87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20175</v>
      </c>
      <c r="Z170" s="58">
        <v>20175</v>
      </c>
      <c r="AA170" s="58">
        <v>15139.55</v>
      </c>
      <c r="AD170" s="18" t="str">
        <f t="array" ref="AD170">IFERROR(INDEX($A$1:$A$2000, MATCH(0, IF($AD$1*1=$C$1:$C$2018*1,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236</v>
      </c>
      <c r="B171" s="58">
        <v>12700</v>
      </c>
      <c r="C171" s="58" t="s">
        <v>27</v>
      </c>
      <c r="D171" s="58">
        <v>393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750</v>
      </c>
      <c r="M171" s="58">
        <v>75</v>
      </c>
      <c r="N171" s="58">
        <v>15139.55</v>
      </c>
      <c r="O171" s="58">
        <v>0</v>
      </c>
      <c r="P171" s="58">
        <v>0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0</v>
      </c>
      <c r="Z171" s="58">
        <v>0</v>
      </c>
      <c r="AA171" s="58">
        <v>0</v>
      </c>
      <c r="AD171" s="18" t="str">
        <f t="array" ref="AD171">IFERROR(INDEX($A$1:$A$2000, MATCH(0, IF($AD$1*1=$C$1:$C$2018*1,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237</v>
      </c>
      <c r="B172" s="58">
        <v>12750</v>
      </c>
      <c r="C172" s="58" t="s">
        <v>26</v>
      </c>
      <c r="D172" s="58">
        <v>73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17175</v>
      </c>
      <c r="M172" s="58">
        <v>0</v>
      </c>
      <c r="N172" s="58">
        <v>15139.55</v>
      </c>
      <c r="O172" s="58">
        <v>12750</v>
      </c>
      <c r="P172" s="58" t="s">
        <v>26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15000</v>
      </c>
      <c r="Z172" s="58">
        <v>11325</v>
      </c>
      <c r="AA172" s="58">
        <v>15143.3</v>
      </c>
      <c r="AD172" s="18" t="str">
        <f t="array" ref="AD172">IFERROR(INDEX($A$1:$A$2000, MATCH(0, IF($AD$1*1=$C$1:$C$2018*1,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238</v>
      </c>
      <c r="B173" s="58">
        <v>12750</v>
      </c>
      <c r="C173" s="58" t="s">
        <v>2068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13950</v>
      </c>
      <c r="M173" s="58">
        <v>5025</v>
      </c>
      <c r="N173" s="58">
        <v>15139.55</v>
      </c>
      <c r="O173" s="58">
        <v>12750</v>
      </c>
      <c r="P173" s="58" t="s">
        <v>2068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9000</v>
      </c>
      <c r="Z173" s="58">
        <v>8250</v>
      </c>
      <c r="AA173" s="58">
        <v>15139.55</v>
      </c>
      <c r="AD173" s="18" t="str">
        <f t="array" ref="AD173">IFERROR(INDEX($A$1:$A$2000, MATCH(0, IF($AD$1*1=$C$1:$C$2018*1,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239</v>
      </c>
      <c r="B174" s="58">
        <v>12750</v>
      </c>
      <c r="C174" s="58" t="s">
        <v>33</v>
      </c>
      <c r="D174" s="58">
        <v>10</v>
      </c>
      <c r="E174" s="58">
        <v>1</v>
      </c>
      <c r="F174" s="58">
        <v>11.111111111111111</v>
      </c>
      <c r="G174" s="58">
        <v>1630</v>
      </c>
      <c r="H174" s="58">
        <v>100.1</v>
      </c>
      <c r="I174" s="58">
        <v>0.1</v>
      </c>
      <c r="J174" s="58">
        <v>-0.55000000000000004</v>
      </c>
      <c r="K174" s="58">
        <v>-84.615384615384613</v>
      </c>
      <c r="L174" s="58">
        <v>2625</v>
      </c>
      <c r="M174" s="58">
        <v>42225</v>
      </c>
      <c r="N174" s="58">
        <v>15139.55</v>
      </c>
      <c r="O174" s="58">
        <v>12750</v>
      </c>
      <c r="P174" s="58" t="s">
        <v>33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9750</v>
      </c>
      <c r="Z174" s="58">
        <v>9750</v>
      </c>
      <c r="AA174" s="58">
        <v>15139.55</v>
      </c>
      <c r="AD174" s="18" t="str">
        <f t="array" ref="AD174">IFERROR(INDEX($A$1:$A$2000, MATCH(0, IF($AD$1*1=$C$1:$C$2018*1,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240</v>
      </c>
      <c r="B175" s="58">
        <v>12750</v>
      </c>
      <c r="C175" s="58" t="s">
        <v>34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14850</v>
      </c>
      <c r="M175" s="58">
        <v>0</v>
      </c>
      <c r="N175" s="58">
        <v>15139.55</v>
      </c>
      <c r="O175" s="58">
        <v>12750</v>
      </c>
      <c r="P175" s="58" t="s">
        <v>34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9750</v>
      </c>
      <c r="Z175" s="58">
        <v>9750</v>
      </c>
      <c r="AA175" s="58">
        <v>15143.3</v>
      </c>
      <c r="AD175" s="18" t="str">
        <f t="array" ref="AD175">IFERROR(INDEX($A$1:$A$2000, MATCH(0, IF($AD$1*1=$C$1:$C$2018*1,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241</v>
      </c>
      <c r="B176" s="58">
        <v>12750</v>
      </c>
      <c r="C176" s="58" t="s">
        <v>64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9375</v>
      </c>
      <c r="M176" s="58">
        <v>0</v>
      </c>
      <c r="N176" s="58">
        <v>15139.55</v>
      </c>
      <c r="O176" s="58">
        <v>12750</v>
      </c>
      <c r="P176" s="58" t="s">
        <v>64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4875</v>
      </c>
      <c r="Z176" s="58">
        <v>4875</v>
      </c>
      <c r="AA176" s="58">
        <v>15139.55</v>
      </c>
      <c r="AD176" s="18" t="str">
        <f t="array" ref="AD176">IFERROR(INDEX($A$1:$A$2000, MATCH(0, IF($AD$1*1=$C$1:$C$2018*1,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242</v>
      </c>
      <c r="B177" s="58">
        <v>12800</v>
      </c>
      <c r="C177" s="58" t="s">
        <v>64</v>
      </c>
      <c r="D177" s="58">
        <v>10</v>
      </c>
      <c r="E177" s="58">
        <v>0</v>
      </c>
      <c r="F177" s="58">
        <v>0</v>
      </c>
      <c r="G177" s="58">
        <v>0</v>
      </c>
      <c r="H177" s="58">
        <v>0</v>
      </c>
      <c r="I177" s="58">
        <v>0</v>
      </c>
      <c r="J177" s="58">
        <v>0</v>
      </c>
      <c r="K177" s="58">
        <v>0</v>
      </c>
      <c r="L177" s="58">
        <v>12000</v>
      </c>
      <c r="M177" s="58">
        <v>150</v>
      </c>
      <c r="N177" s="58">
        <v>15143.3</v>
      </c>
      <c r="O177" s="58">
        <v>12800</v>
      </c>
      <c r="P177" s="58" t="s">
        <v>64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4875</v>
      </c>
      <c r="Z177" s="58">
        <v>4875</v>
      </c>
      <c r="AA177" s="58">
        <v>15139.55</v>
      </c>
      <c r="AD177" s="18" t="str">
        <f t="array" ref="AD177">IFERROR(INDEX($A$1:$A$2000, MATCH(0, IF($AD$1*1=$C$1:$C$2018*1,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243</v>
      </c>
      <c r="B178" s="58">
        <v>12800</v>
      </c>
      <c r="C178" s="58" t="s">
        <v>26</v>
      </c>
      <c r="D178" s="58">
        <v>2121</v>
      </c>
      <c r="E178" s="58">
        <v>-10</v>
      </c>
      <c r="F178" s="58">
        <v>-0.46926325668700142</v>
      </c>
      <c r="G178" s="58">
        <v>30</v>
      </c>
      <c r="H178" s="58">
        <v>41.59</v>
      </c>
      <c r="I178" s="58">
        <v>9</v>
      </c>
      <c r="J178" s="58">
        <v>-1.6500000000000004</v>
      </c>
      <c r="K178" s="58">
        <v>-15.492957746478876</v>
      </c>
      <c r="L178" s="58">
        <v>1425</v>
      </c>
      <c r="M178" s="58">
        <v>3450</v>
      </c>
      <c r="N178" s="58">
        <v>15139.55</v>
      </c>
      <c r="O178" s="58">
        <v>12800</v>
      </c>
      <c r="P178" s="58" t="s">
        <v>26</v>
      </c>
      <c r="Q178" s="58">
        <v>138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20250</v>
      </c>
      <c r="Z178" s="58">
        <v>20025</v>
      </c>
      <c r="AA178" s="58">
        <v>15139.55</v>
      </c>
      <c r="AD178" s="18" t="str">
        <f t="array" ref="AD178">IFERROR(INDEX($A$1:$A$2000, MATCH(0, IF($AD$1*1=$C$1:$C$2018*1,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244</v>
      </c>
      <c r="B179" s="58">
        <v>12800</v>
      </c>
      <c r="C179" s="58" t="s">
        <v>2068</v>
      </c>
      <c r="D179" s="58">
        <v>53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7425</v>
      </c>
      <c r="M179" s="58">
        <v>7350</v>
      </c>
      <c r="N179" s="58">
        <v>15139.55</v>
      </c>
      <c r="O179" s="58">
        <v>12800</v>
      </c>
      <c r="P179" s="58" t="s">
        <v>2068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13350</v>
      </c>
      <c r="Z179" s="58">
        <v>13350</v>
      </c>
      <c r="AA179" s="58">
        <v>15143.3</v>
      </c>
      <c r="AD179" s="18" t="str">
        <f t="array" ref="AD179">IFERROR(INDEX($A$1:$A$2000, MATCH(0, IF($AD$1*1=$C$1:$C$2018*1,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245</v>
      </c>
      <c r="B180" s="58">
        <v>12800</v>
      </c>
      <c r="C180" s="58" t="s">
        <v>33</v>
      </c>
      <c r="D180" s="58">
        <v>911</v>
      </c>
      <c r="E180" s="58">
        <v>173</v>
      </c>
      <c r="F180" s="58">
        <v>23.441734417344172</v>
      </c>
      <c r="G180" s="58">
        <v>642</v>
      </c>
      <c r="H180" s="58">
        <v>101.07</v>
      </c>
      <c r="I180" s="58">
        <v>0.2</v>
      </c>
      <c r="J180" s="58">
        <v>-0.35000000000000003</v>
      </c>
      <c r="K180" s="58">
        <v>-63.636363636363633</v>
      </c>
      <c r="L180" s="58">
        <v>31200</v>
      </c>
      <c r="M180" s="58">
        <v>50550</v>
      </c>
      <c r="N180" s="58">
        <v>15139.55</v>
      </c>
      <c r="O180" s="58">
        <v>12800</v>
      </c>
      <c r="P180" s="58" t="s">
        <v>33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10275</v>
      </c>
      <c r="Z180" s="58">
        <v>10275</v>
      </c>
      <c r="AA180" s="58">
        <v>15139.55</v>
      </c>
      <c r="AD180" s="18" t="str">
        <f t="array" ref="AD180">IFERROR(INDEX($A$1:$A$2000, MATCH(0, IF($AD$1*1=$C$1:$C$2018*1,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246</v>
      </c>
      <c r="B181" s="58">
        <v>12800</v>
      </c>
      <c r="C181" s="58" t="s">
        <v>34</v>
      </c>
      <c r="D181" s="58">
        <v>0</v>
      </c>
      <c r="E181" s="58">
        <v>0</v>
      </c>
      <c r="F181" s="58">
        <v>0</v>
      </c>
      <c r="G181" s="58">
        <v>0</v>
      </c>
      <c r="H181" s="58">
        <v>0</v>
      </c>
      <c r="I181" s="58">
        <v>0</v>
      </c>
      <c r="J181" s="58">
        <v>0</v>
      </c>
      <c r="K181" s="58">
        <v>0</v>
      </c>
      <c r="L181" s="58">
        <v>34650</v>
      </c>
      <c r="M181" s="58">
        <v>600</v>
      </c>
      <c r="N181" s="58">
        <v>15139.55</v>
      </c>
      <c r="O181" s="58">
        <v>12800</v>
      </c>
      <c r="P181" s="58" t="s">
        <v>34</v>
      </c>
      <c r="Q181" s="58">
        <v>0</v>
      </c>
      <c r="R181" s="58">
        <v>0</v>
      </c>
      <c r="S181" s="58">
        <v>0</v>
      </c>
      <c r="T181" s="58">
        <v>0</v>
      </c>
      <c r="U181" s="58">
        <v>0</v>
      </c>
      <c r="V181" s="58">
        <v>0</v>
      </c>
      <c r="W181" s="58">
        <v>0</v>
      </c>
      <c r="X181" s="58">
        <v>0</v>
      </c>
      <c r="Y181" s="58">
        <v>9750</v>
      </c>
      <c r="Z181" s="58">
        <v>9750</v>
      </c>
      <c r="AA181" s="58">
        <v>15139.55</v>
      </c>
      <c r="AD181" s="18" t="str">
        <f t="array" ref="AD181">IFERROR(INDEX($A$1:$A$2000, MATCH(0, IF($AD$1*1=$C$1:$C$2018*1,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247</v>
      </c>
      <c r="B182" s="58">
        <v>12850</v>
      </c>
      <c r="C182" s="58" t="s">
        <v>64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9675</v>
      </c>
      <c r="M182" s="58">
        <v>0</v>
      </c>
      <c r="N182" s="58">
        <v>15143.3</v>
      </c>
      <c r="O182" s="58">
        <v>12850</v>
      </c>
      <c r="P182" s="58" t="s">
        <v>64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4875</v>
      </c>
      <c r="Z182" s="58">
        <v>4875</v>
      </c>
      <c r="AA182" s="58">
        <v>15139.55</v>
      </c>
      <c r="AD182" s="18" t="str">
        <f t="array" ref="AD182">IFERROR(INDEX($A$1:$A$2000, MATCH(0, IF($AD$1*1=$C$1:$C$2018*1,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248</v>
      </c>
      <c r="B183" s="58">
        <v>12850</v>
      </c>
      <c r="C183" s="58" t="s">
        <v>2068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6900</v>
      </c>
      <c r="M183" s="58">
        <v>9900</v>
      </c>
      <c r="N183" s="58">
        <v>15143.3</v>
      </c>
      <c r="O183" s="58">
        <v>12850</v>
      </c>
      <c r="P183" s="58" t="s">
        <v>2068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9075</v>
      </c>
      <c r="Z183" s="58">
        <v>8250</v>
      </c>
      <c r="AA183" s="58">
        <v>15139.55</v>
      </c>
      <c r="AD183" s="18" t="str">
        <f t="array" ref="AD183">IFERROR(INDEX($A$1:$A$2000, MATCH(0, IF($AD$1*1=$C$1:$C$2018*1,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249</v>
      </c>
      <c r="B184" s="58">
        <v>12850</v>
      </c>
      <c r="C184" s="58" t="s">
        <v>33</v>
      </c>
      <c r="D184" s="58">
        <v>0</v>
      </c>
      <c r="E184" s="58">
        <v>0</v>
      </c>
      <c r="F184" s="58">
        <v>0</v>
      </c>
      <c r="G184" s="58">
        <v>640</v>
      </c>
      <c r="H184" s="58">
        <v>95.85</v>
      </c>
      <c r="I184" s="58">
        <v>0.1</v>
      </c>
      <c r="J184" s="58">
        <v>-176.1</v>
      </c>
      <c r="K184" s="58">
        <v>-99.943246311010199</v>
      </c>
      <c r="L184" s="58">
        <v>7200</v>
      </c>
      <c r="M184" s="58">
        <v>35700</v>
      </c>
      <c r="N184" s="58">
        <v>15139.55</v>
      </c>
      <c r="O184" s="58">
        <v>12850</v>
      </c>
      <c r="P184" s="58" t="s">
        <v>33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9750</v>
      </c>
      <c r="Z184" s="58">
        <v>9750</v>
      </c>
      <c r="AA184" s="58">
        <v>15143.3</v>
      </c>
      <c r="AD184" s="18" t="str">
        <f t="array" ref="AD184">IFERROR(INDEX($A$1:$A$2000, MATCH(0, IF($AD$1*1=$C$1:$C$2018*1,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250</v>
      </c>
      <c r="B185" s="58">
        <v>12850</v>
      </c>
      <c r="C185" s="58" t="s">
        <v>34</v>
      </c>
      <c r="D185" s="58">
        <v>1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17550</v>
      </c>
      <c r="M185" s="58">
        <v>0</v>
      </c>
      <c r="N185" s="58">
        <v>15143.3</v>
      </c>
      <c r="O185" s="58">
        <v>12850</v>
      </c>
      <c r="P185" s="58" t="s">
        <v>34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9750</v>
      </c>
      <c r="Z185" s="58">
        <v>9750</v>
      </c>
      <c r="AA185" s="58">
        <v>15139.55</v>
      </c>
      <c r="AD185" s="18" t="str">
        <f t="array" ref="AD185">IFERROR(INDEX($A$1:$A$2000, MATCH(0, IF($AD$1*1=$C$1:$C$2018*1,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251</v>
      </c>
      <c r="B186" s="58">
        <v>12850</v>
      </c>
      <c r="C186" s="58" t="s">
        <v>26</v>
      </c>
      <c r="D186" s="58">
        <v>58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15975</v>
      </c>
      <c r="M186" s="58">
        <v>0</v>
      </c>
      <c r="N186" s="58">
        <v>15143.3</v>
      </c>
      <c r="O186" s="58">
        <v>12850</v>
      </c>
      <c r="P186" s="58" t="s">
        <v>26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15000</v>
      </c>
      <c r="Z186" s="58">
        <v>11325</v>
      </c>
      <c r="AA186" s="58">
        <v>15139.55</v>
      </c>
      <c r="AD186" s="18" t="str">
        <f t="array" ref="AD186">IFERROR(INDEX($A$1:$A$2000, MATCH(0, IF($AD$1*1=$C$1:$C$2018*1,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252</v>
      </c>
      <c r="B187" s="58">
        <v>12900</v>
      </c>
      <c r="C187" s="58" t="s">
        <v>64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12000</v>
      </c>
      <c r="M187" s="58">
        <v>150</v>
      </c>
      <c r="N187" s="58">
        <v>15139.55</v>
      </c>
      <c r="O187" s="58">
        <v>12900</v>
      </c>
      <c r="P187" s="58" t="s">
        <v>64</v>
      </c>
      <c r="Q187" s="58">
        <v>0</v>
      </c>
      <c r="R187" s="58">
        <v>0</v>
      </c>
      <c r="S187" s="58">
        <v>0</v>
      </c>
      <c r="T187" s="58">
        <v>0</v>
      </c>
      <c r="U187" s="58">
        <v>0</v>
      </c>
      <c r="V187" s="58">
        <v>0</v>
      </c>
      <c r="W187" s="58">
        <v>0</v>
      </c>
      <c r="X187" s="58">
        <v>0</v>
      </c>
      <c r="Y187" s="58">
        <v>4875</v>
      </c>
      <c r="Z187" s="58">
        <v>4875</v>
      </c>
      <c r="AA187" s="58">
        <v>15139.55</v>
      </c>
      <c r="AD187" s="18" t="str">
        <f t="array" ref="AD187">IFERROR(INDEX($A$1:$A$2000, MATCH(0, IF($AD$1*1=$C$1:$C$2018*1,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253</v>
      </c>
      <c r="B188" s="58">
        <v>12900</v>
      </c>
      <c r="C188" s="58" t="s">
        <v>2068</v>
      </c>
      <c r="D188" s="58">
        <v>47</v>
      </c>
      <c r="E188" s="58">
        <v>-5</v>
      </c>
      <c r="F188" s="58">
        <v>-9.6153846153846168</v>
      </c>
      <c r="G188" s="58">
        <v>24</v>
      </c>
      <c r="H188" s="58">
        <v>27.87</v>
      </c>
      <c r="I188" s="58">
        <v>27.3</v>
      </c>
      <c r="J188" s="58">
        <v>-3.1499999999999986</v>
      </c>
      <c r="K188" s="58">
        <v>-10.344827586206891</v>
      </c>
      <c r="L188" s="58">
        <v>29025</v>
      </c>
      <c r="M188" s="58">
        <v>2400</v>
      </c>
      <c r="N188" s="58">
        <v>15143.3</v>
      </c>
      <c r="O188" s="58">
        <v>12900</v>
      </c>
      <c r="P188" s="58" t="s">
        <v>2068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9150</v>
      </c>
      <c r="Z188" s="58">
        <v>8400</v>
      </c>
      <c r="AA188" s="58">
        <v>15139.55</v>
      </c>
      <c r="AD188" s="18" t="str">
        <f t="array" ref="AD188">IFERROR(INDEX($A$1:$A$2000, MATCH(0, IF($AD$1*1=$C$1:$C$2018*1,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254</v>
      </c>
      <c r="B189" s="58">
        <v>12900</v>
      </c>
      <c r="C189" s="58" t="s">
        <v>26</v>
      </c>
      <c r="D189" s="58">
        <v>1183</v>
      </c>
      <c r="E189" s="58">
        <v>12</v>
      </c>
      <c r="F189" s="58">
        <v>1.0247651579846284</v>
      </c>
      <c r="G189" s="58">
        <v>58</v>
      </c>
      <c r="H189" s="58">
        <v>40.24</v>
      </c>
      <c r="I189" s="58">
        <v>9.4</v>
      </c>
      <c r="J189" s="58">
        <v>-1.6999999999999993</v>
      </c>
      <c r="K189" s="58">
        <v>-15.315315315315308</v>
      </c>
      <c r="L189" s="58">
        <v>7500</v>
      </c>
      <c r="M189" s="58">
        <v>3375</v>
      </c>
      <c r="N189" s="58">
        <v>15139.55</v>
      </c>
      <c r="O189" s="58">
        <v>12900</v>
      </c>
      <c r="P189" s="58" t="s">
        <v>26</v>
      </c>
      <c r="Q189" s="58">
        <v>93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19950</v>
      </c>
      <c r="Z189" s="58">
        <v>19950</v>
      </c>
      <c r="AA189" s="58">
        <v>15139.55</v>
      </c>
      <c r="AD189" s="18" t="str">
        <f t="array" ref="AD189">IFERROR(INDEX($A$1:$A$2000, MATCH(0, IF($AD$1*1=$C$1:$C$2018*1,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255</v>
      </c>
      <c r="B190" s="58">
        <v>12900</v>
      </c>
      <c r="C190" s="58" t="s">
        <v>34</v>
      </c>
      <c r="D190" s="58">
        <v>1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54825</v>
      </c>
      <c r="M190" s="58">
        <v>0</v>
      </c>
      <c r="N190" s="58">
        <v>15143.3</v>
      </c>
      <c r="O190" s="58">
        <v>12900</v>
      </c>
      <c r="P190" s="58" t="s">
        <v>34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9750</v>
      </c>
      <c r="Z190" s="58">
        <v>9750</v>
      </c>
      <c r="AA190" s="58">
        <v>15143.3</v>
      </c>
      <c r="AD190" s="18" t="str">
        <f t="array" ref="AD190">IFERROR(INDEX($A$1:$A$2000, MATCH(0, IF($AD$1*1=$C$1:$C$2018*1,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256</v>
      </c>
      <c r="B191" s="58">
        <v>12900</v>
      </c>
      <c r="C191" s="58" t="s">
        <v>33</v>
      </c>
      <c r="D191" s="58">
        <v>455</v>
      </c>
      <c r="E191" s="58">
        <v>130</v>
      </c>
      <c r="F191" s="58">
        <v>40</v>
      </c>
      <c r="G191" s="58">
        <v>1238</v>
      </c>
      <c r="H191" s="58">
        <v>93.74</v>
      </c>
      <c r="I191" s="58">
        <v>0.2</v>
      </c>
      <c r="J191" s="58">
        <v>-0.4</v>
      </c>
      <c r="K191" s="58">
        <v>-66.666666666666657</v>
      </c>
      <c r="L191" s="58">
        <v>22050</v>
      </c>
      <c r="M191" s="58">
        <v>51525</v>
      </c>
      <c r="N191" s="58">
        <v>15139.55</v>
      </c>
      <c r="O191" s="58">
        <v>12900</v>
      </c>
      <c r="P191" s="58" t="s">
        <v>33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10275</v>
      </c>
      <c r="Z191" s="58">
        <v>10275</v>
      </c>
      <c r="AA191" s="58">
        <v>15139.55</v>
      </c>
      <c r="AD191" s="18" t="str">
        <f t="array" ref="AD191">IFERROR(INDEX($A$1:$A$2000, MATCH(0, IF($AD$1*1=$C$1:$C$2018*1,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257</v>
      </c>
      <c r="B192" s="58">
        <v>12950</v>
      </c>
      <c r="C192" s="58" t="s">
        <v>26</v>
      </c>
      <c r="D192" s="58">
        <v>94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50325</v>
      </c>
      <c r="M192" s="58">
        <v>0</v>
      </c>
      <c r="N192" s="58">
        <v>15139.55</v>
      </c>
      <c r="O192" s="58">
        <v>12950</v>
      </c>
      <c r="P192" s="58" t="s">
        <v>26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15900</v>
      </c>
      <c r="Z192" s="58">
        <v>11325</v>
      </c>
      <c r="AA192" s="58">
        <v>15143.3</v>
      </c>
      <c r="AD192" s="18" t="str">
        <f t="array" ref="AD192">IFERROR(INDEX($A$1:$A$2000, MATCH(0, IF($AD$1*1=$C$1:$C$2018*1,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258</v>
      </c>
      <c r="B193" s="58">
        <v>12950</v>
      </c>
      <c r="C193" s="58" t="s">
        <v>33</v>
      </c>
      <c r="D193" s="58">
        <v>0</v>
      </c>
      <c r="E193" s="58">
        <v>0</v>
      </c>
      <c r="F193" s="58">
        <v>0</v>
      </c>
      <c r="G193" s="58">
        <v>3</v>
      </c>
      <c r="H193" s="58">
        <v>87.14</v>
      </c>
      <c r="I193" s="58">
        <v>0.05</v>
      </c>
      <c r="J193" s="58">
        <v>-198.4</v>
      </c>
      <c r="K193" s="58">
        <v>-99.974804736709487</v>
      </c>
      <c r="L193" s="58">
        <v>2175</v>
      </c>
      <c r="M193" s="58">
        <v>43350</v>
      </c>
      <c r="N193" s="58">
        <v>15139.55</v>
      </c>
      <c r="O193" s="58">
        <v>12950</v>
      </c>
      <c r="P193" s="58" t="s">
        <v>33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9750</v>
      </c>
      <c r="Z193" s="58">
        <v>9750</v>
      </c>
      <c r="AA193" s="58">
        <v>15139.55</v>
      </c>
      <c r="AD193" s="18" t="str">
        <f t="array" ref="AD193">IFERROR(INDEX($A$1:$A$2000, MATCH(0, IF($AD$1*1=$C$1:$C$2018*1,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259</v>
      </c>
      <c r="B194" s="58">
        <v>12950</v>
      </c>
      <c r="C194" s="58" t="s">
        <v>2068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10500</v>
      </c>
      <c r="M194" s="58">
        <v>9900</v>
      </c>
      <c r="N194" s="58">
        <v>15139.55</v>
      </c>
      <c r="O194" s="58">
        <v>12950</v>
      </c>
      <c r="P194" s="58" t="s">
        <v>2068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9075</v>
      </c>
      <c r="Z194" s="58">
        <v>8250</v>
      </c>
      <c r="AA194" s="58">
        <v>15139.55</v>
      </c>
      <c r="AD194" s="18" t="str">
        <f t="array" ref="AD194">IFERROR(INDEX($A$1:$A$2000, MATCH(0, IF($AD$1*1=$C$1:$C$2018*1,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260</v>
      </c>
      <c r="B195" s="58">
        <v>12950</v>
      </c>
      <c r="C195" s="58" t="s">
        <v>34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24225</v>
      </c>
      <c r="M195" s="58">
        <v>0</v>
      </c>
      <c r="N195" s="58">
        <v>15139.55</v>
      </c>
      <c r="O195" s="58">
        <v>12950</v>
      </c>
      <c r="P195" s="58" t="s">
        <v>34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9750</v>
      </c>
      <c r="Z195" s="58">
        <v>9750</v>
      </c>
      <c r="AA195" s="58">
        <v>15143.3</v>
      </c>
      <c r="AD195" s="18" t="str">
        <f t="array" ref="AD195">IFERROR(INDEX($A$1:$A$2000, MATCH(0, IF($AD$1*1=$C$1:$C$2018*1,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261</v>
      </c>
      <c r="B196" s="58">
        <v>12950</v>
      </c>
      <c r="C196" s="58" t="s">
        <v>64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10275</v>
      </c>
      <c r="M196" s="58">
        <v>0</v>
      </c>
      <c r="N196" s="58">
        <v>15143.3</v>
      </c>
      <c r="O196" s="58">
        <v>12950</v>
      </c>
      <c r="P196" s="58" t="s">
        <v>64</v>
      </c>
      <c r="Q196" s="58">
        <v>0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4875</v>
      </c>
      <c r="Z196" s="58">
        <v>4875</v>
      </c>
      <c r="AA196" s="58">
        <v>15139.55</v>
      </c>
      <c r="AD196" s="18" t="str">
        <f t="array" ref="AD196">IFERROR(INDEX($A$1:$A$2000, MATCH(0, IF($AD$1*1=$C$1:$C$2018*1,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262</v>
      </c>
      <c r="B197" s="58">
        <v>13000</v>
      </c>
      <c r="C197" s="58" t="s">
        <v>34</v>
      </c>
      <c r="D197" s="58">
        <v>1934</v>
      </c>
      <c r="E197" s="58">
        <v>196</v>
      </c>
      <c r="F197" s="58">
        <v>11.277330264672036</v>
      </c>
      <c r="G197" s="58">
        <v>1366</v>
      </c>
      <c r="H197" s="58">
        <v>42.52</v>
      </c>
      <c r="I197" s="58">
        <v>2.0499999999999998</v>
      </c>
      <c r="J197" s="58">
        <v>-0.90000000000000036</v>
      </c>
      <c r="K197" s="58">
        <v>-30.50847457627119</v>
      </c>
      <c r="L197" s="58">
        <v>113700</v>
      </c>
      <c r="M197" s="58">
        <v>41175</v>
      </c>
      <c r="N197" s="58">
        <v>15139.55</v>
      </c>
      <c r="O197" s="58">
        <v>13000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10575</v>
      </c>
      <c r="Z197" s="58">
        <v>10575</v>
      </c>
      <c r="AA197" s="58">
        <v>15143.3</v>
      </c>
      <c r="AD197" s="18" t="str">
        <f t="array" ref="AD197">IFERROR(INDEX($A$1:$A$2000, MATCH(0, IF($AD$1*1=$C$1:$C$2018*1,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263</v>
      </c>
      <c r="B198" s="58">
        <v>13000</v>
      </c>
      <c r="C198" s="58" t="s">
        <v>64</v>
      </c>
      <c r="D198" s="58">
        <v>30</v>
      </c>
      <c r="E198" s="58">
        <v>11</v>
      </c>
      <c r="F198" s="58">
        <v>57.89473684210526</v>
      </c>
      <c r="G198" s="58">
        <v>18</v>
      </c>
      <c r="H198" s="58">
        <v>34.89</v>
      </c>
      <c r="I198" s="58">
        <v>15.2</v>
      </c>
      <c r="J198" s="58">
        <v>-3</v>
      </c>
      <c r="K198" s="58">
        <v>-16.483516483516482</v>
      </c>
      <c r="L198" s="58">
        <v>21975</v>
      </c>
      <c r="M198" s="58">
        <v>11700</v>
      </c>
      <c r="N198" s="58">
        <v>15139.55</v>
      </c>
      <c r="O198" s="58">
        <v>13000</v>
      </c>
      <c r="P198" s="58" t="s">
        <v>64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4875</v>
      </c>
      <c r="Z198" s="58">
        <v>4875</v>
      </c>
      <c r="AA198" s="58">
        <v>15139.55</v>
      </c>
      <c r="AD198" s="18" t="str">
        <f t="array" ref="AD198">IFERROR(INDEX($A$1:$A$2000, MATCH(0, IF($AD$1*1=$C$1:$C$2018*1,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264</v>
      </c>
      <c r="B199" s="58">
        <v>13000</v>
      </c>
      <c r="C199" s="58" t="s">
        <v>2068</v>
      </c>
      <c r="D199" s="58">
        <v>8518</v>
      </c>
      <c r="E199" s="58">
        <v>67</v>
      </c>
      <c r="F199" s="58">
        <v>0.79280558513785349</v>
      </c>
      <c r="G199" s="58">
        <v>1632</v>
      </c>
      <c r="H199" s="58">
        <v>27.35</v>
      </c>
      <c r="I199" s="58">
        <v>29.9</v>
      </c>
      <c r="J199" s="58">
        <v>-3.1000000000000014</v>
      </c>
      <c r="K199" s="58">
        <v>-9.393939393939398</v>
      </c>
      <c r="L199" s="58">
        <v>67200</v>
      </c>
      <c r="M199" s="58">
        <v>19500</v>
      </c>
      <c r="N199" s="58">
        <v>15139.55</v>
      </c>
      <c r="O199" s="58">
        <v>13000</v>
      </c>
      <c r="P199" s="58" t="s">
        <v>2068</v>
      </c>
      <c r="Q199" s="58">
        <v>1715</v>
      </c>
      <c r="R199" s="58">
        <v>85</v>
      </c>
      <c r="S199" s="58">
        <v>5.2147239263803682</v>
      </c>
      <c r="T199" s="58">
        <v>96</v>
      </c>
      <c r="U199" s="58">
        <v>0</v>
      </c>
      <c r="V199" s="58">
        <v>2258.4499999999998</v>
      </c>
      <c r="W199" s="58">
        <v>51.849999999999909</v>
      </c>
      <c r="X199" s="58">
        <v>2.3497688751925998</v>
      </c>
      <c r="Y199" s="58">
        <v>11325</v>
      </c>
      <c r="Z199" s="58">
        <v>13200</v>
      </c>
      <c r="AA199" s="58">
        <v>15139.55</v>
      </c>
      <c r="AD199" s="18" t="str">
        <f t="array" ref="AD199">IFERROR(INDEX($A$1:$A$2000, MATCH(0, IF($AD$1*1=$C$1:$C$2018*1,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265</v>
      </c>
      <c r="B200" s="58">
        <v>13000</v>
      </c>
      <c r="C200" s="58" t="s">
        <v>27</v>
      </c>
      <c r="D200" s="58">
        <v>1857</v>
      </c>
      <c r="E200" s="58">
        <v>5</v>
      </c>
      <c r="F200" s="58">
        <v>0.26997840172786175</v>
      </c>
      <c r="G200" s="58">
        <v>42</v>
      </c>
      <c r="H200" s="58">
        <v>27.81</v>
      </c>
      <c r="I200" s="58">
        <v>113.9</v>
      </c>
      <c r="J200" s="58">
        <v>-8.5</v>
      </c>
      <c r="K200" s="58">
        <v>-6.9444444444444446</v>
      </c>
      <c r="L200" s="58">
        <v>22950</v>
      </c>
      <c r="M200" s="58">
        <v>16800</v>
      </c>
      <c r="N200" s="58">
        <v>15143.3</v>
      </c>
      <c r="O200" s="58">
        <v>13000</v>
      </c>
      <c r="P200" s="58" t="s">
        <v>27</v>
      </c>
      <c r="Q200" s="58">
        <v>402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3150</v>
      </c>
      <c r="Z200" s="58">
        <v>75</v>
      </c>
      <c r="AA200" s="58">
        <v>15143.3</v>
      </c>
      <c r="AD200" s="18" t="str">
        <f t="array" ref="AD200">IFERROR(INDEX($A$1:$A$2000, MATCH(0, IF($AD$1*1=$C$1:$C$2018*1,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266</v>
      </c>
      <c r="B201" s="58">
        <v>13000</v>
      </c>
      <c r="C201" s="58" t="s">
        <v>31</v>
      </c>
      <c r="D201" s="58">
        <v>0</v>
      </c>
      <c r="E201" s="58">
        <v>0</v>
      </c>
      <c r="F201" s="58">
        <v>0</v>
      </c>
      <c r="G201" s="58">
        <v>0</v>
      </c>
      <c r="H201" s="58">
        <v>0</v>
      </c>
      <c r="I201" s="58">
        <v>0</v>
      </c>
      <c r="J201" s="58">
        <v>0</v>
      </c>
      <c r="K201" s="58">
        <v>0</v>
      </c>
      <c r="L201" s="58">
        <v>1500</v>
      </c>
      <c r="M201" s="58">
        <v>75</v>
      </c>
      <c r="N201" s="58">
        <v>15143.3</v>
      </c>
      <c r="O201" s="58">
        <v>13000</v>
      </c>
      <c r="P201" s="58" t="s">
        <v>31</v>
      </c>
      <c r="Q201" s="58">
        <v>0</v>
      </c>
      <c r="R201" s="58">
        <v>0</v>
      </c>
      <c r="S201" s="58">
        <v>0</v>
      </c>
      <c r="T201" s="58">
        <v>0</v>
      </c>
      <c r="U201" s="58">
        <v>0</v>
      </c>
      <c r="V201" s="58">
        <v>0</v>
      </c>
      <c r="W201" s="58">
        <v>0</v>
      </c>
      <c r="X201" s="58">
        <v>0</v>
      </c>
      <c r="Y201" s="58">
        <v>1500</v>
      </c>
      <c r="Z201" s="58">
        <v>0</v>
      </c>
      <c r="AA201" s="58">
        <v>15143.3</v>
      </c>
      <c r="AE201" s="57"/>
    </row>
    <row r="202" spans="1:39" x14ac:dyDescent="0.35">
      <c r="A202" s="56" t="s">
        <v>267</v>
      </c>
      <c r="B202" s="58">
        <v>13000</v>
      </c>
      <c r="C202" s="58" t="s">
        <v>29</v>
      </c>
      <c r="D202" s="58">
        <v>1670</v>
      </c>
      <c r="E202" s="58">
        <v>-1</v>
      </c>
      <c r="F202" s="58">
        <v>-5.9844404548174746E-2</v>
      </c>
      <c r="G202" s="58">
        <v>17</v>
      </c>
      <c r="H202" s="58">
        <v>27.63</v>
      </c>
      <c r="I202" s="58">
        <v>312</v>
      </c>
      <c r="J202" s="58">
        <v>-14.800000000000011</v>
      </c>
      <c r="K202" s="58">
        <v>-4.5287637698898449</v>
      </c>
      <c r="L202" s="58">
        <v>7875</v>
      </c>
      <c r="M202" s="58">
        <v>9525</v>
      </c>
      <c r="N202" s="58">
        <v>15143.3</v>
      </c>
      <c r="O202" s="58">
        <v>13000</v>
      </c>
      <c r="P202" s="58" t="s">
        <v>29</v>
      </c>
      <c r="Q202" s="58">
        <v>488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3300</v>
      </c>
      <c r="Z202" s="58">
        <v>4050</v>
      </c>
      <c r="AA202" s="58">
        <v>15143.3</v>
      </c>
      <c r="AE202" s="57"/>
    </row>
    <row r="203" spans="1:39" x14ac:dyDescent="0.35">
      <c r="A203" s="56" t="s">
        <v>268</v>
      </c>
      <c r="B203" s="58">
        <v>13000</v>
      </c>
      <c r="C203" s="58" t="s">
        <v>33</v>
      </c>
      <c r="D203" s="58">
        <v>11881</v>
      </c>
      <c r="E203" s="58">
        <v>-605</v>
      </c>
      <c r="F203" s="58">
        <v>-4.8454268781034759</v>
      </c>
      <c r="G203" s="58">
        <v>3187</v>
      </c>
      <c r="H203" s="58">
        <v>89.52</v>
      </c>
      <c r="I203" s="58">
        <v>0.15</v>
      </c>
      <c r="J203" s="58">
        <v>-0.35</v>
      </c>
      <c r="K203" s="58">
        <v>-70</v>
      </c>
      <c r="L203" s="58">
        <v>782100</v>
      </c>
      <c r="M203" s="58">
        <v>91275</v>
      </c>
      <c r="N203" s="58">
        <v>15139.55</v>
      </c>
      <c r="O203" s="58">
        <v>13000</v>
      </c>
      <c r="P203" s="58" t="s">
        <v>33</v>
      </c>
      <c r="Q203" s="58">
        <v>4</v>
      </c>
      <c r="R203" s="58">
        <v>0</v>
      </c>
      <c r="S203" s="58">
        <v>0</v>
      </c>
      <c r="T203" s="58">
        <v>0</v>
      </c>
      <c r="U203" s="58">
        <v>0</v>
      </c>
      <c r="V203" s="58">
        <v>0</v>
      </c>
      <c r="W203" s="58">
        <v>0</v>
      </c>
      <c r="X203" s="58">
        <v>0</v>
      </c>
      <c r="Y203" s="58">
        <v>11175</v>
      </c>
      <c r="Z203" s="58">
        <v>11100</v>
      </c>
      <c r="AA203" s="58">
        <v>15139.55</v>
      </c>
      <c r="AE203" s="57"/>
    </row>
    <row r="204" spans="1:39" x14ac:dyDescent="0.35">
      <c r="A204" s="56" t="s">
        <v>269</v>
      </c>
      <c r="B204" s="58">
        <v>13000</v>
      </c>
      <c r="C204" s="58" t="s">
        <v>26</v>
      </c>
      <c r="D204" s="58">
        <v>24439</v>
      </c>
      <c r="E204" s="58">
        <v>265</v>
      </c>
      <c r="F204" s="58">
        <v>1.096219078348639</v>
      </c>
      <c r="G204" s="58">
        <v>4005</v>
      </c>
      <c r="H204" s="58">
        <v>38.96</v>
      </c>
      <c r="I204" s="58">
        <v>10.050000000000001</v>
      </c>
      <c r="J204" s="58">
        <v>-1.5999999999999996</v>
      </c>
      <c r="K204" s="58">
        <v>-13.733905579399138</v>
      </c>
      <c r="L204" s="58">
        <v>50775</v>
      </c>
      <c r="M204" s="58">
        <v>46950</v>
      </c>
      <c r="N204" s="58">
        <v>15143.3</v>
      </c>
      <c r="O204" s="58">
        <v>13000</v>
      </c>
      <c r="P204" s="58" t="s">
        <v>26</v>
      </c>
      <c r="Q204" s="58">
        <v>6600</v>
      </c>
      <c r="R204" s="58">
        <v>-10</v>
      </c>
      <c r="S204" s="58">
        <v>-0.15128593040847202</v>
      </c>
      <c r="T204" s="58">
        <v>38</v>
      </c>
      <c r="U204" s="58">
        <v>0</v>
      </c>
      <c r="V204" s="58">
        <v>2183</v>
      </c>
      <c r="W204" s="58">
        <v>37.800000000000182</v>
      </c>
      <c r="X204" s="58">
        <v>1.7620734663434729</v>
      </c>
      <c r="Y204" s="58">
        <v>22950</v>
      </c>
      <c r="Z204" s="58">
        <v>21300</v>
      </c>
      <c r="AA204" s="58">
        <v>15139.55</v>
      </c>
      <c r="AE204" s="57"/>
    </row>
    <row r="205" spans="1:39" x14ac:dyDescent="0.35">
      <c r="A205" s="56" t="s">
        <v>270</v>
      </c>
      <c r="B205" s="58">
        <v>13050</v>
      </c>
      <c r="C205" s="58" t="s">
        <v>26</v>
      </c>
      <c r="D205" s="58">
        <v>25</v>
      </c>
      <c r="E205" s="58">
        <v>0</v>
      </c>
      <c r="F205" s="58">
        <v>0</v>
      </c>
      <c r="G205" s="58">
        <v>10</v>
      </c>
      <c r="H205" s="58">
        <v>37.86</v>
      </c>
      <c r="I205" s="58">
        <v>9.5</v>
      </c>
      <c r="J205" s="58">
        <v>-2</v>
      </c>
      <c r="K205" s="58">
        <v>-17.391304347826086</v>
      </c>
      <c r="L205" s="58">
        <v>13500</v>
      </c>
      <c r="M205" s="58">
        <v>3225</v>
      </c>
      <c r="N205" s="58">
        <v>15143.3</v>
      </c>
      <c r="O205" s="58">
        <v>13050</v>
      </c>
      <c r="P205" s="58" t="s">
        <v>26</v>
      </c>
      <c r="Q205" s="58">
        <v>0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15900</v>
      </c>
      <c r="Z205" s="58">
        <v>15600</v>
      </c>
      <c r="AA205" s="58">
        <v>15139.55</v>
      </c>
      <c r="AE205" s="57"/>
    </row>
    <row r="206" spans="1:39" x14ac:dyDescent="0.35">
      <c r="A206" s="56" t="s">
        <v>271</v>
      </c>
      <c r="B206" s="58">
        <v>13050</v>
      </c>
      <c r="C206" s="58" t="s">
        <v>33</v>
      </c>
      <c r="D206" s="58">
        <v>54</v>
      </c>
      <c r="E206" s="58">
        <v>31</v>
      </c>
      <c r="F206" s="58">
        <v>134.78260869565219</v>
      </c>
      <c r="G206" s="58">
        <v>54</v>
      </c>
      <c r="H206" s="58">
        <v>83.12</v>
      </c>
      <c r="I206" s="58">
        <v>0.25</v>
      </c>
      <c r="J206" s="58">
        <v>-0.2</v>
      </c>
      <c r="K206" s="58">
        <v>-44.44444444444445</v>
      </c>
      <c r="L206" s="58">
        <v>8925</v>
      </c>
      <c r="M206" s="58">
        <v>48225</v>
      </c>
      <c r="N206" s="58">
        <v>15139.55</v>
      </c>
      <c r="O206" s="58">
        <v>13050</v>
      </c>
      <c r="P206" s="58" t="s">
        <v>33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9750</v>
      </c>
      <c r="Z206" s="58">
        <v>9750</v>
      </c>
      <c r="AA206" s="58">
        <v>15139.55</v>
      </c>
      <c r="AE206" s="57"/>
    </row>
    <row r="207" spans="1:39" x14ac:dyDescent="0.35">
      <c r="A207" s="56" t="s">
        <v>272</v>
      </c>
      <c r="B207" s="58">
        <v>13050</v>
      </c>
      <c r="C207" s="58" t="s">
        <v>2073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4875</v>
      </c>
      <c r="M207" s="58">
        <v>300</v>
      </c>
      <c r="N207" s="58">
        <v>15139.55</v>
      </c>
      <c r="O207" s="58">
        <v>13050</v>
      </c>
      <c r="P207" s="58" t="s">
        <v>2073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4875</v>
      </c>
      <c r="Z207" s="58">
        <v>4875</v>
      </c>
      <c r="AA207" s="58">
        <v>15143.3</v>
      </c>
      <c r="AE207" s="57"/>
    </row>
    <row r="208" spans="1:39" x14ac:dyDescent="0.35">
      <c r="A208" s="56" t="s">
        <v>273</v>
      </c>
      <c r="B208" s="58">
        <v>13050</v>
      </c>
      <c r="C208" s="58" t="s">
        <v>2074</v>
      </c>
      <c r="D208" s="58">
        <v>0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75</v>
      </c>
      <c r="M208" s="58">
        <v>0</v>
      </c>
      <c r="N208" s="58">
        <v>15143.3</v>
      </c>
      <c r="O208" s="58">
        <v>13050</v>
      </c>
      <c r="P208" s="58" t="s">
        <v>2074</v>
      </c>
      <c r="Q208" s="58">
        <v>0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4875</v>
      </c>
      <c r="Z208" s="58">
        <v>4875</v>
      </c>
      <c r="AA208" s="58">
        <v>15143.3</v>
      </c>
      <c r="AE208" s="57"/>
    </row>
    <row r="209" spans="1:31" x14ac:dyDescent="0.35">
      <c r="A209" s="56" t="s">
        <v>274</v>
      </c>
      <c r="B209" s="58">
        <v>13050</v>
      </c>
      <c r="C209" s="58" t="s">
        <v>2068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27900</v>
      </c>
      <c r="M209" s="58">
        <v>9750</v>
      </c>
      <c r="N209" s="58">
        <v>15139.55</v>
      </c>
      <c r="O209" s="58">
        <v>13050</v>
      </c>
      <c r="P209" s="58" t="s">
        <v>2068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9000</v>
      </c>
      <c r="Z209" s="58">
        <v>8250</v>
      </c>
      <c r="AA209" s="58">
        <v>15139.55</v>
      </c>
      <c r="AE209" s="57"/>
    </row>
    <row r="210" spans="1:31" x14ac:dyDescent="0.35">
      <c r="A210" s="56" t="s">
        <v>275</v>
      </c>
      <c r="B210" s="58">
        <v>13050</v>
      </c>
      <c r="C210" s="58" t="s">
        <v>2075</v>
      </c>
      <c r="D210" s="58">
        <v>187</v>
      </c>
      <c r="E210" s="58">
        <v>3</v>
      </c>
      <c r="F210" s="58">
        <v>1.6304347826086956</v>
      </c>
      <c r="G210" s="58">
        <v>3</v>
      </c>
      <c r="H210" s="58">
        <v>27.15</v>
      </c>
      <c r="I210" s="58">
        <v>71</v>
      </c>
      <c r="J210" s="58">
        <v>-6.7000000000000028</v>
      </c>
      <c r="K210" s="58">
        <v>-8.6229086229086267</v>
      </c>
      <c r="L210" s="58">
        <v>15750</v>
      </c>
      <c r="M210" s="58">
        <v>10500</v>
      </c>
      <c r="N210" s="58">
        <v>15139.55</v>
      </c>
      <c r="O210" s="58">
        <v>13050</v>
      </c>
      <c r="P210" s="58" t="s">
        <v>2075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5625</v>
      </c>
      <c r="Z210" s="58">
        <v>5400</v>
      </c>
      <c r="AA210" s="58">
        <v>15143.3</v>
      </c>
      <c r="AE210" s="57"/>
    </row>
    <row r="211" spans="1:31" x14ac:dyDescent="0.35">
      <c r="A211" s="56" t="s">
        <v>276</v>
      </c>
      <c r="B211" s="58">
        <v>13050</v>
      </c>
      <c r="C211" s="58" t="s">
        <v>64</v>
      </c>
      <c r="D211" s="58">
        <v>0</v>
      </c>
      <c r="E211" s="58">
        <v>0</v>
      </c>
      <c r="F211" s="58">
        <v>0</v>
      </c>
      <c r="G211" s="58">
        <v>0</v>
      </c>
      <c r="H211" s="58">
        <v>0</v>
      </c>
      <c r="I211" s="58">
        <v>0</v>
      </c>
      <c r="J211" s="58">
        <v>0</v>
      </c>
      <c r="K211" s="58">
        <v>0</v>
      </c>
      <c r="L211" s="58">
        <v>11550</v>
      </c>
      <c r="M211" s="58">
        <v>0</v>
      </c>
      <c r="N211" s="58">
        <v>15139.55</v>
      </c>
      <c r="O211" s="58">
        <v>13050</v>
      </c>
      <c r="P211" s="58" t="s">
        <v>64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4875</v>
      </c>
      <c r="Z211" s="58">
        <v>4875</v>
      </c>
      <c r="AA211" s="58">
        <v>15139.55</v>
      </c>
      <c r="AE211" s="57"/>
    </row>
    <row r="212" spans="1:31" x14ac:dyDescent="0.35">
      <c r="A212" s="56" t="s">
        <v>277</v>
      </c>
      <c r="B212" s="58">
        <v>13050</v>
      </c>
      <c r="C212" s="58" t="s">
        <v>34</v>
      </c>
      <c r="D212" s="58">
        <v>0</v>
      </c>
      <c r="E212" s="58">
        <v>0</v>
      </c>
      <c r="F212" s="58">
        <v>0</v>
      </c>
      <c r="G212" s="58">
        <v>0</v>
      </c>
      <c r="H212" s="58">
        <v>0</v>
      </c>
      <c r="I212" s="58">
        <v>0</v>
      </c>
      <c r="J212" s="58">
        <v>0</v>
      </c>
      <c r="K212" s="58">
        <v>0</v>
      </c>
      <c r="L212" s="58">
        <v>19200</v>
      </c>
      <c r="M212" s="58">
        <v>0</v>
      </c>
      <c r="N212" s="58">
        <v>15143.3</v>
      </c>
      <c r="O212" s="58">
        <v>13050</v>
      </c>
      <c r="P212" s="58" t="s">
        <v>34</v>
      </c>
      <c r="Q212" s="58">
        <v>0</v>
      </c>
      <c r="R212" s="58">
        <v>0</v>
      </c>
      <c r="S212" s="58">
        <v>0</v>
      </c>
      <c r="T212" s="58">
        <v>0</v>
      </c>
      <c r="U212" s="58">
        <v>0</v>
      </c>
      <c r="V212" s="58">
        <v>0</v>
      </c>
      <c r="W212" s="58">
        <v>0</v>
      </c>
      <c r="X212" s="58">
        <v>0</v>
      </c>
      <c r="Y212" s="58">
        <v>9750</v>
      </c>
      <c r="Z212" s="58">
        <v>9750</v>
      </c>
      <c r="AA212" s="58">
        <v>15139.55</v>
      </c>
      <c r="AE212" s="57"/>
    </row>
    <row r="213" spans="1:31" x14ac:dyDescent="0.35">
      <c r="A213" s="56" t="s">
        <v>278</v>
      </c>
      <c r="B213" s="58">
        <v>13050</v>
      </c>
      <c r="C213" s="58" t="s">
        <v>2071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9750</v>
      </c>
      <c r="M213" s="58">
        <v>750</v>
      </c>
      <c r="N213" s="58">
        <v>15143.3</v>
      </c>
      <c r="O213" s="58">
        <v>13050</v>
      </c>
      <c r="P213" s="58" t="s">
        <v>2071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15143.3</v>
      </c>
      <c r="AE213" s="57"/>
    </row>
    <row r="214" spans="1:31" x14ac:dyDescent="0.35">
      <c r="A214" s="56" t="s">
        <v>279</v>
      </c>
      <c r="B214" s="58">
        <v>13100</v>
      </c>
      <c r="C214" s="58" t="s">
        <v>26</v>
      </c>
      <c r="D214" s="58">
        <v>2085</v>
      </c>
      <c r="E214" s="58">
        <v>-128</v>
      </c>
      <c r="F214" s="58">
        <v>-5.7840036150022591</v>
      </c>
      <c r="G214" s="58">
        <v>1246</v>
      </c>
      <c r="H214" s="58">
        <v>37.57</v>
      </c>
      <c r="I214" s="58">
        <v>10.4</v>
      </c>
      <c r="J214" s="58">
        <v>-1.5499999999999989</v>
      </c>
      <c r="K214" s="58">
        <v>-12.970711297071119</v>
      </c>
      <c r="L214" s="58">
        <v>43350</v>
      </c>
      <c r="M214" s="58">
        <v>12000</v>
      </c>
      <c r="N214" s="58">
        <v>15143.3</v>
      </c>
      <c r="O214" s="58">
        <v>13100</v>
      </c>
      <c r="P214" s="58" t="s">
        <v>26</v>
      </c>
      <c r="Q214" s="58">
        <v>103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20100</v>
      </c>
      <c r="Z214" s="58">
        <v>20175</v>
      </c>
      <c r="AA214" s="58">
        <v>15139.55</v>
      </c>
      <c r="AE214" s="57"/>
    </row>
    <row r="215" spans="1:31" x14ac:dyDescent="0.35">
      <c r="A215" s="56" t="s">
        <v>280</v>
      </c>
      <c r="B215" s="58">
        <v>13100</v>
      </c>
      <c r="C215" s="58" t="s">
        <v>2071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6675</v>
      </c>
      <c r="M215" s="58">
        <v>0</v>
      </c>
      <c r="N215" s="58">
        <v>15139.55</v>
      </c>
      <c r="O215" s="58">
        <v>13100</v>
      </c>
      <c r="P215" s="58" t="s">
        <v>2071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15139.55</v>
      </c>
      <c r="AE215" s="57"/>
    </row>
    <row r="216" spans="1:31" x14ac:dyDescent="0.35">
      <c r="A216" s="56" t="s">
        <v>281</v>
      </c>
      <c r="B216" s="58">
        <v>13100</v>
      </c>
      <c r="C216" s="58" t="s">
        <v>2073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1200</v>
      </c>
      <c r="M216" s="58">
        <v>0</v>
      </c>
      <c r="N216" s="58">
        <v>15143.3</v>
      </c>
      <c r="O216" s="58">
        <v>13100</v>
      </c>
      <c r="P216" s="58" t="s">
        <v>2073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15143.3</v>
      </c>
      <c r="AE216" s="57"/>
    </row>
    <row r="217" spans="1:31" x14ac:dyDescent="0.35">
      <c r="A217" s="56" t="s">
        <v>282</v>
      </c>
      <c r="B217" s="58">
        <v>13100</v>
      </c>
      <c r="C217" s="58" t="s">
        <v>2074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300</v>
      </c>
      <c r="M217" s="58">
        <v>0</v>
      </c>
      <c r="N217" s="58">
        <v>15143.3</v>
      </c>
      <c r="O217" s="58">
        <v>13100</v>
      </c>
      <c r="P217" s="58" t="s">
        <v>2074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15143.3</v>
      </c>
      <c r="AE217" s="57"/>
    </row>
    <row r="218" spans="1:31" x14ac:dyDescent="0.35">
      <c r="A218" s="56" t="s">
        <v>283</v>
      </c>
      <c r="B218" s="58">
        <v>13100</v>
      </c>
      <c r="C218" s="58" t="s">
        <v>2068</v>
      </c>
      <c r="D218" s="58">
        <v>272</v>
      </c>
      <c r="E218" s="58">
        <v>3</v>
      </c>
      <c r="F218" s="58">
        <v>1.1152416356877324</v>
      </c>
      <c r="G218" s="58">
        <v>21</v>
      </c>
      <c r="H218" s="58">
        <v>26.64</v>
      </c>
      <c r="I218" s="58">
        <v>31.7</v>
      </c>
      <c r="J218" s="58">
        <v>-1.3000000000000007</v>
      </c>
      <c r="K218" s="58">
        <v>-3.9393939393939417</v>
      </c>
      <c r="L218" s="58">
        <v>37050</v>
      </c>
      <c r="M218" s="58">
        <v>13200</v>
      </c>
      <c r="N218" s="58">
        <v>15139.55</v>
      </c>
      <c r="O218" s="58">
        <v>13100</v>
      </c>
      <c r="P218" s="58" t="s">
        <v>2068</v>
      </c>
      <c r="Q218" s="58">
        <v>1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13500</v>
      </c>
      <c r="Z218" s="58">
        <v>13500</v>
      </c>
      <c r="AA218" s="58">
        <v>15139.55</v>
      </c>
      <c r="AE218" s="57"/>
    </row>
    <row r="219" spans="1:31" x14ac:dyDescent="0.35">
      <c r="A219" s="56" t="s">
        <v>284</v>
      </c>
      <c r="B219" s="58">
        <v>13100</v>
      </c>
      <c r="C219" s="58" t="s">
        <v>2075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12450</v>
      </c>
      <c r="M219" s="58">
        <v>6225</v>
      </c>
      <c r="N219" s="58">
        <v>15143.3</v>
      </c>
      <c r="O219" s="58">
        <v>13100</v>
      </c>
      <c r="P219" s="58" t="s">
        <v>2075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5400</v>
      </c>
      <c r="Z219" s="58">
        <v>4875</v>
      </c>
      <c r="AA219" s="58">
        <v>15143.3</v>
      </c>
      <c r="AE219" s="57"/>
    </row>
    <row r="220" spans="1:31" x14ac:dyDescent="0.35">
      <c r="A220" s="56" t="s">
        <v>285</v>
      </c>
      <c r="B220" s="58">
        <v>13100</v>
      </c>
      <c r="C220" s="58" t="s">
        <v>34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37125</v>
      </c>
      <c r="M220" s="58">
        <v>0</v>
      </c>
      <c r="N220" s="58">
        <v>15139.55</v>
      </c>
      <c r="O220" s="58">
        <v>13100</v>
      </c>
      <c r="P220" s="58" t="s">
        <v>34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9750</v>
      </c>
      <c r="Z220" s="58">
        <v>9750</v>
      </c>
      <c r="AA220" s="58">
        <v>15139.55</v>
      </c>
      <c r="AE220" s="57"/>
    </row>
    <row r="221" spans="1:31" x14ac:dyDescent="0.35">
      <c r="A221" s="56" t="s">
        <v>286</v>
      </c>
      <c r="B221" s="58">
        <v>13100</v>
      </c>
      <c r="C221" s="58" t="s">
        <v>33</v>
      </c>
      <c r="D221" s="58">
        <v>1256</v>
      </c>
      <c r="E221" s="58">
        <v>242</v>
      </c>
      <c r="F221" s="58">
        <v>23.865877712031558</v>
      </c>
      <c r="G221" s="58">
        <v>730</v>
      </c>
      <c r="H221" s="58">
        <v>88.07</v>
      </c>
      <c r="I221" s="58">
        <v>0.1</v>
      </c>
      <c r="J221" s="58">
        <v>-0.45000000000000007</v>
      </c>
      <c r="K221" s="58">
        <v>-81.818181818181827</v>
      </c>
      <c r="L221" s="58">
        <v>65100</v>
      </c>
      <c r="M221" s="58">
        <v>85050</v>
      </c>
      <c r="N221" s="58">
        <v>15139.55</v>
      </c>
      <c r="O221" s="58">
        <v>13100</v>
      </c>
      <c r="P221" s="58" t="s">
        <v>33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10275</v>
      </c>
      <c r="Z221" s="58">
        <v>10275</v>
      </c>
      <c r="AA221" s="58">
        <v>15139.55</v>
      </c>
      <c r="AE221" s="57"/>
    </row>
    <row r="222" spans="1:31" x14ac:dyDescent="0.35">
      <c r="A222" s="56" t="s">
        <v>287</v>
      </c>
      <c r="B222" s="58">
        <v>13100</v>
      </c>
      <c r="C222" s="58" t="s">
        <v>64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7725</v>
      </c>
      <c r="M222" s="58">
        <v>0</v>
      </c>
      <c r="N222" s="58">
        <v>15139.55</v>
      </c>
      <c r="O222" s="58">
        <v>13100</v>
      </c>
      <c r="P222" s="58" t="s">
        <v>64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4875</v>
      </c>
      <c r="Z222" s="58">
        <v>4875</v>
      </c>
      <c r="AA222" s="58">
        <v>15139.55</v>
      </c>
      <c r="AE222" s="57"/>
    </row>
    <row r="223" spans="1:31" x14ac:dyDescent="0.35">
      <c r="A223" s="56" t="s">
        <v>288</v>
      </c>
      <c r="B223" s="58">
        <v>13150</v>
      </c>
      <c r="C223" s="58" t="s">
        <v>26</v>
      </c>
      <c r="D223" s="58">
        <v>58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56775</v>
      </c>
      <c r="M223" s="58">
        <v>7575</v>
      </c>
      <c r="N223" s="58">
        <v>15139.55</v>
      </c>
      <c r="O223" s="58">
        <v>13150</v>
      </c>
      <c r="P223" s="58" t="s">
        <v>26</v>
      </c>
      <c r="Q223" s="58">
        <v>1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15600</v>
      </c>
      <c r="Z223" s="58">
        <v>15075</v>
      </c>
      <c r="AA223" s="58">
        <v>15143.3</v>
      </c>
      <c r="AE223" s="57"/>
    </row>
    <row r="224" spans="1:31" x14ac:dyDescent="0.35">
      <c r="A224" s="56" t="s">
        <v>289</v>
      </c>
      <c r="B224" s="58">
        <v>13150</v>
      </c>
      <c r="C224" s="58" t="s">
        <v>64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12675</v>
      </c>
      <c r="M224" s="58">
        <v>0</v>
      </c>
      <c r="N224" s="58">
        <v>15139.55</v>
      </c>
      <c r="O224" s="58">
        <v>13150</v>
      </c>
      <c r="P224" s="58" t="s">
        <v>64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15139.55</v>
      </c>
      <c r="AE224" s="57"/>
    </row>
    <row r="225" spans="1:31" x14ac:dyDescent="0.35">
      <c r="A225" s="56" t="s">
        <v>290</v>
      </c>
      <c r="B225" s="58">
        <v>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58">
        <v>13150</v>
      </c>
      <c r="P225" s="58" t="s">
        <v>2071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15143.3</v>
      </c>
      <c r="AE225" s="57"/>
    </row>
    <row r="226" spans="1:31" x14ac:dyDescent="0.35">
      <c r="A226" s="56" t="s">
        <v>291</v>
      </c>
      <c r="B226" s="58">
        <v>0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58">
        <v>13150</v>
      </c>
      <c r="P226" s="58" t="s">
        <v>2073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15143.3</v>
      </c>
      <c r="AE226" s="57"/>
    </row>
    <row r="227" spans="1:31" x14ac:dyDescent="0.35">
      <c r="A227" s="56" t="s">
        <v>292</v>
      </c>
      <c r="B227" s="58">
        <v>13150</v>
      </c>
      <c r="C227" s="58" t="s">
        <v>33</v>
      </c>
      <c r="D227" s="58">
        <v>165</v>
      </c>
      <c r="E227" s="58">
        <v>65</v>
      </c>
      <c r="F227" s="58">
        <v>65</v>
      </c>
      <c r="G227" s="58">
        <v>245</v>
      </c>
      <c r="H227" s="58">
        <v>89.65</v>
      </c>
      <c r="I227" s="58">
        <v>0.1</v>
      </c>
      <c r="J227" s="58">
        <v>-0.35</v>
      </c>
      <c r="K227" s="58">
        <v>-77.777777777777771</v>
      </c>
      <c r="L227" s="58">
        <v>12450</v>
      </c>
      <c r="M227" s="58">
        <v>45300</v>
      </c>
      <c r="N227" s="58">
        <v>15139.55</v>
      </c>
      <c r="O227" s="58">
        <v>13150</v>
      </c>
      <c r="P227" s="58" t="s">
        <v>33</v>
      </c>
      <c r="Q227" s="58">
        <v>0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9750</v>
      </c>
      <c r="Z227" s="58">
        <v>9750</v>
      </c>
      <c r="AA227" s="58">
        <v>15139.55</v>
      </c>
      <c r="AE227" s="57"/>
    </row>
    <row r="228" spans="1:31" x14ac:dyDescent="0.35">
      <c r="A228" s="56" t="s">
        <v>293</v>
      </c>
      <c r="B228" s="58">
        <v>13150</v>
      </c>
      <c r="C228" s="58" t="s">
        <v>2068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9000</v>
      </c>
      <c r="M228" s="58">
        <v>10200</v>
      </c>
      <c r="N228" s="58">
        <v>15139.55</v>
      </c>
      <c r="O228" s="58">
        <v>13150</v>
      </c>
      <c r="P228" s="58" t="s">
        <v>2068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13200</v>
      </c>
      <c r="Z228" s="58">
        <v>8250</v>
      </c>
      <c r="AA228" s="58">
        <v>15139.55</v>
      </c>
      <c r="AE228" s="57"/>
    </row>
    <row r="229" spans="1:31" x14ac:dyDescent="0.35">
      <c r="A229" s="56" t="s">
        <v>294</v>
      </c>
      <c r="B229" s="58">
        <v>13150</v>
      </c>
      <c r="C229" s="58" t="s">
        <v>2075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7500</v>
      </c>
      <c r="M229" s="58">
        <v>5025</v>
      </c>
      <c r="N229" s="58">
        <v>15139.55</v>
      </c>
      <c r="O229" s="58">
        <v>13150</v>
      </c>
      <c r="P229" s="58" t="s">
        <v>2075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5400</v>
      </c>
      <c r="Z229" s="58">
        <v>4875</v>
      </c>
      <c r="AA229" s="58">
        <v>15143.3</v>
      </c>
      <c r="AE229" s="57"/>
    </row>
    <row r="230" spans="1:31" x14ac:dyDescent="0.35">
      <c r="A230" s="56" t="s">
        <v>295</v>
      </c>
      <c r="B230" s="58">
        <v>13150</v>
      </c>
      <c r="C230" s="58" t="s">
        <v>34</v>
      </c>
      <c r="D230" s="58">
        <v>0</v>
      </c>
      <c r="E230" s="58">
        <v>0</v>
      </c>
      <c r="F230" s="58">
        <v>0</v>
      </c>
      <c r="G230" s="58">
        <v>0</v>
      </c>
      <c r="H230" s="58">
        <v>0</v>
      </c>
      <c r="I230" s="58">
        <v>0</v>
      </c>
      <c r="J230" s="58">
        <v>0</v>
      </c>
      <c r="K230" s="58">
        <v>0</v>
      </c>
      <c r="L230" s="58">
        <v>18975</v>
      </c>
      <c r="M230" s="58">
        <v>0</v>
      </c>
      <c r="N230" s="58">
        <v>15139.55</v>
      </c>
      <c r="O230" s="58">
        <v>13150</v>
      </c>
      <c r="P230" s="58" t="s">
        <v>34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9750</v>
      </c>
      <c r="Z230" s="58">
        <v>9750</v>
      </c>
      <c r="AA230" s="58">
        <v>15139.55</v>
      </c>
      <c r="AE230" s="57"/>
    </row>
    <row r="231" spans="1:31" x14ac:dyDescent="0.35">
      <c r="A231" s="56" t="s">
        <v>296</v>
      </c>
      <c r="B231" s="58">
        <v>0</v>
      </c>
      <c r="C231" s="58">
        <v>0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0</v>
      </c>
      <c r="M231" s="58">
        <v>0</v>
      </c>
      <c r="N231" s="58">
        <v>0</v>
      </c>
      <c r="O231" s="58">
        <v>13150</v>
      </c>
      <c r="P231" s="58" t="s">
        <v>2074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4875</v>
      </c>
      <c r="Z231" s="58">
        <v>4875</v>
      </c>
      <c r="AA231" s="58">
        <v>15143.3</v>
      </c>
      <c r="AE231" s="57"/>
    </row>
    <row r="232" spans="1:31" x14ac:dyDescent="0.35">
      <c r="A232" s="56" t="s">
        <v>297</v>
      </c>
      <c r="B232" s="58">
        <v>13200</v>
      </c>
      <c r="C232" s="58" t="s">
        <v>34</v>
      </c>
      <c r="D232" s="58">
        <v>311</v>
      </c>
      <c r="E232" s="58">
        <v>252</v>
      </c>
      <c r="F232" s="58">
        <v>427.11864406779659</v>
      </c>
      <c r="G232" s="58">
        <v>391</v>
      </c>
      <c r="H232" s="58">
        <v>39.700000000000003</v>
      </c>
      <c r="I232" s="58">
        <v>2.5</v>
      </c>
      <c r="J232" s="58">
        <v>-1.1000000000000001</v>
      </c>
      <c r="K232" s="58">
        <v>-30.555555555555557</v>
      </c>
      <c r="L232" s="58">
        <v>24300</v>
      </c>
      <c r="M232" s="58">
        <v>4950</v>
      </c>
      <c r="N232" s="58">
        <v>15139.55</v>
      </c>
      <c r="O232" s="58">
        <v>13200</v>
      </c>
      <c r="P232" s="58" t="s">
        <v>34</v>
      </c>
      <c r="Q232" s="58">
        <v>0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9750</v>
      </c>
      <c r="Z232" s="58">
        <v>9750</v>
      </c>
      <c r="AA232" s="58">
        <v>15143.3</v>
      </c>
      <c r="AE232" s="57"/>
    </row>
    <row r="233" spans="1:31" x14ac:dyDescent="0.35">
      <c r="A233" s="56" t="s">
        <v>298</v>
      </c>
      <c r="B233" s="58">
        <v>13200</v>
      </c>
      <c r="C233" s="58" t="s">
        <v>64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12525</v>
      </c>
      <c r="M233" s="58">
        <v>0</v>
      </c>
      <c r="N233" s="58">
        <v>15139.55</v>
      </c>
      <c r="O233" s="58">
        <v>13200</v>
      </c>
      <c r="P233" s="58" t="s">
        <v>64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15139.55</v>
      </c>
      <c r="AE233" s="57"/>
    </row>
    <row r="234" spans="1:31" x14ac:dyDescent="0.35">
      <c r="A234" s="56" t="s">
        <v>299</v>
      </c>
      <c r="B234" s="58">
        <v>13200</v>
      </c>
      <c r="C234" s="58" t="s">
        <v>2071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1575</v>
      </c>
      <c r="M234" s="58">
        <v>0</v>
      </c>
      <c r="N234" s="58">
        <v>15139.55</v>
      </c>
      <c r="O234" s="58">
        <v>13200</v>
      </c>
      <c r="P234" s="58" t="s">
        <v>2071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4875</v>
      </c>
      <c r="Z234" s="58">
        <v>4875</v>
      </c>
      <c r="AA234" s="58">
        <v>15143.3</v>
      </c>
      <c r="AE234" s="57"/>
    </row>
    <row r="235" spans="1:31" x14ac:dyDescent="0.35">
      <c r="A235" s="56" t="s">
        <v>300</v>
      </c>
      <c r="B235" s="58">
        <v>13200</v>
      </c>
      <c r="C235" s="58" t="s">
        <v>2073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1275</v>
      </c>
      <c r="M235" s="58">
        <v>0</v>
      </c>
      <c r="N235" s="58">
        <v>15139.55</v>
      </c>
      <c r="O235" s="58">
        <v>13200</v>
      </c>
      <c r="P235" s="58" t="s">
        <v>2073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15143.3</v>
      </c>
      <c r="AE235" s="57"/>
    </row>
    <row r="236" spans="1:31" x14ac:dyDescent="0.35">
      <c r="A236" s="56" t="s">
        <v>301</v>
      </c>
      <c r="B236" s="58">
        <v>13200</v>
      </c>
      <c r="C236" s="58" t="s">
        <v>2074</v>
      </c>
      <c r="D236" s="58">
        <v>0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300</v>
      </c>
      <c r="M236" s="58">
        <v>0</v>
      </c>
      <c r="N236" s="58">
        <v>15143.3</v>
      </c>
      <c r="O236" s="58">
        <v>13200</v>
      </c>
      <c r="P236" s="58" t="s">
        <v>2074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4875</v>
      </c>
      <c r="Z236" s="58">
        <v>4875</v>
      </c>
      <c r="AA236" s="58">
        <v>15143.3</v>
      </c>
      <c r="AE236" s="57"/>
    </row>
    <row r="237" spans="1:31" x14ac:dyDescent="0.35">
      <c r="A237" s="56" t="s">
        <v>302</v>
      </c>
      <c r="B237" s="58">
        <v>13200</v>
      </c>
      <c r="C237" s="58" t="s">
        <v>2068</v>
      </c>
      <c r="D237" s="58">
        <v>537</v>
      </c>
      <c r="E237" s="58">
        <v>-5</v>
      </c>
      <c r="F237" s="58">
        <v>-0.92250922509225097</v>
      </c>
      <c r="G237" s="58">
        <v>18</v>
      </c>
      <c r="H237" s="58">
        <v>26.14</v>
      </c>
      <c r="I237" s="58">
        <v>34.950000000000003</v>
      </c>
      <c r="J237" s="58">
        <v>-3.1499999999999986</v>
      </c>
      <c r="K237" s="58">
        <v>-8.2677165354330668</v>
      </c>
      <c r="L237" s="58">
        <v>30675</v>
      </c>
      <c r="M237" s="58">
        <v>3375</v>
      </c>
      <c r="N237" s="58">
        <v>15139.55</v>
      </c>
      <c r="O237" s="58">
        <v>13200</v>
      </c>
      <c r="P237" s="58" t="s">
        <v>2068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13575</v>
      </c>
      <c r="Z237" s="58">
        <v>13575</v>
      </c>
      <c r="AA237" s="58">
        <v>15139.55</v>
      </c>
      <c r="AE237" s="57"/>
    </row>
    <row r="238" spans="1:31" x14ac:dyDescent="0.35">
      <c r="A238" s="56" t="s">
        <v>303</v>
      </c>
      <c r="B238" s="58">
        <v>13200</v>
      </c>
      <c r="C238" s="58" t="s">
        <v>2075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11625</v>
      </c>
      <c r="M238" s="58">
        <v>6225</v>
      </c>
      <c r="N238" s="58">
        <v>15143.3</v>
      </c>
      <c r="O238" s="58">
        <v>13200</v>
      </c>
      <c r="P238" s="58" t="s">
        <v>2075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15139.55</v>
      </c>
      <c r="AE238" s="57"/>
    </row>
    <row r="239" spans="1:31" x14ac:dyDescent="0.35">
      <c r="A239" s="56" t="s">
        <v>304</v>
      </c>
      <c r="B239" s="58">
        <v>13200</v>
      </c>
      <c r="C239" s="58" t="s">
        <v>33</v>
      </c>
      <c r="D239" s="58">
        <v>1181</v>
      </c>
      <c r="E239" s="58">
        <v>70</v>
      </c>
      <c r="F239" s="58">
        <v>6.3006300630063006</v>
      </c>
      <c r="G239" s="58">
        <v>791</v>
      </c>
      <c r="H239" s="58">
        <v>85.79</v>
      </c>
      <c r="I239" s="58">
        <v>0.15</v>
      </c>
      <c r="J239" s="58">
        <v>-0.4</v>
      </c>
      <c r="K239" s="58">
        <v>-72.727272727272734</v>
      </c>
      <c r="L239" s="58">
        <v>65850</v>
      </c>
      <c r="M239" s="58">
        <v>59100</v>
      </c>
      <c r="N239" s="58">
        <v>15139.55</v>
      </c>
      <c r="O239" s="58">
        <v>13200</v>
      </c>
      <c r="P239" s="58" t="s">
        <v>33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10275</v>
      </c>
      <c r="Z239" s="58">
        <v>10275</v>
      </c>
      <c r="AA239" s="58">
        <v>15139.55</v>
      </c>
      <c r="AE239" s="57"/>
    </row>
    <row r="240" spans="1:31" x14ac:dyDescent="0.35">
      <c r="A240" s="56" t="s">
        <v>305</v>
      </c>
      <c r="B240" s="58">
        <v>13200</v>
      </c>
      <c r="C240" s="58" t="s">
        <v>26</v>
      </c>
      <c r="D240" s="58">
        <v>3219</v>
      </c>
      <c r="E240" s="58">
        <v>-4</v>
      </c>
      <c r="F240" s="58">
        <v>-0.12410797393732548</v>
      </c>
      <c r="G240" s="58">
        <v>611</v>
      </c>
      <c r="H240" s="58">
        <v>36.1</v>
      </c>
      <c r="I240" s="58">
        <v>10.65</v>
      </c>
      <c r="J240" s="58">
        <v>-1.5</v>
      </c>
      <c r="K240" s="58">
        <v>-12.345679012345681</v>
      </c>
      <c r="L240" s="58">
        <v>69375</v>
      </c>
      <c r="M240" s="58">
        <v>21825</v>
      </c>
      <c r="N240" s="58">
        <v>15139.55</v>
      </c>
      <c r="O240" s="58">
        <v>13200</v>
      </c>
      <c r="P240" s="58" t="s">
        <v>26</v>
      </c>
      <c r="Q240" s="58">
        <v>150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20925</v>
      </c>
      <c r="Z240" s="58">
        <v>20400</v>
      </c>
      <c r="AA240" s="58">
        <v>15139.55</v>
      </c>
      <c r="AE240" s="57"/>
    </row>
    <row r="241" spans="1:31" x14ac:dyDescent="0.35">
      <c r="A241" s="56" t="s">
        <v>306</v>
      </c>
      <c r="B241" s="58">
        <v>13250</v>
      </c>
      <c r="C241" s="58" t="s">
        <v>26</v>
      </c>
      <c r="D241" s="58">
        <v>56</v>
      </c>
      <c r="E241" s="58">
        <v>9</v>
      </c>
      <c r="F241" s="58">
        <v>19.148936170212767</v>
      </c>
      <c r="G241" s="58">
        <v>25</v>
      </c>
      <c r="H241" s="58">
        <v>35.14</v>
      </c>
      <c r="I241" s="58">
        <v>10.6</v>
      </c>
      <c r="J241" s="58">
        <v>-1.7000000000000011</v>
      </c>
      <c r="K241" s="58">
        <v>-13.821138211382122</v>
      </c>
      <c r="L241" s="58">
        <v>63525</v>
      </c>
      <c r="M241" s="58">
        <v>14925</v>
      </c>
      <c r="N241" s="58">
        <v>15139.55</v>
      </c>
      <c r="O241" s="58">
        <v>13250</v>
      </c>
      <c r="P241" s="58" t="s">
        <v>26</v>
      </c>
      <c r="Q241" s="58">
        <v>1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15300</v>
      </c>
      <c r="Z241" s="58">
        <v>15075</v>
      </c>
      <c r="AA241" s="58">
        <v>15139.55</v>
      </c>
      <c r="AE241" s="57"/>
    </row>
    <row r="242" spans="1:31" x14ac:dyDescent="0.35">
      <c r="A242" s="56" t="s">
        <v>307</v>
      </c>
      <c r="B242" s="58">
        <v>13250</v>
      </c>
      <c r="C242" s="58" t="s">
        <v>64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12675</v>
      </c>
      <c r="M242" s="58">
        <v>300</v>
      </c>
      <c r="N242" s="58">
        <v>15143.3</v>
      </c>
      <c r="O242" s="58">
        <v>13250</v>
      </c>
      <c r="P242" s="58" t="s">
        <v>64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15139.55</v>
      </c>
      <c r="AE242" s="57"/>
    </row>
    <row r="243" spans="1:31" x14ac:dyDescent="0.35">
      <c r="A243" s="56" t="s">
        <v>308</v>
      </c>
      <c r="B243" s="58">
        <v>0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58">
        <v>13250</v>
      </c>
      <c r="P243" s="58" t="s">
        <v>2071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15143.3</v>
      </c>
      <c r="AE243" s="57"/>
    </row>
    <row r="244" spans="1:31" x14ac:dyDescent="0.35">
      <c r="A244" s="56" t="s">
        <v>309</v>
      </c>
      <c r="B244" s="58">
        <v>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58">
        <v>13250</v>
      </c>
      <c r="P244" s="58" t="s">
        <v>2073</v>
      </c>
      <c r="Q244" s="58">
        <v>0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4875</v>
      </c>
      <c r="Z244" s="58">
        <v>4875</v>
      </c>
      <c r="AA244" s="58">
        <v>15139.55</v>
      </c>
      <c r="AE244" s="57"/>
    </row>
    <row r="245" spans="1:31" x14ac:dyDescent="0.35">
      <c r="A245" s="56" t="s">
        <v>310</v>
      </c>
      <c r="B245" s="58">
        <v>13250</v>
      </c>
      <c r="C245" s="58" t="s">
        <v>2074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0</v>
      </c>
      <c r="M245" s="58">
        <v>0</v>
      </c>
      <c r="N245" s="58">
        <v>15139.55</v>
      </c>
      <c r="O245" s="58">
        <v>13250</v>
      </c>
      <c r="P245" s="58" t="s">
        <v>2074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15139.55</v>
      </c>
      <c r="AE245" s="57"/>
    </row>
    <row r="246" spans="1:31" x14ac:dyDescent="0.35">
      <c r="A246" s="56" t="s">
        <v>311</v>
      </c>
      <c r="B246" s="58">
        <v>13250</v>
      </c>
      <c r="C246" s="58" t="s">
        <v>2068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8700</v>
      </c>
      <c r="M246" s="58">
        <v>9900</v>
      </c>
      <c r="N246" s="58">
        <v>15143.3</v>
      </c>
      <c r="O246" s="58">
        <v>13250</v>
      </c>
      <c r="P246" s="58" t="s">
        <v>2068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9000</v>
      </c>
      <c r="Z246" s="58">
        <v>8250</v>
      </c>
      <c r="AA246" s="58">
        <v>15139.55</v>
      </c>
      <c r="AE246" s="57"/>
    </row>
    <row r="247" spans="1:31" x14ac:dyDescent="0.35">
      <c r="A247" s="56" t="s">
        <v>312</v>
      </c>
      <c r="B247" s="58">
        <v>13250</v>
      </c>
      <c r="C247" s="58" t="s">
        <v>2075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7500</v>
      </c>
      <c r="M247" s="58">
        <v>5025</v>
      </c>
      <c r="N247" s="58">
        <v>15143.3</v>
      </c>
      <c r="O247" s="58">
        <v>13250</v>
      </c>
      <c r="P247" s="58" t="s">
        <v>2075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5400</v>
      </c>
      <c r="Z247" s="58">
        <v>4875</v>
      </c>
      <c r="AA247" s="58">
        <v>15143.3</v>
      </c>
      <c r="AE247" s="57"/>
    </row>
    <row r="248" spans="1:31" x14ac:dyDescent="0.35">
      <c r="A248" s="56" t="s">
        <v>313</v>
      </c>
      <c r="B248" s="58">
        <v>13250</v>
      </c>
      <c r="C248" s="58" t="s">
        <v>33</v>
      </c>
      <c r="D248" s="58">
        <v>144</v>
      </c>
      <c r="E248" s="58">
        <v>45</v>
      </c>
      <c r="F248" s="58">
        <v>45.454545454545453</v>
      </c>
      <c r="G248" s="58">
        <v>87</v>
      </c>
      <c r="H248" s="58">
        <v>83.6</v>
      </c>
      <c r="I248" s="58">
        <v>0.2</v>
      </c>
      <c r="J248" s="58">
        <v>-0.3</v>
      </c>
      <c r="K248" s="58">
        <v>-60</v>
      </c>
      <c r="L248" s="58">
        <v>7725</v>
      </c>
      <c r="M248" s="58">
        <v>47025</v>
      </c>
      <c r="N248" s="58">
        <v>15139.55</v>
      </c>
      <c r="O248" s="58">
        <v>13250</v>
      </c>
      <c r="P248" s="58" t="s">
        <v>33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9750</v>
      </c>
      <c r="Z248" s="58">
        <v>9750</v>
      </c>
      <c r="AA248" s="58">
        <v>15139.55</v>
      </c>
      <c r="AE248" s="57"/>
    </row>
    <row r="249" spans="1:31" x14ac:dyDescent="0.35">
      <c r="A249" s="56" t="s">
        <v>314</v>
      </c>
      <c r="B249" s="58">
        <v>13250</v>
      </c>
      <c r="C249" s="58" t="s">
        <v>34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21825</v>
      </c>
      <c r="M249" s="58">
        <v>0</v>
      </c>
      <c r="N249" s="58">
        <v>15143.3</v>
      </c>
      <c r="O249" s="58">
        <v>13250</v>
      </c>
      <c r="P249" s="58" t="s">
        <v>34</v>
      </c>
      <c r="Q249" s="58">
        <v>0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9750</v>
      </c>
      <c r="Z249" s="58">
        <v>9750</v>
      </c>
      <c r="AA249" s="58">
        <v>15143.3</v>
      </c>
      <c r="AE249" s="57"/>
    </row>
    <row r="250" spans="1:31" x14ac:dyDescent="0.35">
      <c r="A250" s="56" t="s">
        <v>315</v>
      </c>
      <c r="B250" s="58">
        <v>13300</v>
      </c>
      <c r="C250" s="58" t="s">
        <v>33</v>
      </c>
      <c r="D250" s="58">
        <v>1521</v>
      </c>
      <c r="E250" s="58">
        <v>-33</v>
      </c>
      <c r="F250" s="58">
        <v>-2.1235521235521237</v>
      </c>
      <c r="G250" s="58">
        <v>690</v>
      </c>
      <c r="H250" s="58">
        <v>79.510000000000005</v>
      </c>
      <c r="I250" s="58">
        <v>0.2</v>
      </c>
      <c r="J250" s="58">
        <v>-0.35000000000000003</v>
      </c>
      <c r="K250" s="58">
        <v>-63.636363636363633</v>
      </c>
      <c r="L250" s="58">
        <v>85650</v>
      </c>
      <c r="M250" s="58">
        <v>65100</v>
      </c>
      <c r="N250" s="58">
        <v>15143.3</v>
      </c>
      <c r="O250" s="58">
        <v>13300</v>
      </c>
      <c r="P250" s="58" t="s">
        <v>33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9750</v>
      </c>
      <c r="Z250" s="58">
        <v>9750</v>
      </c>
      <c r="AA250" s="58">
        <v>15139.55</v>
      </c>
      <c r="AE250" s="57"/>
    </row>
    <row r="251" spans="1:31" x14ac:dyDescent="0.35">
      <c r="A251" s="56" t="s">
        <v>316</v>
      </c>
      <c r="B251" s="58">
        <v>13300</v>
      </c>
      <c r="C251" s="58" t="s">
        <v>26</v>
      </c>
      <c r="D251" s="58">
        <v>5191</v>
      </c>
      <c r="E251" s="58">
        <v>-314</v>
      </c>
      <c r="F251" s="58">
        <v>-5.7039055404178018</v>
      </c>
      <c r="G251" s="58">
        <v>1559</v>
      </c>
      <c r="H251" s="58">
        <v>34.67</v>
      </c>
      <c r="I251" s="58">
        <v>11.05</v>
      </c>
      <c r="J251" s="58">
        <v>-1.5</v>
      </c>
      <c r="K251" s="58">
        <v>-11.952191235059759</v>
      </c>
      <c r="L251" s="58">
        <v>87675</v>
      </c>
      <c r="M251" s="58">
        <v>22050</v>
      </c>
      <c r="N251" s="58">
        <v>15143.3</v>
      </c>
      <c r="O251" s="58">
        <v>13300</v>
      </c>
      <c r="P251" s="58" t="s">
        <v>26</v>
      </c>
      <c r="Q251" s="58">
        <v>137</v>
      </c>
      <c r="R251" s="58">
        <v>0</v>
      </c>
      <c r="S251" s="58">
        <v>0</v>
      </c>
      <c r="T251" s="58">
        <v>1</v>
      </c>
      <c r="U251" s="58">
        <v>0</v>
      </c>
      <c r="V251" s="58">
        <v>1889.7</v>
      </c>
      <c r="W251" s="58">
        <v>230.15000000000009</v>
      </c>
      <c r="X251" s="58">
        <v>13.868217287818991</v>
      </c>
      <c r="Y251" s="58">
        <v>20175</v>
      </c>
      <c r="Z251" s="58">
        <v>20250</v>
      </c>
      <c r="AA251" s="58">
        <v>15143.3</v>
      </c>
      <c r="AE251" s="57"/>
    </row>
    <row r="252" spans="1:31" x14ac:dyDescent="0.35">
      <c r="A252" s="56" t="s">
        <v>317</v>
      </c>
      <c r="B252" s="58">
        <v>13300</v>
      </c>
      <c r="C252" s="58" t="s">
        <v>64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13725</v>
      </c>
      <c r="M252" s="58">
        <v>0</v>
      </c>
      <c r="N252" s="58">
        <v>15143.3</v>
      </c>
      <c r="O252" s="58">
        <v>13300</v>
      </c>
      <c r="P252" s="58" t="s">
        <v>64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15139.55</v>
      </c>
      <c r="AE252" s="57"/>
    </row>
    <row r="253" spans="1:31" x14ac:dyDescent="0.35">
      <c r="A253" s="56" t="s">
        <v>318</v>
      </c>
      <c r="B253" s="58">
        <v>13300</v>
      </c>
      <c r="C253" s="58" t="s">
        <v>2071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2400</v>
      </c>
      <c r="M253" s="58">
        <v>0</v>
      </c>
      <c r="N253" s="58">
        <v>15143.3</v>
      </c>
      <c r="O253" s="58">
        <v>13300</v>
      </c>
      <c r="P253" s="58" t="s">
        <v>2071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15139.55</v>
      </c>
      <c r="AE253" s="57"/>
    </row>
    <row r="254" spans="1:31" x14ac:dyDescent="0.35">
      <c r="A254" s="56" t="s">
        <v>319</v>
      </c>
      <c r="B254" s="58">
        <v>13300</v>
      </c>
      <c r="C254" s="58" t="s">
        <v>2073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900</v>
      </c>
      <c r="M254" s="58">
        <v>0</v>
      </c>
      <c r="N254" s="58">
        <v>15143.3</v>
      </c>
      <c r="O254" s="58">
        <v>13300</v>
      </c>
      <c r="P254" s="58" t="s">
        <v>2073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15139.55</v>
      </c>
      <c r="AE254" s="57"/>
    </row>
    <row r="255" spans="1:31" x14ac:dyDescent="0.35">
      <c r="A255" s="56" t="s">
        <v>320</v>
      </c>
      <c r="B255" s="58">
        <v>13300</v>
      </c>
      <c r="C255" s="58" t="s">
        <v>2074</v>
      </c>
      <c r="D255" s="58">
        <v>0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300</v>
      </c>
      <c r="M255" s="58">
        <v>0</v>
      </c>
      <c r="N255" s="58">
        <v>15139.55</v>
      </c>
      <c r="O255" s="58">
        <v>13300</v>
      </c>
      <c r="P255" s="58" t="s">
        <v>2074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4875</v>
      </c>
      <c r="Z255" s="58">
        <v>4875</v>
      </c>
      <c r="AA255" s="58">
        <v>15143.3</v>
      </c>
      <c r="AE255" s="57"/>
    </row>
    <row r="256" spans="1:31" x14ac:dyDescent="0.35">
      <c r="A256" s="56" t="s">
        <v>321</v>
      </c>
      <c r="B256" s="58">
        <v>13300</v>
      </c>
      <c r="C256" s="58" t="s">
        <v>2068</v>
      </c>
      <c r="D256" s="58">
        <v>938</v>
      </c>
      <c r="E256" s="58">
        <v>26</v>
      </c>
      <c r="F256" s="58">
        <v>2.8508771929824563</v>
      </c>
      <c r="G256" s="58">
        <v>159</v>
      </c>
      <c r="H256" s="58">
        <v>25.66</v>
      </c>
      <c r="I256" s="58">
        <v>38.65</v>
      </c>
      <c r="J256" s="58">
        <v>-4.9500000000000028</v>
      </c>
      <c r="K256" s="58">
        <v>-11.353211009174318</v>
      </c>
      <c r="L256" s="58">
        <v>29775</v>
      </c>
      <c r="M256" s="58">
        <v>2400</v>
      </c>
      <c r="N256" s="58">
        <v>15139.55</v>
      </c>
      <c r="O256" s="58">
        <v>13300</v>
      </c>
      <c r="P256" s="58" t="s">
        <v>2068</v>
      </c>
      <c r="Q256" s="58">
        <v>3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13500</v>
      </c>
      <c r="Z256" s="58">
        <v>13500</v>
      </c>
      <c r="AA256" s="58">
        <v>15139.55</v>
      </c>
      <c r="AE256" s="57"/>
    </row>
    <row r="257" spans="1:31" x14ac:dyDescent="0.35">
      <c r="A257" s="56" t="s">
        <v>322</v>
      </c>
      <c r="B257" s="58">
        <v>13300</v>
      </c>
      <c r="C257" s="58" t="s">
        <v>2075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9750</v>
      </c>
      <c r="M257" s="58">
        <v>6225</v>
      </c>
      <c r="N257" s="58">
        <v>15143.3</v>
      </c>
      <c r="O257" s="58">
        <v>13300</v>
      </c>
      <c r="P257" s="58" t="s">
        <v>2075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15143.3</v>
      </c>
      <c r="AE257" s="57"/>
    </row>
    <row r="258" spans="1:31" x14ac:dyDescent="0.35">
      <c r="A258" s="56" t="s">
        <v>323</v>
      </c>
      <c r="B258" s="58">
        <v>13300</v>
      </c>
      <c r="C258" s="58" t="s">
        <v>34</v>
      </c>
      <c r="D258" s="58">
        <v>219</v>
      </c>
      <c r="E258" s="58">
        <v>103</v>
      </c>
      <c r="F258" s="58">
        <v>88.793103448275858</v>
      </c>
      <c r="G258" s="58">
        <v>279</v>
      </c>
      <c r="H258" s="58">
        <v>38.25</v>
      </c>
      <c r="I258" s="58">
        <v>2.7</v>
      </c>
      <c r="J258" s="58">
        <v>-2.2000000000000002</v>
      </c>
      <c r="K258" s="58">
        <v>-44.897959183673471</v>
      </c>
      <c r="L258" s="58">
        <v>42450</v>
      </c>
      <c r="M258" s="58">
        <v>9675</v>
      </c>
      <c r="N258" s="58">
        <v>15143.3</v>
      </c>
      <c r="O258" s="58">
        <v>13300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9750</v>
      </c>
      <c r="Z258" s="58">
        <v>9750</v>
      </c>
      <c r="AA258" s="58">
        <v>15143.3</v>
      </c>
      <c r="AE258" s="57"/>
    </row>
    <row r="259" spans="1:31" x14ac:dyDescent="0.35">
      <c r="A259" s="56" t="s">
        <v>324</v>
      </c>
      <c r="B259" s="58">
        <v>13350</v>
      </c>
      <c r="C259" s="58" t="s">
        <v>33</v>
      </c>
      <c r="D259" s="58">
        <v>51</v>
      </c>
      <c r="E259" s="58">
        <v>-22</v>
      </c>
      <c r="F259" s="58">
        <v>-30.136986301369863</v>
      </c>
      <c r="G259" s="58">
        <v>40</v>
      </c>
      <c r="H259" s="58">
        <v>79.25</v>
      </c>
      <c r="I259" s="58">
        <v>0.2</v>
      </c>
      <c r="J259" s="58">
        <v>-0.25</v>
      </c>
      <c r="K259" s="58">
        <v>-55.555555555555557</v>
      </c>
      <c r="L259" s="58">
        <v>2400</v>
      </c>
      <c r="M259" s="58">
        <v>54825</v>
      </c>
      <c r="N259" s="58">
        <v>15139.55</v>
      </c>
      <c r="O259" s="58">
        <v>13350</v>
      </c>
      <c r="P259" s="58" t="s">
        <v>33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9750</v>
      </c>
      <c r="Z259" s="58">
        <v>9750</v>
      </c>
      <c r="AA259" s="58">
        <v>15139.55</v>
      </c>
      <c r="AE259" s="57"/>
    </row>
    <row r="260" spans="1:31" x14ac:dyDescent="0.35">
      <c r="A260" s="56" t="s">
        <v>325</v>
      </c>
      <c r="B260" s="58">
        <v>13350</v>
      </c>
      <c r="C260" s="58" t="s">
        <v>26</v>
      </c>
      <c r="D260" s="58">
        <v>57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29475</v>
      </c>
      <c r="M260" s="58">
        <v>7575</v>
      </c>
      <c r="N260" s="58">
        <v>15139.55</v>
      </c>
      <c r="O260" s="58">
        <v>13350</v>
      </c>
      <c r="P260" s="58" t="s">
        <v>26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15600</v>
      </c>
      <c r="Z260" s="58">
        <v>16350</v>
      </c>
      <c r="AA260" s="58">
        <v>15139.55</v>
      </c>
      <c r="AE260" s="57"/>
    </row>
    <row r="261" spans="1:31" x14ac:dyDescent="0.35">
      <c r="A261" s="56" t="s">
        <v>326</v>
      </c>
      <c r="B261" s="58">
        <v>13350</v>
      </c>
      <c r="C261" s="58" t="s">
        <v>64</v>
      </c>
      <c r="D261" s="58">
        <v>0</v>
      </c>
      <c r="E261" s="58">
        <v>0</v>
      </c>
      <c r="F261" s="58">
        <v>0</v>
      </c>
      <c r="G261" s="58">
        <v>0</v>
      </c>
      <c r="H261" s="58">
        <v>0</v>
      </c>
      <c r="I261" s="58">
        <v>0</v>
      </c>
      <c r="J261" s="58">
        <v>0</v>
      </c>
      <c r="K261" s="58">
        <v>0</v>
      </c>
      <c r="L261" s="58">
        <v>12900</v>
      </c>
      <c r="M261" s="58">
        <v>0</v>
      </c>
      <c r="N261" s="58">
        <v>15139.55</v>
      </c>
      <c r="O261" s="58">
        <v>13350</v>
      </c>
      <c r="P261" s="58" t="s">
        <v>64</v>
      </c>
      <c r="Q261" s="58">
        <v>0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4875</v>
      </c>
      <c r="Z261" s="58">
        <v>4875</v>
      </c>
      <c r="AA261" s="58">
        <v>15143.3</v>
      </c>
      <c r="AE261" s="57"/>
    </row>
    <row r="262" spans="1:31" x14ac:dyDescent="0.35">
      <c r="A262" s="56" t="s">
        <v>327</v>
      </c>
      <c r="B262" s="58">
        <v>0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58">
        <v>13350</v>
      </c>
      <c r="P262" s="58" t="s">
        <v>2071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15139.55</v>
      </c>
      <c r="AE262" s="57"/>
    </row>
    <row r="263" spans="1:31" x14ac:dyDescent="0.35">
      <c r="A263" s="56" t="s">
        <v>328</v>
      </c>
      <c r="B263" s="58">
        <v>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58">
        <v>13350</v>
      </c>
      <c r="P263" s="58" t="s">
        <v>2073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15143.3</v>
      </c>
      <c r="AE263" s="57"/>
    </row>
    <row r="264" spans="1:31" x14ac:dyDescent="0.35">
      <c r="A264" s="56" t="s">
        <v>329</v>
      </c>
      <c r="B264" s="58">
        <v>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58">
        <v>13350</v>
      </c>
      <c r="P264" s="58" t="s">
        <v>2074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15143.3</v>
      </c>
      <c r="AE264" s="57"/>
    </row>
    <row r="265" spans="1:31" x14ac:dyDescent="0.35">
      <c r="A265" s="56" t="s">
        <v>330</v>
      </c>
      <c r="B265" s="58">
        <v>13350</v>
      </c>
      <c r="C265" s="58" t="s">
        <v>2068</v>
      </c>
      <c r="D265" s="58">
        <v>0</v>
      </c>
      <c r="E265" s="58">
        <v>0</v>
      </c>
      <c r="F265" s="58">
        <v>0</v>
      </c>
      <c r="G265" s="58">
        <v>0</v>
      </c>
      <c r="H265" s="58">
        <v>0</v>
      </c>
      <c r="I265" s="58">
        <v>0</v>
      </c>
      <c r="J265" s="58">
        <v>0</v>
      </c>
      <c r="K265" s="58">
        <v>0</v>
      </c>
      <c r="L265" s="58">
        <v>8625</v>
      </c>
      <c r="M265" s="58">
        <v>10050</v>
      </c>
      <c r="N265" s="58">
        <v>15139.55</v>
      </c>
      <c r="O265" s="58">
        <v>13350</v>
      </c>
      <c r="P265" s="58" t="s">
        <v>2068</v>
      </c>
      <c r="Q265" s="58">
        <v>0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9000</v>
      </c>
      <c r="Z265" s="58">
        <v>8250</v>
      </c>
      <c r="AA265" s="58">
        <v>15139.55</v>
      </c>
      <c r="AE265" s="57"/>
    </row>
    <row r="266" spans="1:31" x14ac:dyDescent="0.35">
      <c r="A266" s="56" t="s">
        <v>331</v>
      </c>
      <c r="B266" s="58">
        <v>13350</v>
      </c>
      <c r="C266" s="58" t="s">
        <v>2075</v>
      </c>
      <c r="D266" s="58">
        <v>0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6000</v>
      </c>
      <c r="M266" s="58">
        <v>5025</v>
      </c>
      <c r="N266" s="58">
        <v>15139.55</v>
      </c>
      <c r="O266" s="58">
        <v>13350</v>
      </c>
      <c r="P266" s="58" t="s">
        <v>2075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5400</v>
      </c>
      <c r="Z266" s="58">
        <v>4875</v>
      </c>
      <c r="AA266" s="58">
        <v>15143.3</v>
      </c>
      <c r="AE266" s="57"/>
    </row>
    <row r="267" spans="1:31" x14ac:dyDescent="0.35">
      <c r="A267" s="56" t="s">
        <v>332</v>
      </c>
      <c r="B267" s="58">
        <v>13350</v>
      </c>
      <c r="C267" s="58" t="s">
        <v>34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21825</v>
      </c>
      <c r="M267" s="58">
        <v>0</v>
      </c>
      <c r="N267" s="58">
        <v>15139.55</v>
      </c>
      <c r="O267" s="58">
        <v>13350</v>
      </c>
      <c r="P267" s="58" t="s">
        <v>34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9750</v>
      </c>
      <c r="Z267" s="58">
        <v>9750</v>
      </c>
      <c r="AA267" s="58">
        <v>15143.3</v>
      </c>
      <c r="AE267" s="57"/>
    </row>
    <row r="268" spans="1:31" x14ac:dyDescent="0.35">
      <c r="A268" s="56" t="s">
        <v>333</v>
      </c>
      <c r="B268" s="58">
        <v>13400</v>
      </c>
      <c r="C268" s="58" t="s">
        <v>34</v>
      </c>
      <c r="D268" s="58">
        <v>345</v>
      </c>
      <c r="E268" s="58">
        <v>124</v>
      </c>
      <c r="F268" s="58">
        <v>56.108597285067873</v>
      </c>
      <c r="G268" s="58">
        <v>328</v>
      </c>
      <c r="H268" s="58">
        <v>36.89</v>
      </c>
      <c r="I268" s="58">
        <v>3.1</v>
      </c>
      <c r="J268" s="58">
        <v>-1.3000000000000005</v>
      </c>
      <c r="K268" s="58">
        <v>-29.545454545454547</v>
      </c>
      <c r="L268" s="58">
        <v>40950</v>
      </c>
      <c r="M268" s="58">
        <v>6450</v>
      </c>
      <c r="N268" s="58">
        <v>15143.3</v>
      </c>
      <c r="O268" s="58">
        <v>13400</v>
      </c>
      <c r="P268" s="58" t="s">
        <v>34</v>
      </c>
      <c r="Q268" s="58">
        <v>0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9750</v>
      </c>
      <c r="Z268" s="58">
        <v>9750</v>
      </c>
      <c r="AA268" s="58">
        <v>15143.3</v>
      </c>
      <c r="AE268" s="57"/>
    </row>
    <row r="269" spans="1:31" x14ac:dyDescent="0.35">
      <c r="A269" s="56" t="s">
        <v>334</v>
      </c>
      <c r="B269" s="58">
        <v>13400</v>
      </c>
      <c r="C269" s="58" t="s">
        <v>26</v>
      </c>
      <c r="D269" s="58">
        <v>6430</v>
      </c>
      <c r="E269" s="58">
        <v>-341</v>
      </c>
      <c r="F269" s="58">
        <v>-5.036183724708315</v>
      </c>
      <c r="G269" s="58">
        <v>1814</v>
      </c>
      <c r="H269" s="58">
        <v>33.57</v>
      </c>
      <c r="I269" s="58">
        <v>12.1</v>
      </c>
      <c r="J269" s="58">
        <v>-1.8499999999999996</v>
      </c>
      <c r="K269" s="58">
        <v>-13.261648745519713</v>
      </c>
      <c r="L269" s="58">
        <v>86775</v>
      </c>
      <c r="M269" s="58">
        <v>26925</v>
      </c>
      <c r="N269" s="58">
        <v>15139.55</v>
      </c>
      <c r="O269" s="58">
        <v>13400</v>
      </c>
      <c r="P269" s="58" t="s">
        <v>26</v>
      </c>
      <c r="Q269" s="58">
        <v>57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21825</v>
      </c>
      <c r="Z269" s="58">
        <v>20100</v>
      </c>
      <c r="AA269" s="58">
        <v>15139.55</v>
      </c>
      <c r="AE269" s="57"/>
    </row>
    <row r="270" spans="1:31" x14ac:dyDescent="0.35">
      <c r="A270" s="56" t="s">
        <v>335</v>
      </c>
      <c r="B270" s="58">
        <v>13400</v>
      </c>
      <c r="C270" s="58" t="s">
        <v>2071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1200</v>
      </c>
      <c r="M270" s="58">
        <v>0</v>
      </c>
      <c r="N270" s="58">
        <v>15139.55</v>
      </c>
      <c r="O270" s="58">
        <v>13400</v>
      </c>
      <c r="P270" s="58" t="s">
        <v>2071</v>
      </c>
      <c r="Q270" s="58">
        <v>0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4875</v>
      </c>
      <c r="Z270" s="58">
        <v>4875</v>
      </c>
      <c r="AA270" s="58">
        <v>15143.3</v>
      </c>
      <c r="AE270" s="57"/>
    </row>
    <row r="271" spans="1:31" x14ac:dyDescent="0.35">
      <c r="A271" s="56" t="s">
        <v>336</v>
      </c>
      <c r="B271" s="58">
        <v>13400</v>
      </c>
      <c r="C271" s="58" t="s">
        <v>2073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1500</v>
      </c>
      <c r="M271" s="58">
        <v>0</v>
      </c>
      <c r="N271" s="58">
        <v>15139.55</v>
      </c>
      <c r="O271" s="58">
        <v>13400</v>
      </c>
      <c r="P271" s="58" t="s">
        <v>2073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4875</v>
      </c>
      <c r="Z271" s="58">
        <v>4875</v>
      </c>
      <c r="AA271" s="58">
        <v>15139.55</v>
      </c>
      <c r="AE271" s="57"/>
    </row>
    <row r="272" spans="1:31" x14ac:dyDescent="0.35">
      <c r="A272" s="56" t="s">
        <v>337</v>
      </c>
      <c r="B272" s="58">
        <v>13400</v>
      </c>
      <c r="C272" s="58" t="s">
        <v>2074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300</v>
      </c>
      <c r="M272" s="58">
        <v>0</v>
      </c>
      <c r="N272" s="58">
        <v>15139.55</v>
      </c>
      <c r="O272" s="58">
        <v>13400</v>
      </c>
      <c r="P272" s="58" t="s">
        <v>2074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15143.3</v>
      </c>
      <c r="AE272" s="57"/>
    </row>
    <row r="273" spans="1:31" x14ac:dyDescent="0.35">
      <c r="A273" s="56" t="s">
        <v>338</v>
      </c>
      <c r="B273" s="58">
        <v>13400</v>
      </c>
      <c r="C273" s="58" t="s">
        <v>2068</v>
      </c>
      <c r="D273" s="58">
        <v>1052</v>
      </c>
      <c r="E273" s="58">
        <v>4</v>
      </c>
      <c r="F273" s="58">
        <v>0.38167938931297712</v>
      </c>
      <c r="G273" s="58">
        <v>26</v>
      </c>
      <c r="H273" s="58">
        <v>25.06</v>
      </c>
      <c r="I273" s="58">
        <v>40.950000000000003</v>
      </c>
      <c r="J273" s="58">
        <v>-9.0999999999999943</v>
      </c>
      <c r="K273" s="58">
        <v>-18.181818181818173</v>
      </c>
      <c r="L273" s="58">
        <v>30525</v>
      </c>
      <c r="M273" s="58">
        <v>2325</v>
      </c>
      <c r="N273" s="58">
        <v>15143.3</v>
      </c>
      <c r="O273" s="58">
        <v>13400</v>
      </c>
      <c r="P273" s="58" t="s">
        <v>2068</v>
      </c>
      <c r="Q273" s="58">
        <v>6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13500</v>
      </c>
      <c r="Z273" s="58">
        <v>13500</v>
      </c>
      <c r="AA273" s="58">
        <v>15143.3</v>
      </c>
      <c r="AE273" s="57"/>
    </row>
    <row r="274" spans="1:31" x14ac:dyDescent="0.35">
      <c r="A274" s="56" t="s">
        <v>339</v>
      </c>
      <c r="B274" s="58">
        <v>13400</v>
      </c>
      <c r="C274" s="58" t="s">
        <v>2075</v>
      </c>
      <c r="D274" s="58">
        <v>0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10350</v>
      </c>
      <c r="M274" s="58">
        <v>6225</v>
      </c>
      <c r="N274" s="58">
        <v>15143.3</v>
      </c>
      <c r="O274" s="58">
        <v>13400</v>
      </c>
      <c r="P274" s="58" t="s">
        <v>2075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5400</v>
      </c>
      <c r="Z274" s="58">
        <v>4875</v>
      </c>
      <c r="AA274" s="58">
        <v>15143.3</v>
      </c>
      <c r="AE274" s="57"/>
    </row>
    <row r="275" spans="1:31" x14ac:dyDescent="0.35">
      <c r="A275" s="56" t="s">
        <v>340</v>
      </c>
      <c r="B275" s="58">
        <v>13400</v>
      </c>
      <c r="C275" s="58" t="s">
        <v>33</v>
      </c>
      <c r="D275" s="58">
        <v>1311</v>
      </c>
      <c r="E275" s="58">
        <v>63</v>
      </c>
      <c r="F275" s="58">
        <v>5.0480769230769234</v>
      </c>
      <c r="G275" s="58">
        <v>983</v>
      </c>
      <c r="H275" s="58">
        <v>75.260000000000005</v>
      </c>
      <c r="I275" s="58">
        <v>0.15</v>
      </c>
      <c r="J275" s="58">
        <v>-0.4</v>
      </c>
      <c r="K275" s="58">
        <v>-72.727272727272734</v>
      </c>
      <c r="L275" s="58">
        <v>76575</v>
      </c>
      <c r="M275" s="58">
        <v>70575</v>
      </c>
      <c r="N275" s="58">
        <v>15139.55</v>
      </c>
      <c r="O275" s="58">
        <v>13400</v>
      </c>
      <c r="P275" s="58" t="s">
        <v>33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9750</v>
      </c>
      <c r="Z275" s="58">
        <v>9750</v>
      </c>
      <c r="AA275" s="58">
        <v>15139.55</v>
      </c>
      <c r="AE275" s="57"/>
    </row>
    <row r="276" spans="1:31" x14ac:dyDescent="0.35">
      <c r="A276" s="56" t="s">
        <v>341</v>
      </c>
      <c r="B276" s="58">
        <v>13400</v>
      </c>
      <c r="C276" s="58" t="s">
        <v>64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12525</v>
      </c>
      <c r="M276" s="58">
        <v>0</v>
      </c>
      <c r="N276" s="58">
        <v>15139.55</v>
      </c>
      <c r="O276" s="58">
        <v>13400</v>
      </c>
      <c r="P276" s="58" t="s">
        <v>64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4875</v>
      </c>
      <c r="Z276" s="58">
        <v>4875</v>
      </c>
      <c r="AA276" s="58">
        <v>15139.55</v>
      </c>
      <c r="AE276" s="57"/>
    </row>
    <row r="277" spans="1:31" x14ac:dyDescent="0.35">
      <c r="A277" s="56" t="s">
        <v>342</v>
      </c>
      <c r="B277" s="58">
        <v>13450</v>
      </c>
      <c r="C277" s="58" t="s">
        <v>26</v>
      </c>
      <c r="D277" s="58">
        <v>341</v>
      </c>
      <c r="E277" s="58">
        <v>-2</v>
      </c>
      <c r="F277" s="58">
        <v>-0.58309037900874638</v>
      </c>
      <c r="G277" s="58">
        <v>53</v>
      </c>
      <c r="H277" s="58">
        <v>32.67</v>
      </c>
      <c r="I277" s="58">
        <v>12</v>
      </c>
      <c r="J277" s="58">
        <v>-2.5500000000000007</v>
      </c>
      <c r="K277" s="58">
        <v>-17.525773195876294</v>
      </c>
      <c r="L277" s="58">
        <v>66375</v>
      </c>
      <c r="M277" s="58">
        <v>14625</v>
      </c>
      <c r="N277" s="58">
        <v>15139.55</v>
      </c>
      <c r="O277" s="58">
        <v>13450</v>
      </c>
      <c r="P277" s="58" t="s">
        <v>26</v>
      </c>
      <c r="Q277" s="58">
        <v>1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15300</v>
      </c>
      <c r="Z277" s="58">
        <v>15225</v>
      </c>
      <c r="AA277" s="58">
        <v>15139.55</v>
      </c>
      <c r="AE277" s="57"/>
    </row>
    <row r="278" spans="1:31" x14ac:dyDescent="0.35">
      <c r="A278" s="56" t="s">
        <v>343</v>
      </c>
      <c r="B278" s="58">
        <v>13450</v>
      </c>
      <c r="C278" s="58" t="s">
        <v>33</v>
      </c>
      <c r="D278" s="58">
        <v>31</v>
      </c>
      <c r="E278" s="58">
        <v>-1</v>
      </c>
      <c r="F278" s="58">
        <v>-3.125</v>
      </c>
      <c r="G278" s="58">
        <v>2</v>
      </c>
      <c r="H278" s="58">
        <v>70.8</v>
      </c>
      <c r="I278" s="58">
        <v>0.1</v>
      </c>
      <c r="J278" s="58">
        <v>-0.4</v>
      </c>
      <c r="K278" s="58">
        <v>-80</v>
      </c>
      <c r="L278" s="58">
        <v>4950</v>
      </c>
      <c r="M278" s="58">
        <v>44400</v>
      </c>
      <c r="N278" s="58">
        <v>15139.55</v>
      </c>
      <c r="O278" s="58">
        <v>13450</v>
      </c>
      <c r="P278" s="58" t="s">
        <v>33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9750</v>
      </c>
      <c r="Z278" s="58">
        <v>9750</v>
      </c>
      <c r="AA278" s="58">
        <v>15139.55</v>
      </c>
      <c r="AE278" s="57"/>
    </row>
    <row r="279" spans="1:31" x14ac:dyDescent="0.35">
      <c r="A279" s="56" t="s">
        <v>344</v>
      </c>
      <c r="B279" s="58">
        <v>13450</v>
      </c>
      <c r="C279" s="58" t="s">
        <v>2073</v>
      </c>
      <c r="D279" s="58">
        <v>0</v>
      </c>
      <c r="E279" s="58">
        <v>0</v>
      </c>
      <c r="F279" s="58">
        <v>0</v>
      </c>
      <c r="G279" s="58">
        <v>0</v>
      </c>
      <c r="H279" s="58">
        <v>0</v>
      </c>
      <c r="I279" s="58">
        <v>0</v>
      </c>
      <c r="J279" s="58">
        <v>0</v>
      </c>
      <c r="K279" s="58">
        <v>0</v>
      </c>
      <c r="L279" s="58">
        <v>0</v>
      </c>
      <c r="M279" s="58">
        <v>0</v>
      </c>
      <c r="N279" s="58">
        <v>15143.3</v>
      </c>
      <c r="O279" s="58">
        <v>13450</v>
      </c>
      <c r="P279" s="58" t="s">
        <v>2073</v>
      </c>
      <c r="Q279" s="58">
        <v>0</v>
      </c>
      <c r="R279" s="58">
        <v>0</v>
      </c>
      <c r="S279" s="58">
        <v>0</v>
      </c>
      <c r="T279" s="58">
        <v>0</v>
      </c>
      <c r="U279" s="58">
        <v>0</v>
      </c>
      <c r="V279" s="58">
        <v>0</v>
      </c>
      <c r="W279" s="58">
        <v>0</v>
      </c>
      <c r="X279" s="58">
        <v>0</v>
      </c>
      <c r="Y279" s="58">
        <v>4875</v>
      </c>
      <c r="Z279" s="58">
        <v>4875</v>
      </c>
      <c r="AA279" s="58">
        <v>15143.3</v>
      </c>
      <c r="AE279" s="57"/>
    </row>
    <row r="280" spans="1:31" x14ac:dyDescent="0.35">
      <c r="A280" s="56" t="s">
        <v>345</v>
      </c>
      <c r="B280" s="58">
        <v>13450</v>
      </c>
      <c r="C280" s="58" t="s">
        <v>2074</v>
      </c>
      <c r="D280" s="58">
        <v>0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0</v>
      </c>
      <c r="M280" s="58">
        <v>0</v>
      </c>
      <c r="N280" s="58">
        <v>15139.55</v>
      </c>
      <c r="O280" s="58">
        <v>13450</v>
      </c>
      <c r="P280" s="58" t="s">
        <v>2074</v>
      </c>
      <c r="Q280" s="58">
        <v>0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4875</v>
      </c>
      <c r="Z280" s="58">
        <v>4875</v>
      </c>
      <c r="AA280" s="58">
        <v>15139.55</v>
      </c>
      <c r="AE280" s="57"/>
    </row>
    <row r="281" spans="1:31" x14ac:dyDescent="0.35">
      <c r="A281" s="56" t="s">
        <v>346</v>
      </c>
      <c r="B281" s="58">
        <v>13450</v>
      </c>
      <c r="C281" s="58" t="s">
        <v>2068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8475</v>
      </c>
      <c r="M281" s="58">
        <v>9750</v>
      </c>
      <c r="N281" s="58">
        <v>15139.55</v>
      </c>
      <c r="O281" s="58">
        <v>13450</v>
      </c>
      <c r="P281" s="58" t="s">
        <v>2068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9000</v>
      </c>
      <c r="Z281" s="58">
        <v>8250</v>
      </c>
      <c r="AA281" s="58">
        <v>15143.3</v>
      </c>
      <c r="AE281" s="57"/>
    </row>
    <row r="282" spans="1:31" x14ac:dyDescent="0.35">
      <c r="A282" s="56" t="s">
        <v>347</v>
      </c>
      <c r="B282" s="58">
        <v>13450</v>
      </c>
      <c r="C282" s="58" t="s">
        <v>2076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75</v>
      </c>
      <c r="M282" s="58">
        <v>0</v>
      </c>
      <c r="N282" s="58">
        <v>15139.55</v>
      </c>
      <c r="O282" s="58">
        <v>13450</v>
      </c>
      <c r="P282" s="58" t="s">
        <v>2076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15139.55</v>
      </c>
      <c r="AE282" s="57"/>
    </row>
    <row r="283" spans="1:31" x14ac:dyDescent="0.35">
      <c r="A283" s="56" t="s">
        <v>348</v>
      </c>
      <c r="B283" s="58">
        <v>13450</v>
      </c>
      <c r="C283" s="58" t="s">
        <v>2075</v>
      </c>
      <c r="D283" s="58">
        <v>0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6000</v>
      </c>
      <c r="M283" s="58">
        <v>5025</v>
      </c>
      <c r="N283" s="58">
        <v>15139.55</v>
      </c>
      <c r="O283" s="58">
        <v>13450</v>
      </c>
      <c r="P283" s="58" t="s">
        <v>2075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5400</v>
      </c>
      <c r="Z283" s="58">
        <v>4875</v>
      </c>
      <c r="AA283" s="58">
        <v>15139.55</v>
      </c>
      <c r="AE283" s="57"/>
    </row>
    <row r="284" spans="1:31" x14ac:dyDescent="0.35">
      <c r="A284" s="56" t="s">
        <v>349</v>
      </c>
      <c r="B284" s="58">
        <v>13450</v>
      </c>
      <c r="C284" s="58" t="s">
        <v>64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10200</v>
      </c>
      <c r="M284" s="58">
        <v>4875</v>
      </c>
      <c r="N284" s="58">
        <v>15143.3</v>
      </c>
      <c r="O284" s="58">
        <v>13450</v>
      </c>
      <c r="P284" s="58" t="s">
        <v>64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15139.55</v>
      </c>
      <c r="AE284" s="57"/>
    </row>
    <row r="285" spans="1:31" x14ac:dyDescent="0.35">
      <c r="A285" s="56" t="s">
        <v>350</v>
      </c>
      <c r="B285" s="58">
        <v>13450</v>
      </c>
      <c r="C285" s="58" t="s">
        <v>34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22800</v>
      </c>
      <c r="M285" s="58">
        <v>1050</v>
      </c>
      <c r="N285" s="58">
        <v>15139.55</v>
      </c>
      <c r="O285" s="58">
        <v>13450</v>
      </c>
      <c r="P285" s="58" t="s">
        <v>34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9750</v>
      </c>
      <c r="Z285" s="58">
        <v>9750</v>
      </c>
      <c r="AA285" s="58">
        <v>15143.3</v>
      </c>
      <c r="AE285" s="57"/>
    </row>
    <row r="286" spans="1:31" x14ac:dyDescent="0.35">
      <c r="A286" s="56" t="s">
        <v>351</v>
      </c>
      <c r="B286" s="58">
        <v>0</v>
      </c>
      <c r="C286" s="58">
        <v>0</v>
      </c>
      <c r="D286" s="58">
        <v>0</v>
      </c>
      <c r="E286" s="58">
        <v>0</v>
      </c>
      <c r="F286" s="58">
        <v>0</v>
      </c>
      <c r="G286" s="58">
        <v>0</v>
      </c>
      <c r="H286" s="58">
        <v>0</v>
      </c>
      <c r="I286" s="58">
        <v>0</v>
      </c>
      <c r="J286" s="58">
        <v>0</v>
      </c>
      <c r="K286" s="58">
        <v>0</v>
      </c>
      <c r="L286" s="58">
        <v>0</v>
      </c>
      <c r="M286" s="58">
        <v>0</v>
      </c>
      <c r="N286" s="58">
        <v>0</v>
      </c>
      <c r="O286" s="58">
        <v>13450</v>
      </c>
      <c r="P286" s="58" t="s">
        <v>2071</v>
      </c>
      <c r="Q286" s="58">
        <v>0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4875</v>
      </c>
      <c r="Z286" s="58">
        <v>4875</v>
      </c>
      <c r="AA286" s="58">
        <v>15143.3</v>
      </c>
      <c r="AE286" s="57"/>
    </row>
    <row r="287" spans="1:31" x14ac:dyDescent="0.35">
      <c r="A287" s="56" t="s">
        <v>352</v>
      </c>
      <c r="B287" s="58">
        <v>13500</v>
      </c>
      <c r="C287" s="58" t="s">
        <v>27</v>
      </c>
      <c r="D287" s="58">
        <v>1562</v>
      </c>
      <c r="E287" s="58">
        <v>5</v>
      </c>
      <c r="F287" s="58">
        <v>0.32113037893384716</v>
      </c>
      <c r="G287" s="58">
        <v>47</v>
      </c>
      <c r="H287" s="58">
        <v>26.16</v>
      </c>
      <c r="I287" s="58">
        <v>159.85</v>
      </c>
      <c r="J287" s="58">
        <v>-12</v>
      </c>
      <c r="K287" s="58">
        <v>-6.9828338667442535</v>
      </c>
      <c r="L287" s="58">
        <v>14475</v>
      </c>
      <c r="M287" s="58">
        <v>16875</v>
      </c>
      <c r="N287" s="58">
        <v>15143.3</v>
      </c>
      <c r="O287" s="58">
        <v>13500</v>
      </c>
      <c r="P287" s="58" t="s">
        <v>27</v>
      </c>
      <c r="Q287" s="58">
        <v>172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3150</v>
      </c>
      <c r="Z287" s="58">
        <v>0</v>
      </c>
      <c r="AA287" s="58">
        <v>15139.55</v>
      </c>
      <c r="AE287" s="57"/>
    </row>
    <row r="288" spans="1:31" x14ac:dyDescent="0.35">
      <c r="A288" s="56" t="s">
        <v>353</v>
      </c>
      <c r="B288" s="58">
        <v>13500</v>
      </c>
      <c r="C288" s="58" t="s">
        <v>64</v>
      </c>
      <c r="D288" s="58">
        <v>372</v>
      </c>
      <c r="E288" s="58">
        <v>72</v>
      </c>
      <c r="F288" s="58">
        <v>24</v>
      </c>
      <c r="G288" s="58">
        <v>120</v>
      </c>
      <c r="H288" s="58">
        <v>30.28</v>
      </c>
      <c r="I288" s="58">
        <v>23.5</v>
      </c>
      <c r="J288" s="58">
        <v>-6.1000000000000014</v>
      </c>
      <c r="K288" s="58">
        <v>-20.608108108108112</v>
      </c>
      <c r="L288" s="58">
        <v>26325</v>
      </c>
      <c r="M288" s="58">
        <v>1650</v>
      </c>
      <c r="N288" s="58">
        <v>15139.55</v>
      </c>
      <c r="O288" s="58">
        <v>13500</v>
      </c>
      <c r="P288" s="58" t="s">
        <v>64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4875</v>
      </c>
      <c r="Z288" s="58">
        <v>4875</v>
      </c>
      <c r="AA288" s="58">
        <v>15139.55</v>
      </c>
      <c r="AE288" s="57"/>
    </row>
    <row r="289" spans="1:31" x14ac:dyDescent="0.35">
      <c r="A289" s="56" t="s">
        <v>354</v>
      </c>
      <c r="B289" s="58">
        <v>13500</v>
      </c>
      <c r="C289" s="58" t="s">
        <v>2074</v>
      </c>
      <c r="D289" s="58">
        <v>1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300</v>
      </c>
      <c r="M289" s="58">
        <v>450</v>
      </c>
      <c r="N289" s="58">
        <v>15143.3</v>
      </c>
      <c r="O289" s="58">
        <v>13500</v>
      </c>
      <c r="P289" s="58" t="s">
        <v>2074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15139.55</v>
      </c>
      <c r="AE289" s="57"/>
    </row>
    <row r="290" spans="1:31" x14ac:dyDescent="0.35">
      <c r="A290" s="56" t="s">
        <v>355</v>
      </c>
      <c r="B290" s="58">
        <v>13500</v>
      </c>
      <c r="C290" s="58" t="s">
        <v>2068</v>
      </c>
      <c r="D290" s="58">
        <v>14738</v>
      </c>
      <c r="E290" s="58">
        <v>309</v>
      </c>
      <c r="F290" s="58">
        <v>2.141520548894587</v>
      </c>
      <c r="G290" s="58">
        <v>1883</v>
      </c>
      <c r="H290" s="58">
        <v>24.93</v>
      </c>
      <c r="I290" s="58">
        <v>49.35</v>
      </c>
      <c r="J290" s="58">
        <v>-9.9499999999999957</v>
      </c>
      <c r="K290" s="58">
        <v>-16.779089376053957</v>
      </c>
      <c r="L290" s="58">
        <v>49500</v>
      </c>
      <c r="M290" s="58">
        <v>24075</v>
      </c>
      <c r="N290" s="58">
        <v>15143.3</v>
      </c>
      <c r="O290" s="58">
        <v>13500</v>
      </c>
      <c r="P290" s="58" t="s">
        <v>2068</v>
      </c>
      <c r="Q290" s="58">
        <v>460</v>
      </c>
      <c r="R290" s="58">
        <v>345</v>
      </c>
      <c r="S290" s="58">
        <v>300</v>
      </c>
      <c r="T290" s="58">
        <v>388</v>
      </c>
      <c r="U290" s="58">
        <v>0</v>
      </c>
      <c r="V290" s="58">
        <v>1764.8</v>
      </c>
      <c r="W290" s="58">
        <v>5.75</v>
      </c>
      <c r="X290" s="58">
        <v>0.3268809868963361</v>
      </c>
      <c r="Y290" s="58">
        <v>14175</v>
      </c>
      <c r="Z290" s="58">
        <v>13425</v>
      </c>
      <c r="AA290" s="58">
        <v>15139.55</v>
      </c>
      <c r="AE290" s="57"/>
    </row>
    <row r="291" spans="1:31" x14ac:dyDescent="0.35">
      <c r="A291" s="56" t="s">
        <v>356</v>
      </c>
      <c r="B291" s="58">
        <v>13500</v>
      </c>
      <c r="C291" s="58" t="s">
        <v>2076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75</v>
      </c>
      <c r="M291" s="58">
        <v>4875</v>
      </c>
      <c r="N291" s="58">
        <v>15139.55</v>
      </c>
      <c r="O291" s="58">
        <v>13500</v>
      </c>
      <c r="P291" s="58" t="s">
        <v>2076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15139.55</v>
      </c>
      <c r="AE291" s="57"/>
    </row>
    <row r="292" spans="1:31" x14ac:dyDescent="0.35">
      <c r="A292" s="56" t="s">
        <v>357</v>
      </c>
      <c r="B292" s="58">
        <v>13500</v>
      </c>
      <c r="C292" s="58" t="s">
        <v>2075</v>
      </c>
      <c r="D292" s="58">
        <v>3579</v>
      </c>
      <c r="E292" s="58">
        <v>83</v>
      </c>
      <c r="F292" s="58">
        <v>2.374141876430206</v>
      </c>
      <c r="G292" s="58">
        <v>190</v>
      </c>
      <c r="H292" s="58">
        <v>25.31</v>
      </c>
      <c r="I292" s="58">
        <v>99.95</v>
      </c>
      <c r="J292" s="58">
        <v>-8.75</v>
      </c>
      <c r="K292" s="58">
        <v>-8.0496780128794843</v>
      </c>
      <c r="L292" s="58">
        <v>14550</v>
      </c>
      <c r="M292" s="58">
        <v>6450</v>
      </c>
      <c r="N292" s="58">
        <v>15143.3</v>
      </c>
      <c r="O292" s="58">
        <v>13500</v>
      </c>
      <c r="P292" s="58" t="s">
        <v>2075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10125</v>
      </c>
      <c r="Z292" s="58">
        <v>9975</v>
      </c>
      <c r="AA292" s="58">
        <v>15139.55</v>
      </c>
      <c r="AE292" s="57"/>
    </row>
    <row r="293" spans="1:31" x14ac:dyDescent="0.35">
      <c r="A293" s="56" t="s">
        <v>358</v>
      </c>
      <c r="B293" s="58">
        <v>13500</v>
      </c>
      <c r="C293" s="58" t="s">
        <v>2073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5700</v>
      </c>
      <c r="M293" s="58">
        <v>0</v>
      </c>
      <c r="N293" s="58">
        <v>15143.3</v>
      </c>
      <c r="O293" s="58">
        <v>13500</v>
      </c>
      <c r="P293" s="58" t="s">
        <v>2073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15139.55</v>
      </c>
      <c r="AE293" s="57"/>
    </row>
    <row r="294" spans="1:31" x14ac:dyDescent="0.35">
      <c r="A294" s="56" t="s">
        <v>359</v>
      </c>
      <c r="B294" s="58">
        <v>13500</v>
      </c>
      <c r="C294" s="58" t="s">
        <v>31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975</v>
      </c>
      <c r="N294" s="58">
        <v>15139.55</v>
      </c>
      <c r="O294" s="58">
        <v>13500</v>
      </c>
      <c r="P294" s="58" t="s">
        <v>31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1500</v>
      </c>
      <c r="Z294" s="58">
        <v>0</v>
      </c>
      <c r="AA294" s="58">
        <v>15143.3</v>
      </c>
      <c r="AE294" s="57"/>
    </row>
    <row r="295" spans="1:31" x14ac:dyDescent="0.35">
      <c r="A295" s="56" t="s">
        <v>360</v>
      </c>
      <c r="B295" s="58">
        <v>13500</v>
      </c>
      <c r="C295" s="58" t="s">
        <v>29</v>
      </c>
      <c r="D295" s="58">
        <v>275</v>
      </c>
      <c r="E295" s="58">
        <v>-6</v>
      </c>
      <c r="F295" s="58">
        <v>-2.1352313167259784</v>
      </c>
      <c r="G295" s="58">
        <v>20</v>
      </c>
      <c r="H295" s="58">
        <v>27.95</v>
      </c>
      <c r="I295" s="58">
        <v>430</v>
      </c>
      <c r="J295" s="58">
        <v>-20</v>
      </c>
      <c r="K295" s="58">
        <v>-4.4444444444444446</v>
      </c>
      <c r="L295" s="58">
        <v>525</v>
      </c>
      <c r="M295" s="58">
        <v>3225</v>
      </c>
      <c r="N295" s="58">
        <v>15143.3</v>
      </c>
      <c r="O295" s="58">
        <v>13500</v>
      </c>
      <c r="P295" s="58" t="s">
        <v>29</v>
      </c>
      <c r="Q295" s="58">
        <v>57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2100</v>
      </c>
      <c r="Z295" s="58">
        <v>1200</v>
      </c>
      <c r="AA295" s="58">
        <v>15143.3</v>
      </c>
      <c r="AE295" s="57"/>
    </row>
    <row r="296" spans="1:31" x14ac:dyDescent="0.35">
      <c r="A296" s="56" t="s">
        <v>361</v>
      </c>
      <c r="B296" s="58">
        <v>13500</v>
      </c>
      <c r="C296" s="58" t="s">
        <v>26</v>
      </c>
      <c r="D296" s="58">
        <v>33232</v>
      </c>
      <c r="E296" s="58">
        <v>-936</v>
      </c>
      <c r="F296" s="58">
        <v>-2.7394052915008196</v>
      </c>
      <c r="G296" s="58">
        <v>6477</v>
      </c>
      <c r="H296" s="58">
        <v>32.47</v>
      </c>
      <c r="I296" s="58">
        <v>13.3</v>
      </c>
      <c r="J296" s="58">
        <v>-3</v>
      </c>
      <c r="K296" s="58">
        <v>-18.404907975460123</v>
      </c>
      <c r="L296" s="58">
        <v>112200</v>
      </c>
      <c r="M296" s="58">
        <v>81600</v>
      </c>
      <c r="N296" s="58">
        <v>15143.3</v>
      </c>
      <c r="O296" s="58">
        <v>13500</v>
      </c>
      <c r="P296" s="58" t="s">
        <v>26</v>
      </c>
      <c r="Q296" s="58">
        <v>5109</v>
      </c>
      <c r="R296" s="58">
        <v>-87</v>
      </c>
      <c r="S296" s="58">
        <v>-1.674364896073903</v>
      </c>
      <c r="T296" s="58">
        <v>118</v>
      </c>
      <c r="U296" s="58">
        <v>0</v>
      </c>
      <c r="V296" s="58">
        <v>1672.5</v>
      </c>
      <c r="W296" s="58">
        <v>37.900000000000091</v>
      </c>
      <c r="X296" s="58">
        <v>2.3186100575064295</v>
      </c>
      <c r="Y296" s="58">
        <v>22125</v>
      </c>
      <c r="Z296" s="58">
        <v>22425</v>
      </c>
      <c r="AA296" s="58">
        <v>15139.55</v>
      </c>
      <c r="AE296" s="57"/>
    </row>
    <row r="297" spans="1:31" x14ac:dyDescent="0.35">
      <c r="A297" s="56" t="s">
        <v>362</v>
      </c>
      <c r="B297" s="58">
        <v>13500</v>
      </c>
      <c r="C297" s="58" t="s">
        <v>2071</v>
      </c>
      <c r="D297" s="58">
        <v>0</v>
      </c>
      <c r="E297" s="58">
        <v>0</v>
      </c>
      <c r="F297" s="58">
        <v>0</v>
      </c>
      <c r="G297" s="58">
        <v>0</v>
      </c>
      <c r="H297" s="58">
        <v>0</v>
      </c>
      <c r="I297" s="58">
        <v>0</v>
      </c>
      <c r="J297" s="58">
        <v>0</v>
      </c>
      <c r="K297" s="58">
        <v>0</v>
      </c>
      <c r="L297" s="58">
        <v>5700</v>
      </c>
      <c r="M297" s="58">
        <v>1500</v>
      </c>
      <c r="N297" s="58">
        <v>15143.3</v>
      </c>
      <c r="O297" s="58">
        <v>13500</v>
      </c>
      <c r="P297" s="58" t="s">
        <v>2071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4875</v>
      </c>
      <c r="Z297" s="58">
        <v>4875</v>
      </c>
      <c r="AA297" s="58">
        <v>15139.55</v>
      </c>
      <c r="AE297" s="57"/>
    </row>
    <row r="298" spans="1:31" x14ac:dyDescent="0.35">
      <c r="A298" s="56" t="s">
        <v>363</v>
      </c>
      <c r="B298" s="58">
        <v>13500</v>
      </c>
      <c r="C298" s="58" t="s">
        <v>33</v>
      </c>
      <c r="D298" s="58">
        <v>11908</v>
      </c>
      <c r="E298" s="58">
        <v>-188</v>
      </c>
      <c r="F298" s="58">
        <v>-1.5542328042328042</v>
      </c>
      <c r="G298" s="58">
        <v>10403</v>
      </c>
      <c r="H298" s="58">
        <v>71.02</v>
      </c>
      <c r="I298" s="58">
        <v>0.1</v>
      </c>
      <c r="J298" s="58">
        <v>-0.5</v>
      </c>
      <c r="K298" s="58">
        <v>-83.333333333333343</v>
      </c>
      <c r="L298" s="58">
        <v>950100</v>
      </c>
      <c r="M298" s="58">
        <v>125250</v>
      </c>
      <c r="N298" s="58">
        <v>15139.55</v>
      </c>
      <c r="O298" s="58">
        <v>13500</v>
      </c>
      <c r="P298" s="58" t="s">
        <v>33</v>
      </c>
      <c r="Q298" s="58">
        <v>4</v>
      </c>
      <c r="R298" s="58">
        <v>0</v>
      </c>
      <c r="S298" s="58">
        <v>0</v>
      </c>
      <c r="T298" s="58">
        <v>0</v>
      </c>
      <c r="U298" s="58">
        <v>0</v>
      </c>
      <c r="V298" s="58">
        <v>0</v>
      </c>
      <c r="W298" s="58">
        <v>0</v>
      </c>
      <c r="X298" s="58">
        <v>0</v>
      </c>
      <c r="Y298" s="58">
        <v>10800</v>
      </c>
      <c r="Z298" s="58">
        <v>10725</v>
      </c>
      <c r="AA298" s="58">
        <v>15139.55</v>
      </c>
      <c r="AE298" s="57"/>
    </row>
    <row r="299" spans="1:31" x14ac:dyDescent="0.35">
      <c r="A299" s="56" t="s">
        <v>364</v>
      </c>
      <c r="B299" s="58">
        <v>13500</v>
      </c>
      <c r="C299" s="58" t="s">
        <v>34</v>
      </c>
      <c r="D299" s="58">
        <v>4943</v>
      </c>
      <c r="E299" s="58">
        <v>1582</v>
      </c>
      <c r="F299" s="58">
        <v>47.069324605772088</v>
      </c>
      <c r="G299" s="58">
        <v>5481</v>
      </c>
      <c r="H299" s="58">
        <v>35.39</v>
      </c>
      <c r="I299" s="58">
        <v>3.25</v>
      </c>
      <c r="J299" s="58">
        <v>-1.6500000000000004</v>
      </c>
      <c r="K299" s="58">
        <v>-33.673469387755105</v>
      </c>
      <c r="L299" s="58">
        <v>236175</v>
      </c>
      <c r="M299" s="58">
        <v>30075</v>
      </c>
      <c r="N299" s="58">
        <v>15143.3</v>
      </c>
      <c r="O299" s="58">
        <v>13500</v>
      </c>
      <c r="P299" s="58" t="s">
        <v>34</v>
      </c>
      <c r="Q299" s="58">
        <v>1</v>
      </c>
      <c r="R299" s="58">
        <v>0</v>
      </c>
      <c r="S299" s="58">
        <v>0</v>
      </c>
      <c r="T299" s="58">
        <v>4</v>
      </c>
      <c r="U299" s="58">
        <v>46.52</v>
      </c>
      <c r="V299" s="58">
        <v>1683.85</v>
      </c>
      <c r="W299" s="58">
        <v>183.84999999999991</v>
      </c>
      <c r="X299" s="58">
        <v>12.256666666666661</v>
      </c>
      <c r="Y299" s="58">
        <v>9150</v>
      </c>
      <c r="Z299" s="58">
        <v>9150</v>
      </c>
      <c r="AA299" s="58">
        <v>15139.55</v>
      </c>
      <c r="AE299" s="57"/>
    </row>
    <row r="300" spans="1:31" x14ac:dyDescent="0.35">
      <c r="A300" s="56" t="s">
        <v>365</v>
      </c>
      <c r="B300" s="58">
        <v>13550</v>
      </c>
      <c r="C300" s="58" t="s">
        <v>64</v>
      </c>
      <c r="D300" s="58">
        <v>0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12450</v>
      </c>
      <c r="M300" s="58">
        <v>5100</v>
      </c>
      <c r="N300" s="58">
        <v>15139.55</v>
      </c>
      <c r="O300" s="58">
        <v>13550</v>
      </c>
      <c r="P300" s="58" t="s">
        <v>64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15143.3</v>
      </c>
      <c r="AE300" s="57"/>
    </row>
    <row r="301" spans="1:31" x14ac:dyDescent="0.35">
      <c r="A301" s="56" t="s">
        <v>366</v>
      </c>
      <c r="B301" s="58">
        <v>13550</v>
      </c>
      <c r="C301" s="58" t="s">
        <v>2071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0</v>
      </c>
      <c r="M301" s="58">
        <v>4875</v>
      </c>
      <c r="N301" s="58">
        <v>15139.55</v>
      </c>
      <c r="O301" s="58">
        <v>13550</v>
      </c>
      <c r="P301" s="58" t="s">
        <v>2071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15139.55</v>
      </c>
      <c r="AE301" s="57"/>
    </row>
    <row r="302" spans="1:31" x14ac:dyDescent="0.35">
      <c r="A302" s="56" t="s">
        <v>367</v>
      </c>
      <c r="B302" s="58">
        <v>13550</v>
      </c>
      <c r="C302" s="58" t="s">
        <v>2073</v>
      </c>
      <c r="D302" s="58">
        <v>0</v>
      </c>
      <c r="E302" s="58">
        <v>0</v>
      </c>
      <c r="F302" s="58">
        <v>0</v>
      </c>
      <c r="G302" s="58">
        <v>0</v>
      </c>
      <c r="H302" s="58">
        <v>0</v>
      </c>
      <c r="I302" s="58">
        <v>0</v>
      </c>
      <c r="J302" s="58">
        <v>0</v>
      </c>
      <c r="K302" s="58">
        <v>0</v>
      </c>
      <c r="L302" s="58">
        <v>150</v>
      </c>
      <c r="M302" s="58">
        <v>4875</v>
      </c>
      <c r="N302" s="58">
        <v>15143.3</v>
      </c>
      <c r="O302" s="58">
        <v>13550</v>
      </c>
      <c r="P302" s="58" t="s">
        <v>2073</v>
      </c>
      <c r="Q302" s="58">
        <v>0</v>
      </c>
      <c r="R302" s="58">
        <v>0</v>
      </c>
      <c r="S302" s="58">
        <v>0</v>
      </c>
      <c r="T302" s="58">
        <v>0</v>
      </c>
      <c r="U302" s="58">
        <v>0</v>
      </c>
      <c r="V302" s="58">
        <v>0</v>
      </c>
      <c r="W302" s="58">
        <v>0</v>
      </c>
      <c r="X302" s="58">
        <v>0</v>
      </c>
      <c r="Y302" s="58">
        <v>4875</v>
      </c>
      <c r="Z302" s="58">
        <v>4875</v>
      </c>
      <c r="AA302" s="58">
        <v>15143.3</v>
      </c>
      <c r="AE302" s="57"/>
    </row>
    <row r="303" spans="1:31" x14ac:dyDescent="0.35">
      <c r="A303" s="56" t="s">
        <v>368</v>
      </c>
      <c r="B303" s="58">
        <v>13550</v>
      </c>
      <c r="C303" s="58" t="s">
        <v>33</v>
      </c>
      <c r="D303" s="58">
        <v>124</v>
      </c>
      <c r="E303" s="58">
        <v>11</v>
      </c>
      <c r="F303" s="58">
        <v>9.7345132743362832</v>
      </c>
      <c r="G303" s="58">
        <v>38</v>
      </c>
      <c r="H303" s="58">
        <v>66.69</v>
      </c>
      <c r="I303" s="58">
        <v>0.1</v>
      </c>
      <c r="J303" s="58">
        <v>-0.6</v>
      </c>
      <c r="K303" s="58">
        <v>-85.714285714285722</v>
      </c>
      <c r="L303" s="58">
        <v>60075</v>
      </c>
      <c r="M303" s="58">
        <v>47550</v>
      </c>
      <c r="N303" s="58">
        <v>15139.55</v>
      </c>
      <c r="O303" s="58">
        <v>13550</v>
      </c>
      <c r="P303" s="58" t="s">
        <v>33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14700</v>
      </c>
      <c r="Z303" s="58">
        <v>14700</v>
      </c>
      <c r="AA303" s="58">
        <v>15139.55</v>
      </c>
      <c r="AE303" s="57"/>
    </row>
    <row r="304" spans="1:31" x14ac:dyDescent="0.35">
      <c r="A304" s="56" t="s">
        <v>369</v>
      </c>
      <c r="B304" s="58">
        <v>13550</v>
      </c>
      <c r="C304" s="58" t="s">
        <v>2068</v>
      </c>
      <c r="D304" s="58">
        <v>0</v>
      </c>
      <c r="E304" s="58">
        <v>0</v>
      </c>
      <c r="F304" s="58">
        <v>0</v>
      </c>
      <c r="G304" s="58">
        <v>0</v>
      </c>
      <c r="H304" s="58">
        <v>0</v>
      </c>
      <c r="I304" s="58">
        <v>0</v>
      </c>
      <c r="J304" s="58">
        <v>0</v>
      </c>
      <c r="K304" s="58">
        <v>0</v>
      </c>
      <c r="L304" s="58">
        <v>14475</v>
      </c>
      <c r="M304" s="58">
        <v>10050</v>
      </c>
      <c r="N304" s="58">
        <v>15143.3</v>
      </c>
      <c r="O304" s="58">
        <v>13550</v>
      </c>
      <c r="P304" s="58" t="s">
        <v>2068</v>
      </c>
      <c r="Q304" s="58">
        <v>0</v>
      </c>
      <c r="R304" s="58">
        <v>0</v>
      </c>
      <c r="S304" s="58">
        <v>0</v>
      </c>
      <c r="T304" s="58">
        <v>0</v>
      </c>
      <c r="U304" s="58">
        <v>0</v>
      </c>
      <c r="V304" s="58">
        <v>0</v>
      </c>
      <c r="W304" s="58">
        <v>0</v>
      </c>
      <c r="X304" s="58">
        <v>0</v>
      </c>
      <c r="Y304" s="58">
        <v>9075</v>
      </c>
      <c r="Z304" s="58">
        <v>8250</v>
      </c>
      <c r="AA304" s="58">
        <v>15139.55</v>
      </c>
      <c r="AE304" s="57"/>
    </row>
    <row r="305" spans="1:31" x14ac:dyDescent="0.35">
      <c r="A305" s="56" t="s">
        <v>370</v>
      </c>
      <c r="B305" s="58">
        <v>0</v>
      </c>
      <c r="C305" s="58">
        <v>0</v>
      </c>
      <c r="D305" s="58">
        <v>0</v>
      </c>
      <c r="E305" s="58">
        <v>0</v>
      </c>
      <c r="F305" s="58">
        <v>0</v>
      </c>
      <c r="G305" s="58">
        <v>0</v>
      </c>
      <c r="H305" s="58">
        <v>0</v>
      </c>
      <c r="I305" s="58">
        <v>0</v>
      </c>
      <c r="J305" s="58">
        <v>0</v>
      </c>
      <c r="K305" s="58">
        <v>0</v>
      </c>
      <c r="L305" s="58">
        <v>0</v>
      </c>
      <c r="M305" s="58">
        <v>0</v>
      </c>
      <c r="N305" s="58">
        <v>0</v>
      </c>
      <c r="O305" s="58">
        <v>13550</v>
      </c>
      <c r="P305" s="58" t="s">
        <v>2076</v>
      </c>
      <c r="Q305" s="58">
        <v>0</v>
      </c>
      <c r="R305" s="58">
        <v>0</v>
      </c>
      <c r="S305" s="58">
        <v>0</v>
      </c>
      <c r="T305" s="58">
        <v>0</v>
      </c>
      <c r="U305" s="58">
        <v>0</v>
      </c>
      <c r="V305" s="58">
        <v>0</v>
      </c>
      <c r="W305" s="58">
        <v>0</v>
      </c>
      <c r="X305" s="58">
        <v>0</v>
      </c>
      <c r="Y305" s="58">
        <v>4875</v>
      </c>
      <c r="Z305" s="58">
        <v>4875</v>
      </c>
      <c r="AA305" s="58">
        <v>15139.55</v>
      </c>
      <c r="AE305" s="57"/>
    </row>
    <row r="306" spans="1:31" x14ac:dyDescent="0.35">
      <c r="A306" s="56" t="s">
        <v>371</v>
      </c>
      <c r="B306" s="58">
        <v>13550</v>
      </c>
      <c r="C306" s="58" t="s">
        <v>2075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9000</v>
      </c>
      <c r="M306" s="58">
        <v>9900</v>
      </c>
      <c r="N306" s="58">
        <v>15139.55</v>
      </c>
      <c r="O306" s="58">
        <v>13550</v>
      </c>
      <c r="P306" s="58" t="s">
        <v>2075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5400</v>
      </c>
      <c r="Z306" s="58">
        <v>4875</v>
      </c>
      <c r="AA306" s="58">
        <v>15143.3</v>
      </c>
      <c r="AE306" s="57"/>
    </row>
    <row r="307" spans="1:31" x14ac:dyDescent="0.35">
      <c r="A307" s="56" t="s">
        <v>372</v>
      </c>
      <c r="B307" s="58">
        <v>13550</v>
      </c>
      <c r="C307" s="58" t="s">
        <v>34</v>
      </c>
      <c r="D307" s="58">
        <v>64</v>
      </c>
      <c r="E307" s="58">
        <v>0</v>
      </c>
      <c r="F307" s="58">
        <v>0</v>
      </c>
      <c r="G307" s="58">
        <v>4</v>
      </c>
      <c r="H307" s="58">
        <v>34.409999999999997</v>
      </c>
      <c r="I307" s="58">
        <v>3.4</v>
      </c>
      <c r="J307" s="58">
        <v>-2.85</v>
      </c>
      <c r="K307" s="58">
        <v>-45.6</v>
      </c>
      <c r="L307" s="58">
        <v>44100</v>
      </c>
      <c r="M307" s="58">
        <v>2100</v>
      </c>
      <c r="N307" s="58">
        <v>15143.3</v>
      </c>
      <c r="O307" s="58">
        <v>13550</v>
      </c>
      <c r="P307" s="58" t="s">
        <v>34</v>
      </c>
      <c r="Q307" s="58">
        <v>0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9750</v>
      </c>
      <c r="Z307" s="58">
        <v>9750</v>
      </c>
      <c r="AA307" s="58">
        <v>15139.55</v>
      </c>
      <c r="AE307" s="57"/>
    </row>
    <row r="308" spans="1:31" x14ac:dyDescent="0.35">
      <c r="A308" s="56" t="s">
        <v>373</v>
      </c>
      <c r="B308" s="58">
        <v>13550</v>
      </c>
      <c r="C308" s="58" t="s">
        <v>26</v>
      </c>
      <c r="D308" s="58">
        <v>141</v>
      </c>
      <c r="E308" s="58">
        <v>1</v>
      </c>
      <c r="F308" s="58">
        <v>0.7142857142857143</v>
      </c>
      <c r="G308" s="58">
        <v>215</v>
      </c>
      <c r="H308" s="58">
        <v>31.8</v>
      </c>
      <c r="I308" s="58">
        <v>13.5</v>
      </c>
      <c r="J308" s="58">
        <v>-3.4499999999999993</v>
      </c>
      <c r="K308" s="58">
        <v>-20.353982300884951</v>
      </c>
      <c r="L308" s="58">
        <v>68025</v>
      </c>
      <c r="M308" s="58">
        <v>16875</v>
      </c>
      <c r="N308" s="58">
        <v>15143.3</v>
      </c>
      <c r="O308" s="58">
        <v>13550</v>
      </c>
      <c r="P308" s="58" t="s">
        <v>26</v>
      </c>
      <c r="Q308" s="58">
        <v>2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15900</v>
      </c>
      <c r="Z308" s="58">
        <v>15075</v>
      </c>
      <c r="AA308" s="58">
        <v>15143.3</v>
      </c>
      <c r="AE308" s="57"/>
    </row>
    <row r="309" spans="1:31" x14ac:dyDescent="0.35">
      <c r="A309" s="56" t="s">
        <v>374</v>
      </c>
      <c r="B309" s="58">
        <v>13550</v>
      </c>
      <c r="C309" s="58" t="s">
        <v>2074</v>
      </c>
      <c r="D309" s="58">
        <v>0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0</v>
      </c>
      <c r="M309" s="58">
        <v>0</v>
      </c>
      <c r="N309" s="58">
        <v>15143.3</v>
      </c>
      <c r="O309" s="58">
        <v>13550</v>
      </c>
      <c r="P309" s="58" t="s">
        <v>2074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4875</v>
      </c>
      <c r="Z309" s="58">
        <v>4875</v>
      </c>
      <c r="AA309" s="58">
        <v>15143.3</v>
      </c>
      <c r="AE309" s="57"/>
    </row>
    <row r="310" spans="1:31" x14ac:dyDescent="0.35">
      <c r="A310" s="56" t="s">
        <v>375</v>
      </c>
      <c r="B310" s="58">
        <v>13600</v>
      </c>
      <c r="C310" s="58" t="s">
        <v>26</v>
      </c>
      <c r="D310" s="58">
        <v>6954</v>
      </c>
      <c r="E310" s="58">
        <v>-16</v>
      </c>
      <c r="F310" s="58">
        <v>-0.22955523672883787</v>
      </c>
      <c r="G310" s="58">
        <v>1587</v>
      </c>
      <c r="H310" s="58">
        <v>31.12</v>
      </c>
      <c r="I310" s="58">
        <v>14.1</v>
      </c>
      <c r="J310" s="58">
        <v>-3.7500000000000018</v>
      </c>
      <c r="K310" s="58">
        <v>-21.008403361344545</v>
      </c>
      <c r="L310" s="58">
        <v>94875</v>
      </c>
      <c r="M310" s="58">
        <v>23025</v>
      </c>
      <c r="N310" s="58">
        <v>15139.55</v>
      </c>
      <c r="O310" s="58">
        <v>13600</v>
      </c>
      <c r="P310" s="58" t="s">
        <v>26</v>
      </c>
      <c r="Q310" s="58">
        <v>207</v>
      </c>
      <c r="R310" s="58">
        <v>-5</v>
      </c>
      <c r="S310" s="58">
        <v>-2.358490566037736</v>
      </c>
      <c r="T310" s="58">
        <v>6</v>
      </c>
      <c r="U310" s="58">
        <v>0</v>
      </c>
      <c r="V310" s="58">
        <v>1570</v>
      </c>
      <c r="W310" s="58">
        <v>18</v>
      </c>
      <c r="X310" s="58">
        <v>1.1597938144329898</v>
      </c>
      <c r="Y310" s="58">
        <v>18075</v>
      </c>
      <c r="Z310" s="58">
        <v>20250</v>
      </c>
      <c r="AA310" s="58">
        <v>15139.55</v>
      </c>
      <c r="AE310" s="57"/>
    </row>
    <row r="311" spans="1:31" x14ac:dyDescent="0.35">
      <c r="A311" s="56" t="s">
        <v>376</v>
      </c>
      <c r="B311" s="58">
        <v>13600</v>
      </c>
      <c r="C311" s="58" t="s">
        <v>2071</v>
      </c>
      <c r="D311" s="58">
        <v>0</v>
      </c>
      <c r="E311" s="58">
        <v>0</v>
      </c>
      <c r="F311" s="58">
        <v>0</v>
      </c>
      <c r="G311" s="58">
        <v>0</v>
      </c>
      <c r="H311" s="58">
        <v>0</v>
      </c>
      <c r="I311" s="58">
        <v>0</v>
      </c>
      <c r="J311" s="58">
        <v>0</v>
      </c>
      <c r="K311" s="58">
        <v>0</v>
      </c>
      <c r="L311" s="58">
        <v>1500</v>
      </c>
      <c r="M311" s="58">
        <v>4875</v>
      </c>
      <c r="N311" s="58">
        <v>15139.55</v>
      </c>
      <c r="O311" s="58">
        <v>13600</v>
      </c>
      <c r="P311" s="58" t="s">
        <v>2071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4875</v>
      </c>
      <c r="Z311" s="58">
        <v>4875</v>
      </c>
      <c r="AA311" s="58">
        <v>15143.3</v>
      </c>
      <c r="AE311" s="57"/>
    </row>
    <row r="312" spans="1:31" x14ac:dyDescent="0.35">
      <c r="A312" s="56" t="s">
        <v>377</v>
      </c>
      <c r="B312" s="58">
        <v>13600</v>
      </c>
      <c r="C312" s="58" t="s">
        <v>2073</v>
      </c>
      <c r="D312" s="58">
        <v>0</v>
      </c>
      <c r="E312" s="58">
        <v>0</v>
      </c>
      <c r="F312" s="58">
        <v>0</v>
      </c>
      <c r="G312" s="58">
        <v>0</v>
      </c>
      <c r="H312" s="58">
        <v>0</v>
      </c>
      <c r="I312" s="58">
        <v>0</v>
      </c>
      <c r="J312" s="58">
        <v>0</v>
      </c>
      <c r="K312" s="58">
        <v>0</v>
      </c>
      <c r="L312" s="58">
        <v>1200</v>
      </c>
      <c r="M312" s="58">
        <v>4875</v>
      </c>
      <c r="N312" s="58">
        <v>15139.55</v>
      </c>
      <c r="O312" s="58">
        <v>13600</v>
      </c>
      <c r="P312" s="58" t="s">
        <v>2073</v>
      </c>
      <c r="Q312" s="58">
        <v>0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4875</v>
      </c>
      <c r="Z312" s="58">
        <v>4875</v>
      </c>
      <c r="AA312" s="58">
        <v>15143.3</v>
      </c>
      <c r="AE312" s="57"/>
    </row>
    <row r="313" spans="1:31" x14ac:dyDescent="0.35">
      <c r="A313" s="56" t="s">
        <v>378</v>
      </c>
      <c r="B313" s="58">
        <v>13600</v>
      </c>
      <c r="C313" s="58" t="s">
        <v>2074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300</v>
      </c>
      <c r="M313" s="58">
        <v>4875</v>
      </c>
      <c r="N313" s="58">
        <v>15139.55</v>
      </c>
      <c r="O313" s="58">
        <v>13600</v>
      </c>
      <c r="P313" s="58" t="s">
        <v>2074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15139.55</v>
      </c>
      <c r="AE313" s="57"/>
    </row>
    <row r="314" spans="1:31" x14ac:dyDescent="0.35">
      <c r="A314" s="56" t="s">
        <v>379</v>
      </c>
      <c r="B314" s="58">
        <v>13600</v>
      </c>
      <c r="C314" s="58" t="s">
        <v>64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9750</v>
      </c>
      <c r="M314" s="58">
        <v>5025</v>
      </c>
      <c r="N314" s="58">
        <v>15139.55</v>
      </c>
      <c r="O314" s="58">
        <v>13600</v>
      </c>
      <c r="P314" s="58" t="s">
        <v>64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15143.3</v>
      </c>
      <c r="AE314" s="57"/>
    </row>
    <row r="315" spans="1:31" x14ac:dyDescent="0.35">
      <c r="A315" s="56" t="s">
        <v>380</v>
      </c>
      <c r="B315" s="58">
        <v>0</v>
      </c>
      <c r="C315" s="58">
        <v>0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0</v>
      </c>
      <c r="M315" s="58">
        <v>0</v>
      </c>
      <c r="N315" s="58">
        <v>0</v>
      </c>
      <c r="O315" s="58">
        <v>13600</v>
      </c>
      <c r="P315" s="58" t="s">
        <v>2076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15143.3</v>
      </c>
      <c r="AE315" s="57"/>
    </row>
    <row r="316" spans="1:31" x14ac:dyDescent="0.35">
      <c r="A316" s="56" t="s">
        <v>381</v>
      </c>
      <c r="B316" s="58">
        <v>13600</v>
      </c>
      <c r="C316" s="58" t="s">
        <v>2075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9750</v>
      </c>
      <c r="M316" s="58">
        <v>10050</v>
      </c>
      <c r="N316" s="58">
        <v>15139.55</v>
      </c>
      <c r="O316" s="58">
        <v>13600</v>
      </c>
      <c r="P316" s="58" t="s">
        <v>2075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5400</v>
      </c>
      <c r="Z316" s="58">
        <v>5400</v>
      </c>
      <c r="AA316" s="58">
        <v>15139.55</v>
      </c>
      <c r="AE316" s="57"/>
    </row>
    <row r="317" spans="1:31" x14ac:dyDescent="0.35">
      <c r="A317" s="56" t="s">
        <v>382</v>
      </c>
      <c r="B317" s="58">
        <v>13600</v>
      </c>
      <c r="C317" s="58" t="s">
        <v>34</v>
      </c>
      <c r="D317" s="58">
        <v>745</v>
      </c>
      <c r="E317" s="58">
        <v>96</v>
      </c>
      <c r="F317" s="58">
        <v>14.791987673343606</v>
      </c>
      <c r="G317" s="58">
        <v>700</v>
      </c>
      <c r="H317" s="58">
        <v>34.130000000000003</v>
      </c>
      <c r="I317" s="58">
        <v>3.95</v>
      </c>
      <c r="J317" s="58">
        <v>-1.5499999999999998</v>
      </c>
      <c r="K317" s="58">
        <v>-28.18181818181818</v>
      </c>
      <c r="L317" s="58">
        <v>79950</v>
      </c>
      <c r="M317" s="58">
        <v>12150</v>
      </c>
      <c r="N317" s="58">
        <v>15139.55</v>
      </c>
      <c r="O317" s="58">
        <v>13600</v>
      </c>
      <c r="P317" s="58" t="s">
        <v>34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10425</v>
      </c>
      <c r="Z317" s="58">
        <v>7050</v>
      </c>
      <c r="AA317" s="58">
        <v>15143.3</v>
      </c>
      <c r="AE317" s="57"/>
    </row>
    <row r="318" spans="1:31" x14ac:dyDescent="0.35">
      <c r="A318" s="56" t="s">
        <v>383</v>
      </c>
      <c r="B318" s="58">
        <v>13600</v>
      </c>
      <c r="C318" s="58" t="s">
        <v>33</v>
      </c>
      <c r="D318" s="58">
        <v>2348</v>
      </c>
      <c r="E318" s="58">
        <v>-145</v>
      </c>
      <c r="F318" s="58">
        <v>-5.8162855996791016</v>
      </c>
      <c r="G318" s="58">
        <v>1314</v>
      </c>
      <c r="H318" s="58">
        <v>66.790000000000006</v>
      </c>
      <c r="I318" s="58">
        <v>0.1</v>
      </c>
      <c r="J318" s="58">
        <v>-0.45000000000000007</v>
      </c>
      <c r="K318" s="58">
        <v>-81.818181818181827</v>
      </c>
      <c r="L318" s="58">
        <v>92175</v>
      </c>
      <c r="M318" s="58">
        <v>67425</v>
      </c>
      <c r="N318" s="58">
        <v>15139.55</v>
      </c>
      <c r="O318" s="58">
        <v>13600</v>
      </c>
      <c r="P318" s="58" t="s">
        <v>33</v>
      </c>
      <c r="Q318" s="58">
        <v>3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15600</v>
      </c>
      <c r="Z318" s="58">
        <v>15600</v>
      </c>
      <c r="AA318" s="58">
        <v>15139.55</v>
      </c>
      <c r="AE318" s="57"/>
    </row>
    <row r="319" spans="1:31" x14ac:dyDescent="0.35">
      <c r="A319" s="56" t="s">
        <v>384</v>
      </c>
      <c r="B319" s="58">
        <v>13600</v>
      </c>
      <c r="C319" s="58" t="s">
        <v>2068</v>
      </c>
      <c r="D319" s="58">
        <v>1931</v>
      </c>
      <c r="E319" s="58">
        <v>0</v>
      </c>
      <c r="F319" s="58">
        <v>0</v>
      </c>
      <c r="G319" s="58">
        <v>42</v>
      </c>
      <c r="H319" s="58">
        <v>24.89</v>
      </c>
      <c r="I319" s="58">
        <v>58.4</v>
      </c>
      <c r="J319" s="58">
        <v>-8.3999999999999986</v>
      </c>
      <c r="K319" s="58">
        <v>-12.574850299401197</v>
      </c>
      <c r="L319" s="58">
        <v>25800</v>
      </c>
      <c r="M319" s="58">
        <v>10425</v>
      </c>
      <c r="N319" s="58">
        <v>15143.3</v>
      </c>
      <c r="O319" s="58">
        <v>13600</v>
      </c>
      <c r="P319" s="58" t="s">
        <v>2068</v>
      </c>
      <c r="Q319" s="58">
        <v>3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13500</v>
      </c>
      <c r="Z319" s="58">
        <v>13500</v>
      </c>
      <c r="AA319" s="58">
        <v>15143.3</v>
      </c>
      <c r="AE319" s="57"/>
    </row>
    <row r="320" spans="1:31" x14ac:dyDescent="0.35">
      <c r="A320" s="56" t="s">
        <v>385</v>
      </c>
      <c r="B320" s="58">
        <v>13650</v>
      </c>
      <c r="C320" s="58" t="s">
        <v>26</v>
      </c>
      <c r="D320" s="58">
        <v>86</v>
      </c>
      <c r="E320" s="58">
        <v>-11</v>
      </c>
      <c r="F320" s="58">
        <v>-11.340206185567011</v>
      </c>
      <c r="G320" s="58">
        <v>15</v>
      </c>
      <c r="H320" s="58">
        <v>30.57</v>
      </c>
      <c r="I320" s="58">
        <v>14.95</v>
      </c>
      <c r="J320" s="58">
        <v>-4.1000000000000014</v>
      </c>
      <c r="K320" s="58">
        <v>-21.522309711286098</v>
      </c>
      <c r="L320" s="58">
        <v>65400</v>
      </c>
      <c r="M320" s="58">
        <v>14925</v>
      </c>
      <c r="N320" s="58">
        <v>15139.55</v>
      </c>
      <c r="O320" s="58">
        <v>13650</v>
      </c>
      <c r="P320" s="58" t="s">
        <v>26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15900</v>
      </c>
      <c r="Z320" s="58">
        <v>15600</v>
      </c>
      <c r="AA320" s="58">
        <v>15139.55</v>
      </c>
      <c r="AE320" s="57"/>
    </row>
    <row r="321" spans="1:31" x14ac:dyDescent="0.35">
      <c r="A321" s="56" t="s">
        <v>386</v>
      </c>
      <c r="B321" s="58">
        <v>13650</v>
      </c>
      <c r="C321" s="58" t="s">
        <v>64</v>
      </c>
      <c r="D321" s="58">
        <v>0</v>
      </c>
      <c r="E321" s="58">
        <v>0</v>
      </c>
      <c r="F321" s="58">
        <v>0</v>
      </c>
      <c r="G321" s="58">
        <v>0</v>
      </c>
      <c r="H321" s="58">
        <v>0</v>
      </c>
      <c r="I321" s="58">
        <v>0</v>
      </c>
      <c r="J321" s="58">
        <v>0</v>
      </c>
      <c r="K321" s="58">
        <v>0</v>
      </c>
      <c r="L321" s="58">
        <v>4200</v>
      </c>
      <c r="M321" s="58">
        <v>4875</v>
      </c>
      <c r="N321" s="58">
        <v>15143.3</v>
      </c>
      <c r="O321" s="58">
        <v>13650</v>
      </c>
      <c r="P321" s="58" t="s">
        <v>64</v>
      </c>
      <c r="Q321" s="58">
        <v>0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4875</v>
      </c>
      <c r="Z321" s="58">
        <v>4875</v>
      </c>
      <c r="AA321" s="58">
        <v>15139.55</v>
      </c>
      <c r="AE321" s="57"/>
    </row>
    <row r="322" spans="1:31" x14ac:dyDescent="0.35">
      <c r="A322" s="56" t="s">
        <v>387</v>
      </c>
      <c r="B322" s="58">
        <v>13650</v>
      </c>
      <c r="C322" s="58" t="s">
        <v>2071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0</v>
      </c>
      <c r="M322" s="58">
        <v>4875</v>
      </c>
      <c r="N322" s="58">
        <v>15139.55</v>
      </c>
      <c r="O322" s="58">
        <v>13650</v>
      </c>
      <c r="P322" s="58" t="s">
        <v>2071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15139.55</v>
      </c>
      <c r="AE322" s="57"/>
    </row>
    <row r="323" spans="1:31" x14ac:dyDescent="0.35">
      <c r="A323" s="56" t="s">
        <v>388</v>
      </c>
      <c r="B323" s="58">
        <v>13650</v>
      </c>
      <c r="C323" s="58" t="s">
        <v>33</v>
      </c>
      <c r="D323" s="58">
        <v>134</v>
      </c>
      <c r="E323" s="58">
        <v>10</v>
      </c>
      <c r="F323" s="58">
        <v>8.064516129032258</v>
      </c>
      <c r="G323" s="58">
        <v>158</v>
      </c>
      <c r="H323" s="58">
        <v>69.73</v>
      </c>
      <c r="I323" s="58">
        <v>0.35</v>
      </c>
      <c r="J323" s="58">
        <v>-0.25</v>
      </c>
      <c r="K323" s="58">
        <v>-41.666666666666671</v>
      </c>
      <c r="L323" s="58">
        <v>3000</v>
      </c>
      <c r="M323" s="58">
        <v>61500</v>
      </c>
      <c r="N323" s="58">
        <v>15139.55</v>
      </c>
      <c r="O323" s="58">
        <v>13650</v>
      </c>
      <c r="P323" s="58" t="s">
        <v>33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14700</v>
      </c>
      <c r="Z323" s="58">
        <v>14700</v>
      </c>
      <c r="AA323" s="58">
        <v>15139.55</v>
      </c>
      <c r="AE323" s="57"/>
    </row>
    <row r="324" spans="1:31" x14ac:dyDescent="0.35">
      <c r="A324" s="56" t="s">
        <v>389</v>
      </c>
      <c r="B324" s="58">
        <v>13650</v>
      </c>
      <c r="C324" s="58" t="s">
        <v>2074</v>
      </c>
      <c r="D324" s="58">
        <v>0</v>
      </c>
      <c r="E324" s="58">
        <v>0</v>
      </c>
      <c r="F324" s="58">
        <v>0</v>
      </c>
      <c r="G324" s="58">
        <v>0</v>
      </c>
      <c r="H324" s="58">
        <v>0</v>
      </c>
      <c r="I324" s="58">
        <v>0</v>
      </c>
      <c r="J324" s="58">
        <v>0</v>
      </c>
      <c r="K324" s="58">
        <v>0</v>
      </c>
      <c r="L324" s="58">
        <v>0</v>
      </c>
      <c r="M324" s="58">
        <v>4875</v>
      </c>
      <c r="N324" s="58">
        <v>15143.3</v>
      </c>
      <c r="O324" s="58">
        <v>13650</v>
      </c>
      <c r="P324" s="58" t="s">
        <v>2074</v>
      </c>
      <c r="Q324" s="58">
        <v>0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4875</v>
      </c>
      <c r="Z324" s="58">
        <v>4875</v>
      </c>
      <c r="AA324" s="58">
        <v>15139.55</v>
      </c>
      <c r="AE324" s="57"/>
    </row>
    <row r="325" spans="1:31" x14ac:dyDescent="0.35">
      <c r="A325" s="56" t="s">
        <v>390</v>
      </c>
      <c r="B325" s="58">
        <v>13650</v>
      </c>
      <c r="C325" s="58" t="s">
        <v>2068</v>
      </c>
      <c r="D325" s="58">
        <v>1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13950</v>
      </c>
      <c r="M325" s="58">
        <v>9825</v>
      </c>
      <c r="N325" s="58">
        <v>15139.55</v>
      </c>
      <c r="O325" s="58">
        <v>13650</v>
      </c>
      <c r="P325" s="58" t="s">
        <v>2068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9000</v>
      </c>
      <c r="Z325" s="58">
        <v>8250</v>
      </c>
      <c r="AA325" s="58">
        <v>15139.55</v>
      </c>
      <c r="AE325" s="57"/>
    </row>
    <row r="326" spans="1:31" x14ac:dyDescent="0.35">
      <c r="A326" s="56" t="s">
        <v>391</v>
      </c>
      <c r="B326" s="58">
        <v>13650</v>
      </c>
      <c r="C326" s="58" t="s">
        <v>2076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0</v>
      </c>
      <c r="M326" s="58">
        <v>0</v>
      </c>
      <c r="N326" s="58">
        <v>15143.3</v>
      </c>
      <c r="O326" s="58">
        <v>13650</v>
      </c>
      <c r="P326" s="58" t="s">
        <v>2076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4875</v>
      </c>
      <c r="Z326" s="58">
        <v>4875</v>
      </c>
      <c r="AA326" s="58">
        <v>15139.55</v>
      </c>
      <c r="AE326" s="57"/>
    </row>
    <row r="327" spans="1:31" x14ac:dyDescent="0.35">
      <c r="A327" s="56" t="s">
        <v>392</v>
      </c>
      <c r="B327" s="58">
        <v>13650</v>
      </c>
      <c r="C327" s="58" t="s">
        <v>2075</v>
      </c>
      <c r="D327" s="58">
        <v>0</v>
      </c>
      <c r="E327" s="58">
        <v>0</v>
      </c>
      <c r="F327" s="58">
        <v>0</v>
      </c>
      <c r="G327" s="58">
        <v>0</v>
      </c>
      <c r="H327" s="58">
        <v>0</v>
      </c>
      <c r="I327" s="58">
        <v>0</v>
      </c>
      <c r="J327" s="58">
        <v>0</v>
      </c>
      <c r="K327" s="58">
        <v>0</v>
      </c>
      <c r="L327" s="58">
        <v>6000</v>
      </c>
      <c r="M327" s="58">
        <v>9900</v>
      </c>
      <c r="N327" s="58">
        <v>15139.55</v>
      </c>
      <c r="O327" s="58">
        <v>13650</v>
      </c>
      <c r="P327" s="58" t="s">
        <v>2075</v>
      </c>
      <c r="Q327" s="58">
        <v>0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5400</v>
      </c>
      <c r="Z327" s="58">
        <v>4875</v>
      </c>
      <c r="AA327" s="58">
        <v>15139.55</v>
      </c>
      <c r="AE327" s="57"/>
    </row>
    <row r="328" spans="1:31" x14ac:dyDescent="0.35">
      <c r="A328" s="56" t="s">
        <v>393</v>
      </c>
      <c r="B328" s="58">
        <v>13650</v>
      </c>
      <c r="C328" s="58" t="s">
        <v>34</v>
      </c>
      <c r="D328" s="58">
        <v>30</v>
      </c>
      <c r="E328" s="58">
        <v>1</v>
      </c>
      <c r="F328" s="58">
        <v>3.4482758620689653</v>
      </c>
      <c r="G328" s="58">
        <v>2</v>
      </c>
      <c r="H328" s="58">
        <v>34.19</v>
      </c>
      <c r="I328" s="58">
        <v>4.9000000000000004</v>
      </c>
      <c r="J328" s="58">
        <v>-1.0499999999999998</v>
      </c>
      <c r="K328" s="58">
        <v>-17.647058823529406</v>
      </c>
      <c r="L328" s="58">
        <v>41025</v>
      </c>
      <c r="M328" s="58">
        <v>10500</v>
      </c>
      <c r="N328" s="58">
        <v>15139.55</v>
      </c>
      <c r="O328" s="58">
        <v>13650</v>
      </c>
      <c r="P328" s="58" t="s">
        <v>34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9750</v>
      </c>
      <c r="Z328" s="58">
        <v>9750</v>
      </c>
      <c r="AA328" s="58">
        <v>15139.55</v>
      </c>
      <c r="AE328" s="57"/>
    </row>
    <row r="329" spans="1:31" x14ac:dyDescent="0.35">
      <c r="A329" s="56" t="s">
        <v>394</v>
      </c>
      <c r="B329" s="58">
        <v>13650</v>
      </c>
      <c r="C329" s="58" t="s">
        <v>2073</v>
      </c>
      <c r="D329" s="58">
        <v>0</v>
      </c>
      <c r="E329" s="58">
        <v>0</v>
      </c>
      <c r="F329" s="58">
        <v>0</v>
      </c>
      <c r="G329" s="58">
        <v>0</v>
      </c>
      <c r="H329" s="58">
        <v>0</v>
      </c>
      <c r="I329" s="58">
        <v>0</v>
      </c>
      <c r="J329" s="58">
        <v>0</v>
      </c>
      <c r="K329" s="58">
        <v>0</v>
      </c>
      <c r="L329" s="58">
        <v>0</v>
      </c>
      <c r="M329" s="58">
        <v>4875</v>
      </c>
      <c r="N329" s="58">
        <v>15139.55</v>
      </c>
      <c r="O329" s="58">
        <v>13650</v>
      </c>
      <c r="P329" s="58" t="s">
        <v>2073</v>
      </c>
      <c r="Q329" s="58">
        <v>0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4875</v>
      </c>
      <c r="Z329" s="58">
        <v>4875</v>
      </c>
      <c r="AA329" s="58">
        <v>15139.55</v>
      </c>
      <c r="AE329" s="57"/>
    </row>
    <row r="330" spans="1:31" x14ac:dyDescent="0.35">
      <c r="A330" s="56" t="s">
        <v>395</v>
      </c>
      <c r="B330" s="58">
        <v>13700</v>
      </c>
      <c r="C330" s="58" t="s">
        <v>34</v>
      </c>
      <c r="D330" s="58">
        <v>1765</v>
      </c>
      <c r="E330" s="58">
        <v>283</v>
      </c>
      <c r="F330" s="58">
        <v>19.095816464237515</v>
      </c>
      <c r="G330" s="58">
        <v>3386</v>
      </c>
      <c r="H330" s="58">
        <v>32.75</v>
      </c>
      <c r="I330" s="58">
        <v>4.55</v>
      </c>
      <c r="J330" s="58">
        <v>-1.95</v>
      </c>
      <c r="K330" s="58">
        <v>-30.000000000000004</v>
      </c>
      <c r="L330" s="58">
        <v>76350</v>
      </c>
      <c r="M330" s="58">
        <v>12450</v>
      </c>
      <c r="N330" s="58">
        <v>15143.3</v>
      </c>
      <c r="O330" s="58">
        <v>13700</v>
      </c>
      <c r="P330" s="58" t="s">
        <v>34</v>
      </c>
      <c r="Q330" s="58">
        <v>1</v>
      </c>
      <c r="R330" s="58">
        <v>1</v>
      </c>
      <c r="S330" s="58">
        <v>0</v>
      </c>
      <c r="T330" s="58">
        <v>2</v>
      </c>
      <c r="U330" s="58">
        <v>0</v>
      </c>
      <c r="V330" s="58">
        <v>1445</v>
      </c>
      <c r="W330" s="58">
        <v>171.54999999999995</v>
      </c>
      <c r="X330" s="58">
        <v>13.471278809533157</v>
      </c>
      <c r="Y330" s="58">
        <v>7050</v>
      </c>
      <c r="Z330" s="58">
        <v>7050</v>
      </c>
      <c r="AA330" s="58">
        <v>15139.55</v>
      </c>
      <c r="AE330" s="57"/>
    </row>
    <row r="331" spans="1:31" x14ac:dyDescent="0.35">
      <c r="A331" s="56" t="s">
        <v>396</v>
      </c>
      <c r="B331" s="58">
        <v>13700</v>
      </c>
      <c r="C331" s="58" t="s">
        <v>64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9300</v>
      </c>
      <c r="M331" s="58">
        <v>5025</v>
      </c>
      <c r="N331" s="58">
        <v>15139.55</v>
      </c>
      <c r="O331" s="58">
        <v>13700</v>
      </c>
      <c r="P331" s="58" t="s">
        <v>64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15143.3</v>
      </c>
      <c r="AE331" s="57"/>
    </row>
    <row r="332" spans="1:31" x14ac:dyDescent="0.35">
      <c r="A332" s="56" t="s">
        <v>397</v>
      </c>
      <c r="B332" s="58">
        <v>13700</v>
      </c>
      <c r="C332" s="58" t="s">
        <v>2071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900</v>
      </c>
      <c r="M332" s="58">
        <v>4875</v>
      </c>
      <c r="N332" s="58">
        <v>15139.55</v>
      </c>
      <c r="O332" s="58">
        <v>13700</v>
      </c>
      <c r="P332" s="58" t="s">
        <v>2071</v>
      </c>
      <c r="Q332" s="58">
        <v>0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4875</v>
      </c>
      <c r="Z332" s="58">
        <v>4875</v>
      </c>
      <c r="AA332" s="58">
        <v>15143.3</v>
      </c>
      <c r="AE332" s="57"/>
    </row>
    <row r="333" spans="1:31" x14ac:dyDescent="0.35">
      <c r="A333" s="56" t="s">
        <v>398</v>
      </c>
      <c r="B333" s="58">
        <v>13700</v>
      </c>
      <c r="C333" s="58" t="s">
        <v>2073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1200</v>
      </c>
      <c r="M333" s="58">
        <v>4875</v>
      </c>
      <c r="N333" s="58">
        <v>15143.3</v>
      </c>
      <c r="O333" s="58">
        <v>13700</v>
      </c>
      <c r="P333" s="58" t="s">
        <v>2073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15139.55</v>
      </c>
      <c r="AE333" s="57"/>
    </row>
    <row r="334" spans="1:31" x14ac:dyDescent="0.35">
      <c r="A334" s="56" t="s">
        <v>399</v>
      </c>
      <c r="B334" s="58">
        <v>13700</v>
      </c>
      <c r="C334" s="58" t="s">
        <v>2074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300</v>
      </c>
      <c r="M334" s="58">
        <v>4875</v>
      </c>
      <c r="N334" s="58">
        <v>15143.3</v>
      </c>
      <c r="O334" s="58">
        <v>13700</v>
      </c>
      <c r="P334" s="58" t="s">
        <v>2074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4875</v>
      </c>
      <c r="Z334" s="58">
        <v>4875</v>
      </c>
      <c r="AA334" s="58">
        <v>15139.55</v>
      </c>
      <c r="AE334" s="57"/>
    </row>
    <row r="335" spans="1:31" x14ac:dyDescent="0.35">
      <c r="A335" s="56" t="s">
        <v>400</v>
      </c>
      <c r="B335" s="58">
        <v>13700</v>
      </c>
      <c r="C335" s="58" t="s">
        <v>2068</v>
      </c>
      <c r="D335" s="58">
        <v>3497</v>
      </c>
      <c r="E335" s="58">
        <v>106</v>
      </c>
      <c r="F335" s="58">
        <v>3.1259215570628132</v>
      </c>
      <c r="G335" s="58">
        <v>457</v>
      </c>
      <c r="H335" s="58">
        <v>24.5</v>
      </c>
      <c r="I335" s="58">
        <v>63.7</v>
      </c>
      <c r="J335" s="58">
        <v>-10.950000000000005</v>
      </c>
      <c r="K335" s="58">
        <v>-14.668452779638312</v>
      </c>
      <c r="L335" s="58">
        <v>26625</v>
      </c>
      <c r="M335" s="58">
        <v>17625</v>
      </c>
      <c r="N335" s="58">
        <v>15139.55</v>
      </c>
      <c r="O335" s="58">
        <v>13700</v>
      </c>
      <c r="P335" s="58" t="s">
        <v>2068</v>
      </c>
      <c r="Q335" s="58">
        <v>1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13500</v>
      </c>
      <c r="Z335" s="58">
        <v>13500</v>
      </c>
      <c r="AA335" s="58">
        <v>15139.55</v>
      </c>
      <c r="AE335" s="57"/>
    </row>
    <row r="336" spans="1:31" x14ac:dyDescent="0.35">
      <c r="A336" s="56" t="s">
        <v>401</v>
      </c>
      <c r="B336" s="58">
        <v>13700</v>
      </c>
      <c r="C336" s="58" t="s">
        <v>2076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0</v>
      </c>
      <c r="M336" s="58">
        <v>4875</v>
      </c>
      <c r="N336" s="58">
        <v>15139.55</v>
      </c>
      <c r="O336" s="58">
        <v>13700</v>
      </c>
      <c r="P336" s="58" t="s">
        <v>2076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4875</v>
      </c>
      <c r="Z336" s="58">
        <v>4875</v>
      </c>
      <c r="AA336" s="58">
        <v>15139.55</v>
      </c>
      <c r="AE336" s="57"/>
    </row>
    <row r="337" spans="1:31" x14ac:dyDescent="0.35">
      <c r="A337" s="56" t="s">
        <v>402</v>
      </c>
      <c r="B337" s="58">
        <v>13700</v>
      </c>
      <c r="C337" s="58" t="s">
        <v>2075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4125</v>
      </c>
      <c r="M337" s="58">
        <v>10125</v>
      </c>
      <c r="N337" s="58">
        <v>15139.55</v>
      </c>
      <c r="O337" s="58">
        <v>13700</v>
      </c>
      <c r="P337" s="58" t="s">
        <v>2075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5400</v>
      </c>
      <c r="Z337" s="58">
        <v>4875</v>
      </c>
      <c r="AA337" s="58">
        <v>15139.55</v>
      </c>
      <c r="AE337" s="57"/>
    </row>
    <row r="338" spans="1:31" x14ac:dyDescent="0.35">
      <c r="A338" s="56" t="s">
        <v>403</v>
      </c>
      <c r="B338" s="58">
        <v>13700</v>
      </c>
      <c r="C338" s="58" t="s">
        <v>33</v>
      </c>
      <c r="D338" s="58">
        <v>3276</v>
      </c>
      <c r="E338" s="58">
        <v>-180</v>
      </c>
      <c r="F338" s="58">
        <v>-5.208333333333333</v>
      </c>
      <c r="G338" s="58">
        <v>1403</v>
      </c>
      <c r="H338" s="58">
        <v>64.14</v>
      </c>
      <c r="I338" s="58">
        <v>0.2</v>
      </c>
      <c r="J338" s="58">
        <v>-0.45</v>
      </c>
      <c r="K338" s="58">
        <v>-69.230769230769226</v>
      </c>
      <c r="L338" s="58">
        <v>106125</v>
      </c>
      <c r="M338" s="58">
        <v>86550</v>
      </c>
      <c r="N338" s="58">
        <v>15139.55</v>
      </c>
      <c r="O338" s="58">
        <v>13700</v>
      </c>
      <c r="P338" s="58" t="s">
        <v>33</v>
      </c>
      <c r="Q338" s="58">
        <v>6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15375</v>
      </c>
      <c r="Z338" s="58">
        <v>15750</v>
      </c>
      <c r="AA338" s="58">
        <v>15139.55</v>
      </c>
      <c r="AE338" s="57"/>
    </row>
    <row r="339" spans="1:31" x14ac:dyDescent="0.35">
      <c r="A339" s="56" t="s">
        <v>404</v>
      </c>
      <c r="B339" s="58">
        <v>13700</v>
      </c>
      <c r="C339" s="58" t="s">
        <v>26</v>
      </c>
      <c r="D339" s="58">
        <v>8394</v>
      </c>
      <c r="E339" s="58">
        <v>-1296</v>
      </c>
      <c r="F339" s="58">
        <v>-13.374613003095975</v>
      </c>
      <c r="G339" s="58">
        <v>2810</v>
      </c>
      <c r="H339" s="58">
        <v>30.05</v>
      </c>
      <c r="I339" s="58">
        <v>15.75</v>
      </c>
      <c r="J339" s="58">
        <v>-4.6999999999999993</v>
      </c>
      <c r="K339" s="58">
        <v>-22.982885085574569</v>
      </c>
      <c r="L339" s="58">
        <v>93750</v>
      </c>
      <c r="M339" s="58">
        <v>29625</v>
      </c>
      <c r="N339" s="58">
        <v>15143.3</v>
      </c>
      <c r="O339" s="58">
        <v>13700</v>
      </c>
      <c r="P339" s="58" t="s">
        <v>26</v>
      </c>
      <c r="Q339" s="58">
        <v>287</v>
      </c>
      <c r="R339" s="58">
        <v>0</v>
      </c>
      <c r="S339" s="58">
        <v>0</v>
      </c>
      <c r="T339" s="58">
        <v>2</v>
      </c>
      <c r="U339" s="58">
        <v>0</v>
      </c>
      <c r="V339" s="58">
        <v>1478</v>
      </c>
      <c r="W339" s="58">
        <v>108.84999999999992</v>
      </c>
      <c r="X339" s="58">
        <v>7.9501880728919323</v>
      </c>
      <c r="Y339" s="58">
        <v>18375</v>
      </c>
      <c r="Z339" s="58">
        <v>21750</v>
      </c>
      <c r="AA339" s="58">
        <v>15139.55</v>
      </c>
      <c r="AE339" s="57"/>
    </row>
    <row r="340" spans="1:31" x14ac:dyDescent="0.35">
      <c r="A340" s="56" t="s">
        <v>405</v>
      </c>
      <c r="B340" s="58">
        <v>13750</v>
      </c>
      <c r="C340" s="58" t="s">
        <v>26</v>
      </c>
      <c r="D340" s="58">
        <v>301</v>
      </c>
      <c r="E340" s="58">
        <v>-42</v>
      </c>
      <c r="F340" s="58">
        <v>-12.244897959183673</v>
      </c>
      <c r="G340" s="58">
        <v>650</v>
      </c>
      <c r="H340" s="58">
        <v>29.75</v>
      </c>
      <c r="I340" s="58">
        <v>17.2</v>
      </c>
      <c r="J340" s="58">
        <v>-4.9499999999999993</v>
      </c>
      <c r="K340" s="58">
        <v>-22.34762979683973</v>
      </c>
      <c r="L340" s="58">
        <v>67125</v>
      </c>
      <c r="M340" s="58">
        <v>21225</v>
      </c>
      <c r="N340" s="58">
        <v>15139.55</v>
      </c>
      <c r="O340" s="58">
        <v>13750</v>
      </c>
      <c r="P340" s="58" t="s">
        <v>26</v>
      </c>
      <c r="Q340" s="58">
        <v>5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15975</v>
      </c>
      <c r="Z340" s="58">
        <v>15675</v>
      </c>
      <c r="AA340" s="58">
        <v>15143.3</v>
      </c>
      <c r="AE340" s="57"/>
    </row>
    <row r="341" spans="1:31" x14ac:dyDescent="0.35">
      <c r="A341" s="56" t="s">
        <v>406</v>
      </c>
      <c r="B341" s="58">
        <v>13750</v>
      </c>
      <c r="C341" s="58" t="s">
        <v>2071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4875</v>
      </c>
      <c r="N341" s="58">
        <v>15139.55</v>
      </c>
      <c r="O341" s="58">
        <v>13750</v>
      </c>
      <c r="P341" s="58" t="s">
        <v>2071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15139.55</v>
      </c>
      <c r="AE341" s="57"/>
    </row>
    <row r="342" spans="1:31" x14ac:dyDescent="0.35">
      <c r="A342" s="56" t="s">
        <v>407</v>
      </c>
      <c r="B342" s="58">
        <v>13750</v>
      </c>
      <c r="C342" s="58" t="s">
        <v>2073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0</v>
      </c>
      <c r="M342" s="58">
        <v>4875</v>
      </c>
      <c r="N342" s="58">
        <v>15143.3</v>
      </c>
      <c r="O342" s="58">
        <v>13750</v>
      </c>
      <c r="P342" s="58" t="s">
        <v>2073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4875</v>
      </c>
      <c r="Z342" s="58">
        <v>4875</v>
      </c>
      <c r="AA342" s="58">
        <v>15143.3</v>
      </c>
      <c r="AE342" s="57"/>
    </row>
    <row r="343" spans="1:31" x14ac:dyDescent="0.35">
      <c r="A343" s="56" t="s">
        <v>408</v>
      </c>
      <c r="B343" s="58">
        <v>13750</v>
      </c>
      <c r="C343" s="58" t="s">
        <v>2074</v>
      </c>
      <c r="D343" s="58">
        <v>0</v>
      </c>
      <c r="E343" s="58">
        <v>0</v>
      </c>
      <c r="F343" s="58">
        <v>0</v>
      </c>
      <c r="G343" s="58">
        <v>0</v>
      </c>
      <c r="H343" s="58">
        <v>0</v>
      </c>
      <c r="I343" s="58">
        <v>0</v>
      </c>
      <c r="J343" s="58">
        <v>0</v>
      </c>
      <c r="K343" s="58">
        <v>0</v>
      </c>
      <c r="L343" s="58">
        <v>0</v>
      </c>
      <c r="M343" s="58">
        <v>4875</v>
      </c>
      <c r="N343" s="58">
        <v>15139.55</v>
      </c>
      <c r="O343" s="58">
        <v>13750</v>
      </c>
      <c r="P343" s="58" t="s">
        <v>2074</v>
      </c>
      <c r="Q343" s="58">
        <v>0</v>
      </c>
      <c r="R343" s="58">
        <v>0</v>
      </c>
      <c r="S343" s="58">
        <v>0</v>
      </c>
      <c r="T343" s="58">
        <v>0</v>
      </c>
      <c r="U343" s="58">
        <v>0</v>
      </c>
      <c r="V343" s="58">
        <v>0</v>
      </c>
      <c r="W343" s="58">
        <v>0</v>
      </c>
      <c r="X343" s="58">
        <v>0</v>
      </c>
      <c r="Y343" s="58">
        <v>4875</v>
      </c>
      <c r="Z343" s="58">
        <v>4875</v>
      </c>
      <c r="AA343" s="58">
        <v>15143.3</v>
      </c>
      <c r="AE343" s="57"/>
    </row>
    <row r="344" spans="1:31" x14ac:dyDescent="0.35">
      <c r="A344" s="56" t="s">
        <v>409</v>
      </c>
      <c r="B344" s="58">
        <v>13750</v>
      </c>
      <c r="C344" s="58" t="s">
        <v>2068</v>
      </c>
      <c r="D344" s="58">
        <v>41</v>
      </c>
      <c r="E344" s="58">
        <v>0</v>
      </c>
      <c r="F344" s="58">
        <v>0</v>
      </c>
      <c r="G344" s="58">
        <v>1</v>
      </c>
      <c r="H344" s="58">
        <v>24.62</v>
      </c>
      <c r="I344" s="58">
        <v>72.55</v>
      </c>
      <c r="J344" s="58">
        <v>-2.5499999999999972</v>
      </c>
      <c r="K344" s="58">
        <v>-3.3954727030625795</v>
      </c>
      <c r="L344" s="58">
        <v>21000</v>
      </c>
      <c r="M344" s="58">
        <v>5250</v>
      </c>
      <c r="N344" s="58">
        <v>15139.55</v>
      </c>
      <c r="O344" s="58">
        <v>13750</v>
      </c>
      <c r="P344" s="58" t="s">
        <v>2068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9075</v>
      </c>
      <c r="Z344" s="58">
        <v>8250</v>
      </c>
      <c r="AA344" s="58">
        <v>15139.55</v>
      </c>
      <c r="AE344" s="57"/>
    </row>
    <row r="345" spans="1:31" x14ac:dyDescent="0.35">
      <c r="A345" s="56" t="s">
        <v>410</v>
      </c>
      <c r="B345" s="58">
        <v>13750</v>
      </c>
      <c r="C345" s="58" t="s">
        <v>2076</v>
      </c>
      <c r="D345" s="58">
        <v>0</v>
      </c>
      <c r="E345" s="58">
        <v>0</v>
      </c>
      <c r="F345" s="58">
        <v>0</v>
      </c>
      <c r="G345" s="58">
        <v>0</v>
      </c>
      <c r="H345" s="58">
        <v>0</v>
      </c>
      <c r="I345" s="58">
        <v>0</v>
      </c>
      <c r="J345" s="58">
        <v>0</v>
      </c>
      <c r="K345" s="58">
        <v>0</v>
      </c>
      <c r="L345" s="58">
        <v>0</v>
      </c>
      <c r="M345" s="58">
        <v>0</v>
      </c>
      <c r="N345" s="58">
        <v>15139.55</v>
      </c>
      <c r="O345" s="58">
        <v>13750</v>
      </c>
      <c r="P345" s="58" t="s">
        <v>2076</v>
      </c>
      <c r="Q345" s="58">
        <v>0</v>
      </c>
      <c r="R345" s="58">
        <v>0</v>
      </c>
      <c r="S345" s="58">
        <v>0</v>
      </c>
      <c r="T345" s="58">
        <v>0</v>
      </c>
      <c r="U345" s="58">
        <v>0</v>
      </c>
      <c r="V345" s="58">
        <v>0</v>
      </c>
      <c r="W345" s="58">
        <v>0</v>
      </c>
      <c r="X345" s="58">
        <v>0</v>
      </c>
      <c r="Y345" s="58">
        <v>4875</v>
      </c>
      <c r="Z345" s="58">
        <v>4875</v>
      </c>
      <c r="AA345" s="58">
        <v>15139.55</v>
      </c>
      <c r="AE345" s="57"/>
    </row>
    <row r="346" spans="1:31" x14ac:dyDescent="0.35">
      <c r="A346" s="56" t="s">
        <v>411</v>
      </c>
      <c r="B346" s="58">
        <v>13750</v>
      </c>
      <c r="C346" s="58" t="s">
        <v>2075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4200</v>
      </c>
      <c r="M346" s="58">
        <v>9750</v>
      </c>
      <c r="N346" s="58">
        <v>15143.3</v>
      </c>
      <c r="O346" s="58">
        <v>13750</v>
      </c>
      <c r="P346" s="58" t="s">
        <v>2075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5400</v>
      </c>
      <c r="Z346" s="58">
        <v>4875</v>
      </c>
      <c r="AA346" s="58">
        <v>15139.55</v>
      </c>
      <c r="AE346" s="57"/>
    </row>
    <row r="347" spans="1:31" x14ac:dyDescent="0.35">
      <c r="A347" s="56" t="s">
        <v>412</v>
      </c>
      <c r="B347" s="58">
        <v>13750</v>
      </c>
      <c r="C347" s="58" t="s">
        <v>34</v>
      </c>
      <c r="D347" s="58">
        <v>71</v>
      </c>
      <c r="E347" s="58">
        <v>13</v>
      </c>
      <c r="F347" s="58">
        <v>22.413793103448281</v>
      </c>
      <c r="G347" s="58">
        <v>267</v>
      </c>
      <c r="H347" s="58">
        <v>32.1</v>
      </c>
      <c r="I347" s="58">
        <v>4.95</v>
      </c>
      <c r="J347" s="58">
        <v>-1.95</v>
      </c>
      <c r="K347" s="58">
        <v>-28.260869565217391</v>
      </c>
      <c r="L347" s="58">
        <v>65100</v>
      </c>
      <c r="M347" s="58">
        <v>18375</v>
      </c>
      <c r="N347" s="58">
        <v>15143.3</v>
      </c>
      <c r="O347" s="58">
        <v>13750</v>
      </c>
      <c r="P347" s="58" t="s">
        <v>34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9750</v>
      </c>
      <c r="Z347" s="58">
        <v>9750</v>
      </c>
      <c r="AA347" s="58">
        <v>15143.3</v>
      </c>
      <c r="AE347" s="57"/>
    </row>
    <row r="348" spans="1:31" x14ac:dyDescent="0.35">
      <c r="A348" s="56" t="s">
        <v>413</v>
      </c>
      <c r="B348" s="58">
        <v>13750</v>
      </c>
      <c r="C348" s="58" t="s">
        <v>64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3900</v>
      </c>
      <c r="M348" s="58">
        <v>9750</v>
      </c>
      <c r="N348" s="58">
        <v>15139.55</v>
      </c>
      <c r="O348" s="58">
        <v>13750</v>
      </c>
      <c r="P348" s="58" t="s">
        <v>64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15143.3</v>
      </c>
      <c r="AE348" s="57"/>
    </row>
    <row r="349" spans="1:31" x14ac:dyDescent="0.35">
      <c r="A349" s="56" t="s">
        <v>414</v>
      </c>
      <c r="B349" s="58">
        <v>13750</v>
      </c>
      <c r="C349" s="58" t="s">
        <v>33</v>
      </c>
      <c r="D349" s="58">
        <v>225</v>
      </c>
      <c r="E349" s="58">
        <v>11</v>
      </c>
      <c r="F349" s="58">
        <v>5.1401869158878508</v>
      </c>
      <c r="G349" s="58">
        <v>176</v>
      </c>
      <c r="H349" s="58">
        <v>58.5</v>
      </c>
      <c r="I349" s="58">
        <v>0.1</v>
      </c>
      <c r="J349" s="58">
        <v>-0.6</v>
      </c>
      <c r="K349" s="58">
        <v>-85.714285714285722</v>
      </c>
      <c r="L349" s="58">
        <v>8550</v>
      </c>
      <c r="M349" s="58">
        <v>63375</v>
      </c>
      <c r="N349" s="58">
        <v>15139.55</v>
      </c>
      <c r="O349" s="58">
        <v>13750</v>
      </c>
      <c r="P349" s="58" t="s">
        <v>33</v>
      </c>
      <c r="Q349" s="58">
        <v>0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14700</v>
      </c>
      <c r="Z349" s="58">
        <v>14700</v>
      </c>
      <c r="AA349" s="58">
        <v>15139.55</v>
      </c>
      <c r="AE349" s="57"/>
    </row>
    <row r="350" spans="1:31" x14ac:dyDescent="0.35">
      <c r="A350" s="56" t="s">
        <v>415</v>
      </c>
      <c r="B350" s="58">
        <v>13800</v>
      </c>
      <c r="C350" s="58" t="s">
        <v>26</v>
      </c>
      <c r="D350" s="58">
        <v>10787</v>
      </c>
      <c r="E350" s="58">
        <v>-585</v>
      </c>
      <c r="F350" s="58">
        <v>-5.1442138586000707</v>
      </c>
      <c r="G350" s="58">
        <v>4455</v>
      </c>
      <c r="H350" s="58">
        <v>29.34</v>
      </c>
      <c r="I350" s="58">
        <v>18.8</v>
      </c>
      <c r="J350" s="58">
        <v>-5.9499999999999993</v>
      </c>
      <c r="K350" s="58">
        <v>-24.040404040404042</v>
      </c>
      <c r="L350" s="58">
        <v>108750</v>
      </c>
      <c r="M350" s="58">
        <v>33150</v>
      </c>
      <c r="N350" s="58">
        <v>15139.55</v>
      </c>
      <c r="O350" s="58">
        <v>13800</v>
      </c>
      <c r="P350" s="58" t="s">
        <v>26</v>
      </c>
      <c r="Q350" s="58">
        <v>535</v>
      </c>
      <c r="R350" s="58">
        <v>-11</v>
      </c>
      <c r="S350" s="58">
        <v>-2.0146520146520146</v>
      </c>
      <c r="T350" s="58">
        <v>24</v>
      </c>
      <c r="U350" s="58">
        <v>0</v>
      </c>
      <c r="V350" s="58">
        <v>1382.5</v>
      </c>
      <c r="W350" s="58">
        <v>9.0499999999999563</v>
      </c>
      <c r="X350" s="58">
        <v>0.65892460591939672</v>
      </c>
      <c r="Y350" s="58">
        <v>18450</v>
      </c>
      <c r="Z350" s="58">
        <v>20325</v>
      </c>
      <c r="AA350" s="58">
        <v>15139.55</v>
      </c>
      <c r="AE350" s="57"/>
    </row>
    <row r="351" spans="1:31" x14ac:dyDescent="0.35">
      <c r="A351" s="56" t="s">
        <v>416</v>
      </c>
      <c r="B351" s="58">
        <v>13800</v>
      </c>
      <c r="C351" s="58" t="s">
        <v>64</v>
      </c>
      <c r="D351" s="58">
        <v>4687</v>
      </c>
      <c r="E351" s="58">
        <v>2</v>
      </c>
      <c r="F351" s="58">
        <v>4.2689434364994665E-2</v>
      </c>
      <c r="G351" s="58">
        <v>4</v>
      </c>
      <c r="H351" s="58">
        <v>28.13</v>
      </c>
      <c r="I351" s="58">
        <v>34.5</v>
      </c>
      <c r="J351" s="58">
        <v>-6.1499999999999986</v>
      </c>
      <c r="K351" s="58">
        <v>-15.129151291512914</v>
      </c>
      <c r="L351" s="58">
        <v>9675</v>
      </c>
      <c r="M351" s="58">
        <v>5925</v>
      </c>
      <c r="N351" s="58">
        <v>15143.3</v>
      </c>
      <c r="O351" s="58">
        <v>13800</v>
      </c>
      <c r="P351" s="58" t="s">
        <v>64</v>
      </c>
      <c r="Q351" s="58">
        <v>4668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4875</v>
      </c>
      <c r="Z351" s="58">
        <v>4950</v>
      </c>
      <c r="AA351" s="58">
        <v>15139.55</v>
      </c>
      <c r="AE351" s="57"/>
    </row>
    <row r="352" spans="1:31" x14ac:dyDescent="0.35">
      <c r="A352" s="56" t="s">
        <v>417</v>
      </c>
      <c r="B352" s="58">
        <v>13800</v>
      </c>
      <c r="C352" s="58" t="s">
        <v>2071</v>
      </c>
      <c r="D352" s="58">
        <v>0</v>
      </c>
      <c r="E352" s="58">
        <v>0</v>
      </c>
      <c r="F352" s="58">
        <v>0</v>
      </c>
      <c r="G352" s="58">
        <v>0</v>
      </c>
      <c r="H352" s="58">
        <v>0</v>
      </c>
      <c r="I352" s="58">
        <v>0</v>
      </c>
      <c r="J352" s="58">
        <v>0</v>
      </c>
      <c r="K352" s="58">
        <v>0</v>
      </c>
      <c r="L352" s="58">
        <v>300</v>
      </c>
      <c r="M352" s="58">
        <v>4875</v>
      </c>
      <c r="N352" s="58">
        <v>15143.3</v>
      </c>
      <c r="O352" s="58">
        <v>13800</v>
      </c>
      <c r="P352" s="58" t="s">
        <v>2071</v>
      </c>
      <c r="Q352" s="58">
        <v>0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4875</v>
      </c>
      <c r="Z352" s="58">
        <v>4875</v>
      </c>
      <c r="AA352" s="58">
        <v>15139.55</v>
      </c>
      <c r="AE352" s="57"/>
    </row>
    <row r="353" spans="1:31" x14ac:dyDescent="0.35">
      <c r="A353" s="56" t="s">
        <v>418</v>
      </c>
      <c r="B353" s="58">
        <v>13800</v>
      </c>
      <c r="C353" s="58" t="s">
        <v>2073</v>
      </c>
      <c r="D353" s="58">
        <v>0</v>
      </c>
      <c r="E353" s="58">
        <v>0</v>
      </c>
      <c r="F353" s="58">
        <v>0</v>
      </c>
      <c r="G353" s="58">
        <v>0</v>
      </c>
      <c r="H353" s="58">
        <v>0</v>
      </c>
      <c r="I353" s="58">
        <v>0</v>
      </c>
      <c r="J353" s="58">
        <v>0</v>
      </c>
      <c r="K353" s="58">
        <v>0</v>
      </c>
      <c r="L353" s="58">
        <v>300</v>
      </c>
      <c r="M353" s="58">
        <v>9750</v>
      </c>
      <c r="N353" s="58">
        <v>15139.55</v>
      </c>
      <c r="O353" s="58">
        <v>13800</v>
      </c>
      <c r="P353" s="58" t="s">
        <v>2073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4875</v>
      </c>
      <c r="Z353" s="58">
        <v>4875</v>
      </c>
      <c r="AA353" s="58">
        <v>15139.55</v>
      </c>
      <c r="AE353" s="57"/>
    </row>
    <row r="354" spans="1:31" x14ac:dyDescent="0.35">
      <c r="A354" s="56" t="s">
        <v>419</v>
      </c>
      <c r="B354" s="58">
        <v>13800</v>
      </c>
      <c r="C354" s="58" t="s">
        <v>2074</v>
      </c>
      <c r="D354" s="58">
        <v>0</v>
      </c>
      <c r="E354" s="58">
        <v>0</v>
      </c>
      <c r="F354" s="58">
        <v>0</v>
      </c>
      <c r="G354" s="58">
        <v>0</v>
      </c>
      <c r="H354" s="58">
        <v>0</v>
      </c>
      <c r="I354" s="58">
        <v>0</v>
      </c>
      <c r="J354" s="58">
        <v>0</v>
      </c>
      <c r="K354" s="58">
        <v>0</v>
      </c>
      <c r="L354" s="58">
        <v>0</v>
      </c>
      <c r="M354" s="58">
        <v>4875</v>
      </c>
      <c r="N354" s="58">
        <v>15139.55</v>
      </c>
      <c r="O354" s="58">
        <v>13800</v>
      </c>
      <c r="P354" s="58" t="s">
        <v>2074</v>
      </c>
      <c r="Q354" s="58">
        <v>0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4875</v>
      </c>
      <c r="Z354" s="58">
        <v>4875</v>
      </c>
      <c r="AA354" s="58">
        <v>15139.55</v>
      </c>
      <c r="AE354" s="57"/>
    </row>
    <row r="355" spans="1:31" x14ac:dyDescent="0.35">
      <c r="A355" s="56" t="s">
        <v>420</v>
      </c>
      <c r="B355" s="58">
        <v>13800</v>
      </c>
      <c r="C355" s="58" t="s">
        <v>33</v>
      </c>
      <c r="D355" s="58">
        <v>5431</v>
      </c>
      <c r="E355" s="58">
        <v>-399</v>
      </c>
      <c r="F355" s="58">
        <v>-6.8439108061749572</v>
      </c>
      <c r="G355" s="58">
        <v>3569</v>
      </c>
      <c r="H355" s="58">
        <v>58.38</v>
      </c>
      <c r="I355" s="58">
        <v>0.15</v>
      </c>
      <c r="J355" s="58">
        <v>-0.45</v>
      </c>
      <c r="K355" s="58">
        <v>-75</v>
      </c>
      <c r="L355" s="58">
        <v>275925</v>
      </c>
      <c r="M355" s="58">
        <v>76800</v>
      </c>
      <c r="N355" s="58">
        <v>15139.55</v>
      </c>
      <c r="O355" s="58">
        <v>13800</v>
      </c>
      <c r="P355" s="58" t="s">
        <v>33</v>
      </c>
      <c r="Q355" s="58">
        <v>14</v>
      </c>
      <c r="R355" s="58">
        <v>0</v>
      </c>
      <c r="S355" s="58">
        <v>0</v>
      </c>
      <c r="T355" s="58">
        <v>6</v>
      </c>
      <c r="U355" s="58">
        <v>146.13999999999999</v>
      </c>
      <c r="V355" s="58">
        <v>1400.3</v>
      </c>
      <c r="W355" s="58">
        <v>101.59999999999992</v>
      </c>
      <c r="X355" s="58">
        <v>7.8232078232078157</v>
      </c>
      <c r="Y355" s="58">
        <v>16425</v>
      </c>
      <c r="Z355" s="58">
        <v>16425</v>
      </c>
      <c r="AA355" s="58">
        <v>15139.55</v>
      </c>
      <c r="AE355" s="57"/>
    </row>
    <row r="356" spans="1:31" x14ac:dyDescent="0.35">
      <c r="A356" s="56" t="s">
        <v>421</v>
      </c>
      <c r="B356" s="58">
        <v>13800</v>
      </c>
      <c r="C356" s="58" t="s">
        <v>2076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0</v>
      </c>
      <c r="M356" s="58">
        <v>4875</v>
      </c>
      <c r="N356" s="58">
        <v>15139.55</v>
      </c>
      <c r="O356" s="58">
        <v>13800</v>
      </c>
      <c r="P356" s="58" t="s">
        <v>2076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15139.55</v>
      </c>
      <c r="AE356" s="57"/>
    </row>
    <row r="357" spans="1:31" x14ac:dyDescent="0.35">
      <c r="A357" s="56" t="s">
        <v>422</v>
      </c>
      <c r="B357" s="58">
        <v>13800</v>
      </c>
      <c r="C357" s="58" t="s">
        <v>2075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3525</v>
      </c>
      <c r="M357" s="58">
        <v>5175</v>
      </c>
      <c r="N357" s="58">
        <v>15139.55</v>
      </c>
      <c r="O357" s="58">
        <v>13800</v>
      </c>
      <c r="P357" s="58" t="s">
        <v>2075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5400</v>
      </c>
      <c r="Z357" s="58">
        <v>4875</v>
      </c>
      <c r="AA357" s="58">
        <v>15139.55</v>
      </c>
      <c r="AE357" s="57"/>
    </row>
    <row r="358" spans="1:31" x14ac:dyDescent="0.35">
      <c r="A358" s="56" t="s">
        <v>423</v>
      </c>
      <c r="B358" s="58">
        <v>13800</v>
      </c>
      <c r="C358" s="58" t="s">
        <v>34</v>
      </c>
      <c r="D358" s="58">
        <v>3408</v>
      </c>
      <c r="E358" s="58">
        <v>1050</v>
      </c>
      <c r="F358" s="58">
        <v>44.529262086513995</v>
      </c>
      <c r="G358" s="58">
        <v>3857</v>
      </c>
      <c r="H358" s="58">
        <v>31.41</v>
      </c>
      <c r="I358" s="58">
        <v>5.3</v>
      </c>
      <c r="J358" s="58">
        <v>-1.95</v>
      </c>
      <c r="K358" s="58">
        <v>-26.896551724137936</v>
      </c>
      <c r="L358" s="58">
        <v>70950</v>
      </c>
      <c r="M358" s="58">
        <v>27825</v>
      </c>
      <c r="N358" s="58">
        <v>15139.55</v>
      </c>
      <c r="O358" s="58">
        <v>13800</v>
      </c>
      <c r="P358" s="58" t="s">
        <v>34</v>
      </c>
      <c r="Q358" s="58">
        <v>0</v>
      </c>
      <c r="R358" s="58">
        <v>0</v>
      </c>
      <c r="S358" s="58">
        <v>0</v>
      </c>
      <c r="T358" s="58">
        <v>1</v>
      </c>
      <c r="U358" s="58">
        <v>44.69</v>
      </c>
      <c r="V358" s="58">
        <v>1399</v>
      </c>
      <c r="W358" s="58">
        <v>194.04999999999995</v>
      </c>
      <c r="X358" s="58">
        <v>16.104402672310052</v>
      </c>
      <c r="Y358" s="58">
        <v>10425</v>
      </c>
      <c r="Z358" s="58">
        <v>7050</v>
      </c>
      <c r="AA358" s="58">
        <v>15143.3</v>
      </c>
      <c r="AE358" s="57"/>
    </row>
    <row r="359" spans="1:31" x14ac:dyDescent="0.35">
      <c r="A359" s="56" t="s">
        <v>424</v>
      </c>
      <c r="B359" s="58">
        <v>13800</v>
      </c>
      <c r="C359" s="58" t="s">
        <v>2068</v>
      </c>
      <c r="D359" s="58">
        <v>2738</v>
      </c>
      <c r="E359" s="58">
        <v>15</v>
      </c>
      <c r="F359" s="58">
        <v>0.55086301872934262</v>
      </c>
      <c r="G359" s="58">
        <v>467</v>
      </c>
      <c r="H359" s="58">
        <v>24.12</v>
      </c>
      <c r="I359" s="58">
        <v>73</v>
      </c>
      <c r="J359" s="58">
        <v>-13.400000000000006</v>
      </c>
      <c r="K359" s="58">
        <v>-15.509259259259265</v>
      </c>
      <c r="L359" s="58">
        <v>25425</v>
      </c>
      <c r="M359" s="58">
        <v>11850</v>
      </c>
      <c r="N359" s="58">
        <v>15139.55</v>
      </c>
      <c r="O359" s="58">
        <v>13800</v>
      </c>
      <c r="P359" s="58" t="s">
        <v>2068</v>
      </c>
      <c r="Q359" s="58">
        <v>4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8550</v>
      </c>
      <c r="Z359" s="58">
        <v>8550</v>
      </c>
      <c r="AA359" s="58">
        <v>15143.3</v>
      </c>
      <c r="AE359" s="57"/>
    </row>
    <row r="360" spans="1:31" x14ac:dyDescent="0.35">
      <c r="A360" s="56" t="s">
        <v>425</v>
      </c>
      <c r="B360" s="58">
        <v>13850</v>
      </c>
      <c r="C360" s="58" t="s">
        <v>34</v>
      </c>
      <c r="D360" s="58">
        <v>84</v>
      </c>
      <c r="E360" s="58">
        <v>51</v>
      </c>
      <c r="F360" s="58">
        <v>154.54545454545453</v>
      </c>
      <c r="G360" s="58">
        <v>251</v>
      </c>
      <c r="H360" s="58">
        <v>30.78</v>
      </c>
      <c r="I360" s="58">
        <v>5.7</v>
      </c>
      <c r="J360" s="58">
        <v>-2.1499999999999995</v>
      </c>
      <c r="K360" s="58">
        <v>-27.388535031847127</v>
      </c>
      <c r="L360" s="58">
        <v>51825</v>
      </c>
      <c r="M360" s="58">
        <v>23400</v>
      </c>
      <c r="N360" s="58">
        <v>15143.3</v>
      </c>
      <c r="O360" s="58">
        <v>13850</v>
      </c>
      <c r="P360" s="58" t="s">
        <v>34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9750</v>
      </c>
      <c r="Z360" s="58">
        <v>9750</v>
      </c>
      <c r="AA360" s="58">
        <v>15143.3</v>
      </c>
      <c r="AE360" s="57"/>
    </row>
    <row r="361" spans="1:31" x14ac:dyDescent="0.35">
      <c r="A361" s="56" t="s">
        <v>426</v>
      </c>
      <c r="B361" s="58">
        <v>13850</v>
      </c>
      <c r="C361" s="58" t="s">
        <v>64</v>
      </c>
      <c r="D361" s="58">
        <v>0</v>
      </c>
      <c r="E361" s="58">
        <v>0</v>
      </c>
      <c r="F361" s="58">
        <v>0</v>
      </c>
      <c r="G361" s="58">
        <v>0</v>
      </c>
      <c r="H361" s="58">
        <v>0</v>
      </c>
      <c r="I361" s="58">
        <v>0</v>
      </c>
      <c r="J361" s="58">
        <v>0</v>
      </c>
      <c r="K361" s="58">
        <v>0</v>
      </c>
      <c r="L361" s="58">
        <v>7575</v>
      </c>
      <c r="M361" s="58">
        <v>9750</v>
      </c>
      <c r="N361" s="58">
        <v>15139.55</v>
      </c>
      <c r="O361" s="58">
        <v>13850</v>
      </c>
      <c r="P361" s="58" t="s">
        <v>64</v>
      </c>
      <c r="Q361" s="58">
        <v>0</v>
      </c>
      <c r="R361" s="58">
        <v>0</v>
      </c>
      <c r="S361" s="58">
        <v>0</v>
      </c>
      <c r="T361" s="58">
        <v>0</v>
      </c>
      <c r="U361" s="58">
        <v>0</v>
      </c>
      <c r="V361" s="58">
        <v>0</v>
      </c>
      <c r="W361" s="58">
        <v>0</v>
      </c>
      <c r="X361" s="58">
        <v>0</v>
      </c>
      <c r="Y361" s="58">
        <v>4875</v>
      </c>
      <c r="Z361" s="58">
        <v>4875</v>
      </c>
      <c r="AA361" s="58">
        <v>15139.55</v>
      </c>
      <c r="AE361" s="57"/>
    </row>
    <row r="362" spans="1:31" x14ac:dyDescent="0.35">
      <c r="A362" s="56" t="s">
        <v>427</v>
      </c>
      <c r="B362" s="58">
        <v>13850</v>
      </c>
      <c r="C362" s="58" t="s">
        <v>2071</v>
      </c>
      <c r="D362" s="58">
        <v>0</v>
      </c>
      <c r="E362" s="58">
        <v>0</v>
      </c>
      <c r="F362" s="58">
        <v>0</v>
      </c>
      <c r="G362" s="58">
        <v>0</v>
      </c>
      <c r="H362" s="58">
        <v>0</v>
      </c>
      <c r="I362" s="58">
        <v>0</v>
      </c>
      <c r="J362" s="58">
        <v>0</v>
      </c>
      <c r="K362" s="58">
        <v>0</v>
      </c>
      <c r="L362" s="58">
        <v>3075</v>
      </c>
      <c r="M362" s="58">
        <v>4875</v>
      </c>
      <c r="N362" s="58">
        <v>15143.3</v>
      </c>
      <c r="O362" s="58">
        <v>13850</v>
      </c>
      <c r="P362" s="58" t="s">
        <v>2071</v>
      </c>
      <c r="Q362" s="58">
        <v>0</v>
      </c>
      <c r="R362" s="58">
        <v>0</v>
      </c>
      <c r="S362" s="58">
        <v>0</v>
      </c>
      <c r="T362" s="58">
        <v>0</v>
      </c>
      <c r="U362" s="58">
        <v>0</v>
      </c>
      <c r="V362" s="58">
        <v>0</v>
      </c>
      <c r="W362" s="58">
        <v>0</v>
      </c>
      <c r="X362" s="58">
        <v>0</v>
      </c>
      <c r="Y362" s="58">
        <v>4875</v>
      </c>
      <c r="Z362" s="58">
        <v>4875</v>
      </c>
      <c r="AA362" s="58">
        <v>15143.3</v>
      </c>
      <c r="AE362" s="57"/>
    </row>
    <row r="363" spans="1:31" x14ac:dyDescent="0.35">
      <c r="A363" s="56" t="s">
        <v>428</v>
      </c>
      <c r="B363" s="58">
        <v>13850</v>
      </c>
      <c r="C363" s="58" t="s">
        <v>2073</v>
      </c>
      <c r="D363" s="58">
        <v>0</v>
      </c>
      <c r="E363" s="58">
        <v>0</v>
      </c>
      <c r="F363" s="58">
        <v>0</v>
      </c>
      <c r="G363" s="58">
        <v>0</v>
      </c>
      <c r="H363" s="58">
        <v>0</v>
      </c>
      <c r="I363" s="58">
        <v>0</v>
      </c>
      <c r="J363" s="58">
        <v>0</v>
      </c>
      <c r="K363" s="58">
        <v>0</v>
      </c>
      <c r="L363" s="58">
        <v>3075</v>
      </c>
      <c r="M363" s="58">
        <v>9750</v>
      </c>
      <c r="N363" s="58">
        <v>15139.55</v>
      </c>
      <c r="O363" s="58">
        <v>13850</v>
      </c>
      <c r="P363" s="58" t="s">
        <v>2073</v>
      </c>
      <c r="Q363" s="58">
        <v>0</v>
      </c>
      <c r="R363" s="58">
        <v>0</v>
      </c>
      <c r="S363" s="58">
        <v>0</v>
      </c>
      <c r="T363" s="58">
        <v>0</v>
      </c>
      <c r="U363" s="58">
        <v>0</v>
      </c>
      <c r="V363" s="58">
        <v>0</v>
      </c>
      <c r="W363" s="58">
        <v>0</v>
      </c>
      <c r="X363" s="58">
        <v>0</v>
      </c>
      <c r="Y363" s="58">
        <v>4875</v>
      </c>
      <c r="Z363" s="58">
        <v>4875</v>
      </c>
      <c r="AA363" s="58">
        <v>15143.3</v>
      </c>
      <c r="AE363" s="57"/>
    </row>
    <row r="364" spans="1:31" x14ac:dyDescent="0.35">
      <c r="A364" s="56" t="s">
        <v>429</v>
      </c>
      <c r="B364" s="58">
        <v>13850</v>
      </c>
      <c r="C364" s="58" t="s">
        <v>26</v>
      </c>
      <c r="D364" s="58">
        <v>240</v>
      </c>
      <c r="E364" s="58">
        <v>11</v>
      </c>
      <c r="F364" s="58">
        <v>4.8034934497816595</v>
      </c>
      <c r="G364" s="58">
        <v>37</v>
      </c>
      <c r="H364" s="58">
        <v>28.96</v>
      </c>
      <c r="I364" s="58">
        <v>20.55</v>
      </c>
      <c r="J364" s="58">
        <v>-8.6999999999999993</v>
      </c>
      <c r="K364" s="58">
        <v>-29.743589743589745</v>
      </c>
      <c r="L364" s="58">
        <v>83775</v>
      </c>
      <c r="M364" s="58">
        <v>18375</v>
      </c>
      <c r="N364" s="58">
        <v>15143.3</v>
      </c>
      <c r="O364" s="58">
        <v>13850</v>
      </c>
      <c r="P364" s="58" t="s">
        <v>26</v>
      </c>
      <c r="Q364" s="58">
        <v>7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16275</v>
      </c>
      <c r="Z364" s="58">
        <v>19875</v>
      </c>
      <c r="AA364" s="58">
        <v>15139.55</v>
      </c>
      <c r="AE364" s="57"/>
    </row>
    <row r="365" spans="1:31" x14ac:dyDescent="0.35">
      <c r="A365" s="56" t="s">
        <v>430</v>
      </c>
      <c r="B365" s="58">
        <v>13850</v>
      </c>
      <c r="C365" s="58" t="s">
        <v>2068</v>
      </c>
      <c r="D365" s="58">
        <v>50</v>
      </c>
      <c r="E365" s="58">
        <v>-1</v>
      </c>
      <c r="F365" s="58">
        <v>-1.9607843137254899</v>
      </c>
      <c r="G365" s="58">
        <v>2</v>
      </c>
      <c r="H365" s="58">
        <v>23.95</v>
      </c>
      <c r="I365" s="58">
        <v>78.099999999999994</v>
      </c>
      <c r="J365" s="58">
        <v>-21.900000000000009</v>
      </c>
      <c r="K365" s="58">
        <v>-21.900000000000009</v>
      </c>
      <c r="L365" s="58">
        <v>19575</v>
      </c>
      <c r="M365" s="58">
        <v>5025</v>
      </c>
      <c r="N365" s="58">
        <v>15139.55</v>
      </c>
      <c r="O365" s="58">
        <v>13850</v>
      </c>
      <c r="P365" s="58" t="s">
        <v>2068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9750</v>
      </c>
      <c r="Z365" s="58">
        <v>13725</v>
      </c>
      <c r="AA365" s="58">
        <v>15139.55</v>
      </c>
      <c r="AE365" s="57"/>
    </row>
    <row r="366" spans="1:31" x14ac:dyDescent="0.35">
      <c r="A366" s="56" t="s">
        <v>431</v>
      </c>
      <c r="B366" s="58">
        <v>13850</v>
      </c>
      <c r="C366" s="58" t="s">
        <v>2076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4875</v>
      </c>
      <c r="N366" s="58">
        <v>15139.55</v>
      </c>
      <c r="O366" s="58">
        <v>13850</v>
      </c>
      <c r="P366" s="58" t="s">
        <v>2076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15139.55</v>
      </c>
      <c r="AE366" s="57"/>
    </row>
    <row r="367" spans="1:31" x14ac:dyDescent="0.35">
      <c r="A367" s="56" t="s">
        <v>432</v>
      </c>
      <c r="B367" s="58">
        <v>13850</v>
      </c>
      <c r="C367" s="58" t="s">
        <v>2075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4200</v>
      </c>
      <c r="M367" s="58">
        <v>9750</v>
      </c>
      <c r="N367" s="58">
        <v>15139.55</v>
      </c>
      <c r="O367" s="58">
        <v>13850</v>
      </c>
      <c r="P367" s="58" t="s">
        <v>2075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5400</v>
      </c>
      <c r="Z367" s="58">
        <v>4875</v>
      </c>
      <c r="AA367" s="58">
        <v>15139.55</v>
      </c>
      <c r="AE367" s="57"/>
    </row>
    <row r="368" spans="1:31" x14ac:dyDescent="0.35">
      <c r="A368" s="56" t="s">
        <v>433</v>
      </c>
      <c r="B368" s="58">
        <v>13850</v>
      </c>
      <c r="C368" s="58" t="s">
        <v>33</v>
      </c>
      <c r="D368" s="58">
        <v>356</v>
      </c>
      <c r="E368" s="58">
        <v>-15</v>
      </c>
      <c r="F368" s="58">
        <v>-4.0431266846361185</v>
      </c>
      <c r="G368" s="58">
        <v>85</v>
      </c>
      <c r="H368" s="58">
        <v>57.71</v>
      </c>
      <c r="I368" s="58">
        <v>0.2</v>
      </c>
      <c r="J368" s="58">
        <v>-0.49999999999999994</v>
      </c>
      <c r="K368" s="58">
        <v>-71.428571428571431</v>
      </c>
      <c r="L368" s="58">
        <v>7125</v>
      </c>
      <c r="M368" s="58">
        <v>51150</v>
      </c>
      <c r="N368" s="58">
        <v>15139.55</v>
      </c>
      <c r="O368" s="58">
        <v>13850</v>
      </c>
      <c r="P368" s="58" t="s">
        <v>33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15750</v>
      </c>
      <c r="Z368" s="58">
        <v>15750</v>
      </c>
      <c r="AA368" s="58">
        <v>15139.55</v>
      </c>
      <c r="AE368" s="57"/>
    </row>
    <row r="369" spans="1:31" x14ac:dyDescent="0.35">
      <c r="A369" s="56" t="s">
        <v>434</v>
      </c>
      <c r="B369" s="58">
        <v>13850</v>
      </c>
      <c r="C369" s="58" t="s">
        <v>2074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2775</v>
      </c>
      <c r="M369" s="58">
        <v>4875</v>
      </c>
      <c r="N369" s="58">
        <v>15139.55</v>
      </c>
      <c r="O369" s="58">
        <v>13850</v>
      </c>
      <c r="P369" s="58" t="s">
        <v>2074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15139.55</v>
      </c>
      <c r="AE369" s="57"/>
    </row>
    <row r="370" spans="1:31" x14ac:dyDescent="0.35">
      <c r="A370" s="56" t="s">
        <v>435</v>
      </c>
      <c r="B370" s="58">
        <v>13900</v>
      </c>
      <c r="C370" s="58" t="s">
        <v>34</v>
      </c>
      <c r="D370" s="58">
        <v>6055</v>
      </c>
      <c r="E370" s="58">
        <v>128</v>
      </c>
      <c r="F370" s="58">
        <v>2.1596085709465158</v>
      </c>
      <c r="G370" s="58">
        <v>3529</v>
      </c>
      <c r="H370" s="58">
        <v>30.11</v>
      </c>
      <c r="I370" s="58">
        <v>6.25</v>
      </c>
      <c r="J370" s="58">
        <v>-2.3000000000000007</v>
      </c>
      <c r="K370" s="58">
        <v>-26.900584795321642</v>
      </c>
      <c r="L370" s="58">
        <v>78450</v>
      </c>
      <c r="M370" s="58">
        <v>31500</v>
      </c>
      <c r="N370" s="58">
        <v>15139.55</v>
      </c>
      <c r="O370" s="58">
        <v>13900</v>
      </c>
      <c r="P370" s="58" t="s">
        <v>34</v>
      </c>
      <c r="Q370" s="58">
        <v>5</v>
      </c>
      <c r="R370" s="58">
        <v>0</v>
      </c>
      <c r="S370" s="58">
        <v>0</v>
      </c>
      <c r="T370" s="58">
        <v>1</v>
      </c>
      <c r="U370" s="58">
        <v>41.66</v>
      </c>
      <c r="V370" s="58">
        <v>1298</v>
      </c>
      <c r="W370" s="58">
        <v>148</v>
      </c>
      <c r="X370" s="58">
        <v>12.869565217391305</v>
      </c>
      <c r="Y370" s="58">
        <v>10425</v>
      </c>
      <c r="Z370" s="58">
        <v>7200</v>
      </c>
      <c r="AA370" s="58">
        <v>15139.55</v>
      </c>
      <c r="AE370" s="57"/>
    </row>
    <row r="371" spans="1:31" x14ac:dyDescent="0.35">
      <c r="A371" s="56" t="s">
        <v>436</v>
      </c>
      <c r="B371" s="58">
        <v>13900</v>
      </c>
      <c r="C371" s="58" t="s">
        <v>26</v>
      </c>
      <c r="D371" s="58">
        <v>13726</v>
      </c>
      <c r="E371" s="58">
        <v>-424</v>
      </c>
      <c r="F371" s="58">
        <v>-2.9964664310954063</v>
      </c>
      <c r="G371" s="58">
        <v>3762</v>
      </c>
      <c r="H371" s="58">
        <v>28.83</v>
      </c>
      <c r="I371" s="58">
        <v>23</v>
      </c>
      <c r="J371" s="58">
        <v>-7.3000000000000007</v>
      </c>
      <c r="K371" s="58">
        <v>-24.092409240924095</v>
      </c>
      <c r="L371" s="58">
        <v>102600</v>
      </c>
      <c r="M371" s="58">
        <v>58800</v>
      </c>
      <c r="N371" s="58">
        <v>15139.55</v>
      </c>
      <c r="O371" s="58">
        <v>13900</v>
      </c>
      <c r="P371" s="58" t="s">
        <v>26</v>
      </c>
      <c r="Q371" s="58">
        <v>202</v>
      </c>
      <c r="R371" s="58">
        <v>-2</v>
      </c>
      <c r="S371" s="58">
        <v>-0.98039215686274517</v>
      </c>
      <c r="T371" s="58">
        <v>5</v>
      </c>
      <c r="U371" s="58">
        <v>0</v>
      </c>
      <c r="V371" s="58">
        <v>1274.5999999999999</v>
      </c>
      <c r="W371" s="58">
        <v>-8.8500000000001364</v>
      </c>
      <c r="X371" s="58">
        <v>-0.68954770345554062</v>
      </c>
      <c r="Y371" s="58">
        <v>18000</v>
      </c>
      <c r="Z371" s="58">
        <v>16875</v>
      </c>
      <c r="AA371" s="58">
        <v>15139.55</v>
      </c>
      <c r="AE371" s="57"/>
    </row>
    <row r="372" spans="1:31" x14ac:dyDescent="0.35">
      <c r="A372" s="56" t="s">
        <v>437</v>
      </c>
      <c r="B372" s="58">
        <v>13900</v>
      </c>
      <c r="C372" s="58" t="s">
        <v>64</v>
      </c>
      <c r="D372" s="58">
        <v>4681</v>
      </c>
      <c r="E372" s="58">
        <v>5</v>
      </c>
      <c r="F372" s="58">
        <v>0.10692899914456799</v>
      </c>
      <c r="G372" s="58">
        <v>8</v>
      </c>
      <c r="H372" s="58">
        <v>27.6</v>
      </c>
      <c r="I372" s="58">
        <v>40.4</v>
      </c>
      <c r="J372" s="58">
        <v>-23.050000000000004</v>
      </c>
      <c r="K372" s="58">
        <v>-36.327817178881013</v>
      </c>
      <c r="L372" s="58">
        <v>13200</v>
      </c>
      <c r="M372" s="58">
        <v>6150</v>
      </c>
      <c r="N372" s="58">
        <v>15139.55</v>
      </c>
      <c r="O372" s="58">
        <v>13900</v>
      </c>
      <c r="P372" s="58" t="s">
        <v>64</v>
      </c>
      <c r="Q372" s="58">
        <v>4668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4875</v>
      </c>
      <c r="Z372" s="58">
        <v>5100</v>
      </c>
      <c r="AA372" s="58">
        <v>15139.55</v>
      </c>
      <c r="AE372" s="57"/>
    </row>
    <row r="373" spans="1:31" x14ac:dyDescent="0.35">
      <c r="A373" s="56" t="s">
        <v>438</v>
      </c>
      <c r="B373" s="58">
        <v>13900</v>
      </c>
      <c r="C373" s="58" t="s">
        <v>2071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3075</v>
      </c>
      <c r="M373" s="58">
        <v>9750</v>
      </c>
      <c r="N373" s="58">
        <v>15139.55</v>
      </c>
      <c r="O373" s="58">
        <v>13900</v>
      </c>
      <c r="P373" s="58" t="s">
        <v>2071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15143.3</v>
      </c>
      <c r="AE373" s="57"/>
    </row>
    <row r="374" spans="1:31" x14ac:dyDescent="0.35">
      <c r="A374" s="56" t="s">
        <v>439</v>
      </c>
      <c r="B374" s="58">
        <v>13900</v>
      </c>
      <c r="C374" s="58" t="s">
        <v>2073</v>
      </c>
      <c r="D374" s="58">
        <v>0</v>
      </c>
      <c r="E374" s="58">
        <v>0</v>
      </c>
      <c r="F374" s="58">
        <v>0</v>
      </c>
      <c r="G374" s="58">
        <v>0</v>
      </c>
      <c r="H374" s="58">
        <v>0</v>
      </c>
      <c r="I374" s="58">
        <v>0</v>
      </c>
      <c r="J374" s="58">
        <v>0</v>
      </c>
      <c r="K374" s="58">
        <v>0</v>
      </c>
      <c r="L374" s="58">
        <v>3075</v>
      </c>
      <c r="M374" s="58">
        <v>9750</v>
      </c>
      <c r="N374" s="58">
        <v>15139.55</v>
      </c>
      <c r="O374" s="58">
        <v>13900</v>
      </c>
      <c r="P374" s="58" t="s">
        <v>2073</v>
      </c>
      <c r="Q374" s="58">
        <v>0</v>
      </c>
      <c r="R374" s="58">
        <v>0</v>
      </c>
      <c r="S374" s="58">
        <v>0</v>
      </c>
      <c r="T374" s="58">
        <v>0</v>
      </c>
      <c r="U374" s="58">
        <v>0</v>
      </c>
      <c r="V374" s="58">
        <v>0</v>
      </c>
      <c r="W374" s="58">
        <v>0</v>
      </c>
      <c r="X374" s="58">
        <v>0</v>
      </c>
      <c r="Y374" s="58">
        <v>4875</v>
      </c>
      <c r="Z374" s="58">
        <v>4875</v>
      </c>
      <c r="AA374" s="58">
        <v>15143.3</v>
      </c>
      <c r="AE374" s="57"/>
    </row>
    <row r="375" spans="1:31" x14ac:dyDescent="0.35">
      <c r="A375" s="56" t="s">
        <v>440</v>
      </c>
      <c r="B375" s="58">
        <v>13900</v>
      </c>
      <c r="C375" s="58" t="s">
        <v>2074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75</v>
      </c>
      <c r="M375" s="58">
        <v>4875</v>
      </c>
      <c r="N375" s="58">
        <v>15139.55</v>
      </c>
      <c r="O375" s="58">
        <v>13900</v>
      </c>
      <c r="P375" s="58" t="s">
        <v>2074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15139.55</v>
      </c>
      <c r="AE375" s="57"/>
    </row>
    <row r="376" spans="1:31" x14ac:dyDescent="0.35">
      <c r="A376" s="56" t="s">
        <v>441</v>
      </c>
      <c r="B376" s="58">
        <v>13900</v>
      </c>
      <c r="C376" s="58" t="s">
        <v>2068</v>
      </c>
      <c r="D376" s="58">
        <v>2757</v>
      </c>
      <c r="E376" s="58">
        <v>30</v>
      </c>
      <c r="F376" s="58">
        <v>1.1001100110011002</v>
      </c>
      <c r="G376" s="58">
        <v>231</v>
      </c>
      <c r="H376" s="58">
        <v>23.96</v>
      </c>
      <c r="I376" s="58">
        <v>83.75</v>
      </c>
      <c r="J376" s="58">
        <v>-15.049999999999995</v>
      </c>
      <c r="K376" s="58">
        <v>-15.232793522267205</v>
      </c>
      <c r="L376" s="58">
        <v>23175</v>
      </c>
      <c r="M376" s="58">
        <v>10125</v>
      </c>
      <c r="N376" s="58">
        <v>15139.55</v>
      </c>
      <c r="O376" s="58">
        <v>13900</v>
      </c>
      <c r="P376" s="58" t="s">
        <v>2068</v>
      </c>
      <c r="Q376" s="58">
        <v>1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13500</v>
      </c>
      <c r="Z376" s="58">
        <v>13500</v>
      </c>
      <c r="AA376" s="58">
        <v>15139.55</v>
      </c>
      <c r="AE376" s="57"/>
    </row>
    <row r="377" spans="1:31" x14ac:dyDescent="0.35">
      <c r="A377" s="56" t="s">
        <v>442</v>
      </c>
      <c r="B377" s="58">
        <v>13900</v>
      </c>
      <c r="C377" s="58" t="s">
        <v>2076</v>
      </c>
      <c r="D377" s="58">
        <v>0</v>
      </c>
      <c r="E377" s="58">
        <v>0</v>
      </c>
      <c r="F377" s="58">
        <v>0</v>
      </c>
      <c r="G377" s="58">
        <v>0</v>
      </c>
      <c r="H377" s="58">
        <v>0</v>
      </c>
      <c r="I377" s="58">
        <v>0</v>
      </c>
      <c r="J377" s="58">
        <v>0</v>
      </c>
      <c r="K377" s="58">
        <v>0</v>
      </c>
      <c r="L377" s="58">
        <v>0</v>
      </c>
      <c r="M377" s="58">
        <v>4875</v>
      </c>
      <c r="N377" s="58">
        <v>15139.55</v>
      </c>
      <c r="O377" s="58">
        <v>13900</v>
      </c>
      <c r="P377" s="58" t="s">
        <v>2076</v>
      </c>
      <c r="Q377" s="58">
        <v>0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4875</v>
      </c>
      <c r="Z377" s="58">
        <v>4875</v>
      </c>
      <c r="AA377" s="58">
        <v>15139.55</v>
      </c>
      <c r="AE377" s="57"/>
    </row>
    <row r="378" spans="1:31" x14ac:dyDescent="0.35">
      <c r="A378" s="56" t="s">
        <v>443</v>
      </c>
      <c r="B378" s="58">
        <v>13900</v>
      </c>
      <c r="C378" s="58" t="s">
        <v>2075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3525</v>
      </c>
      <c r="M378" s="58">
        <v>5175</v>
      </c>
      <c r="N378" s="58">
        <v>15143.3</v>
      </c>
      <c r="O378" s="58">
        <v>13900</v>
      </c>
      <c r="P378" s="58" t="s">
        <v>2075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5400</v>
      </c>
      <c r="Z378" s="58">
        <v>4875</v>
      </c>
      <c r="AA378" s="58">
        <v>15139.55</v>
      </c>
      <c r="AE378" s="57"/>
    </row>
    <row r="379" spans="1:31" x14ac:dyDescent="0.35">
      <c r="A379" s="56" t="s">
        <v>444</v>
      </c>
      <c r="B379" s="58">
        <v>13900</v>
      </c>
      <c r="C379" s="58" t="s">
        <v>33</v>
      </c>
      <c r="D379" s="58">
        <v>3619</v>
      </c>
      <c r="E379" s="58">
        <v>-593</v>
      </c>
      <c r="F379" s="58">
        <v>-14.078822412155745</v>
      </c>
      <c r="G379" s="58">
        <v>3976</v>
      </c>
      <c r="H379" s="58">
        <v>55.57</v>
      </c>
      <c r="I379" s="58">
        <v>0.25</v>
      </c>
      <c r="J379" s="58">
        <v>-0.5</v>
      </c>
      <c r="K379" s="58">
        <v>-66.666666666666657</v>
      </c>
      <c r="L379" s="58">
        <v>241950</v>
      </c>
      <c r="M379" s="58">
        <v>77475</v>
      </c>
      <c r="N379" s="58">
        <v>15139.55</v>
      </c>
      <c r="O379" s="58">
        <v>13900</v>
      </c>
      <c r="P379" s="58" t="s">
        <v>33</v>
      </c>
      <c r="Q379" s="58">
        <v>17</v>
      </c>
      <c r="R379" s="58">
        <v>6</v>
      </c>
      <c r="S379" s="58">
        <v>54.545454545454547</v>
      </c>
      <c r="T379" s="58">
        <v>31</v>
      </c>
      <c r="U379" s="58">
        <v>126.21</v>
      </c>
      <c r="V379" s="58">
        <v>1284</v>
      </c>
      <c r="W379" s="58">
        <v>68.400000000000091</v>
      </c>
      <c r="X379" s="58">
        <v>5.6268509378084977</v>
      </c>
      <c r="Y379" s="58">
        <v>16500</v>
      </c>
      <c r="Z379" s="58">
        <v>17175</v>
      </c>
      <c r="AA379" s="58">
        <v>15139.55</v>
      </c>
      <c r="AE379" s="57"/>
    </row>
    <row r="380" spans="1:31" x14ac:dyDescent="0.35">
      <c r="A380" s="56" t="s">
        <v>445</v>
      </c>
      <c r="B380" s="58">
        <v>13950</v>
      </c>
      <c r="C380" s="58" t="s">
        <v>34</v>
      </c>
      <c r="D380" s="58">
        <v>226</v>
      </c>
      <c r="E380" s="58">
        <v>37</v>
      </c>
      <c r="F380" s="58">
        <v>19.576719576719576</v>
      </c>
      <c r="G380" s="58">
        <v>281</v>
      </c>
      <c r="H380" s="58">
        <v>29.37</v>
      </c>
      <c r="I380" s="58">
        <v>6.6</v>
      </c>
      <c r="J380" s="58">
        <v>-2.5999999999999996</v>
      </c>
      <c r="K380" s="58">
        <v>-28.260869565217391</v>
      </c>
      <c r="L380" s="58">
        <v>91050</v>
      </c>
      <c r="M380" s="58">
        <v>28950</v>
      </c>
      <c r="N380" s="58">
        <v>15143.3</v>
      </c>
      <c r="O380" s="58">
        <v>13950</v>
      </c>
      <c r="P380" s="58" t="s">
        <v>34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9900</v>
      </c>
      <c r="Z380" s="58">
        <v>9900</v>
      </c>
      <c r="AA380" s="58">
        <v>15139.55</v>
      </c>
      <c r="AE380" s="57"/>
    </row>
    <row r="381" spans="1:31" x14ac:dyDescent="0.35">
      <c r="A381" s="56" t="s">
        <v>446</v>
      </c>
      <c r="B381" s="58">
        <v>13950</v>
      </c>
      <c r="C381" s="58" t="s">
        <v>64</v>
      </c>
      <c r="D381" s="58">
        <v>0</v>
      </c>
      <c r="E381" s="58">
        <v>0</v>
      </c>
      <c r="F381" s="58">
        <v>0</v>
      </c>
      <c r="G381" s="58">
        <v>0</v>
      </c>
      <c r="H381" s="58">
        <v>0</v>
      </c>
      <c r="I381" s="58">
        <v>0</v>
      </c>
      <c r="J381" s="58">
        <v>0</v>
      </c>
      <c r="K381" s="58">
        <v>0</v>
      </c>
      <c r="L381" s="58">
        <v>7800</v>
      </c>
      <c r="M381" s="58">
        <v>9825</v>
      </c>
      <c r="N381" s="58">
        <v>15143.3</v>
      </c>
      <c r="O381" s="58">
        <v>13950</v>
      </c>
      <c r="P381" s="58" t="s">
        <v>64</v>
      </c>
      <c r="Q381" s="58">
        <v>0</v>
      </c>
      <c r="R381" s="58">
        <v>0</v>
      </c>
      <c r="S381" s="58">
        <v>0</v>
      </c>
      <c r="T381" s="58">
        <v>0</v>
      </c>
      <c r="U381" s="58">
        <v>0</v>
      </c>
      <c r="V381" s="58">
        <v>0</v>
      </c>
      <c r="W381" s="58">
        <v>0</v>
      </c>
      <c r="X381" s="58">
        <v>0</v>
      </c>
      <c r="Y381" s="58">
        <v>4875</v>
      </c>
      <c r="Z381" s="58">
        <v>4875</v>
      </c>
      <c r="AA381" s="58">
        <v>15139.55</v>
      </c>
      <c r="AE381" s="57"/>
    </row>
    <row r="382" spans="1:31" x14ac:dyDescent="0.35">
      <c r="A382" s="56" t="s">
        <v>447</v>
      </c>
      <c r="B382" s="58">
        <v>13950</v>
      </c>
      <c r="C382" s="58" t="s">
        <v>33</v>
      </c>
      <c r="D382" s="58">
        <v>511</v>
      </c>
      <c r="E382" s="58">
        <v>-428</v>
      </c>
      <c r="F382" s="58">
        <v>-45.580404685835994</v>
      </c>
      <c r="G382" s="58">
        <v>955</v>
      </c>
      <c r="H382" s="58">
        <v>54.53</v>
      </c>
      <c r="I382" s="58">
        <v>0.25</v>
      </c>
      <c r="J382" s="58">
        <v>-0.65</v>
      </c>
      <c r="K382" s="58">
        <v>-72.222222222222214</v>
      </c>
      <c r="L382" s="58">
        <v>24150</v>
      </c>
      <c r="M382" s="58">
        <v>62325</v>
      </c>
      <c r="N382" s="58">
        <v>15139.55</v>
      </c>
      <c r="O382" s="58">
        <v>13950</v>
      </c>
      <c r="P382" s="58" t="s">
        <v>33</v>
      </c>
      <c r="Q382" s="58">
        <v>3</v>
      </c>
      <c r="R382" s="58">
        <v>0</v>
      </c>
      <c r="S382" s="58">
        <v>0</v>
      </c>
      <c r="T382" s="58">
        <v>1</v>
      </c>
      <c r="U382" s="58">
        <v>120.73</v>
      </c>
      <c r="V382" s="58">
        <v>1232</v>
      </c>
      <c r="W382" s="58">
        <v>87.349999999999909</v>
      </c>
      <c r="X382" s="58">
        <v>7.6311536277464649</v>
      </c>
      <c r="Y382" s="58">
        <v>15525</v>
      </c>
      <c r="Z382" s="58">
        <v>15450</v>
      </c>
      <c r="AA382" s="58">
        <v>15139.55</v>
      </c>
      <c r="AE382" s="57"/>
    </row>
    <row r="383" spans="1:31" x14ac:dyDescent="0.35">
      <c r="A383" s="56" t="s">
        <v>448</v>
      </c>
      <c r="B383" s="58">
        <v>13950</v>
      </c>
      <c r="C383" s="58" t="s">
        <v>2071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2925</v>
      </c>
      <c r="M383" s="58">
        <v>9750</v>
      </c>
      <c r="N383" s="58">
        <v>15143.3</v>
      </c>
      <c r="O383" s="58">
        <v>13950</v>
      </c>
      <c r="P383" s="58" t="s">
        <v>2071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15143.3</v>
      </c>
      <c r="AE383" s="57"/>
    </row>
    <row r="384" spans="1:31" x14ac:dyDescent="0.35">
      <c r="A384" s="56" t="s">
        <v>449</v>
      </c>
      <c r="B384" s="58">
        <v>13950</v>
      </c>
      <c r="C384" s="58" t="s">
        <v>2073</v>
      </c>
      <c r="D384" s="58">
        <v>0</v>
      </c>
      <c r="E384" s="58">
        <v>0</v>
      </c>
      <c r="F384" s="58">
        <v>0</v>
      </c>
      <c r="G384" s="58">
        <v>0</v>
      </c>
      <c r="H384" s="58">
        <v>0</v>
      </c>
      <c r="I384" s="58">
        <v>0</v>
      </c>
      <c r="J384" s="58">
        <v>0</v>
      </c>
      <c r="K384" s="58">
        <v>0</v>
      </c>
      <c r="L384" s="58">
        <v>3075</v>
      </c>
      <c r="M384" s="58">
        <v>9750</v>
      </c>
      <c r="N384" s="58">
        <v>15143.3</v>
      </c>
      <c r="O384" s="58">
        <v>13950</v>
      </c>
      <c r="P384" s="58" t="s">
        <v>2073</v>
      </c>
      <c r="Q384" s="58">
        <v>0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4875</v>
      </c>
      <c r="Z384" s="58">
        <v>4875</v>
      </c>
      <c r="AA384" s="58">
        <v>15139.55</v>
      </c>
      <c r="AE384" s="57"/>
    </row>
    <row r="385" spans="1:31" x14ac:dyDescent="0.35">
      <c r="A385" s="56" t="s">
        <v>450</v>
      </c>
      <c r="B385" s="58">
        <v>13950</v>
      </c>
      <c r="C385" s="58" t="s">
        <v>2074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0</v>
      </c>
      <c r="M385" s="58">
        <v>4875</v>
      </c>
      <c r="N385" s="58">
        <v>15139.55</v>
      </c>
      <c r="O385" s="58">
        <v>13950</v>
      </c>
      <c r="P385" s="58" t="s">
        <v>2074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15139.55</v>
      </c>
      <c r="AE385" s="57"/>
    </row>
    <row r="386" spans="1:31" x14ac:dyDescent="0.35">
      <c r="A386" s="56" t="s">
        <v>451</v>
      </c>
      <c r="B386" s="58">
        <v>13950</v>
      </c>
      <c r="C386" s="58" t="s">
        <v>2068</v>
      </c>
      <c r="D386" s="58">
        <v>76</v>
      </c>
      <c r="E386" s="58">
        <v>-1</v>
      </c>
      <c r="F386" s="58">
        <v>-1.2987012987012987</v>
      </c>
      <c r="G386" s="58">
        <v>8</v>
      </c>
      <c r="H386" s="58">
        <v>24.09</v>
      </c>
      <c r="I386" s="58">
        <v>93.8</v>
      </c>
      <c r="J386" s="58">
        <v>-15</v>
      </c>
      <c r="K386" s="58">
        <v>-13.786764705882351</v>
      </c>
      <c r="L386" s="58">
        <v>20100</v>
      </c>
      <c r="M386" s="58">
        <v>5250</v>
      </c>
      <c r="N386" s="58">
        <v>15139.55</v>
      </c>
      <c r="O386" s="58">
        <v>13950</v>
      </c>
      <c r="P386" s="58" t="s">
        <v>2068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8250</v>
      </c>
      <c r="Z386" s="58">
        <v>8250</v>
      </c>
      <c r="AA386" s="58">
        <v>15139.55</v>
      </c>
      <c r="AE386" s="57"/>
    </row>
    <row r="387" spans="1:31" x14ac:dyDescent="0.35">
      <c r="A387" s="56" t="s">
        <v>452</v>
      </c>
      <c r="B387" s="58">
        <v>13950</v>
      </c>
      <c r="C387" s="58" t="s">
        <v>2076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4875</v>
      </c>
      <c r="N387" s="58">
        <v>15139.55</v>
      </c>
      <c r="O387" s="58">
        <v>13950</v>
      </c>
      <c r="P387" s="58" t="s">
        <v>2076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15139.55</v>
      </c>
      <c r="AE387" s="57"/>
    </row>
    <row r="388" spans="1:31" x14ac:dyDescent="0.35">
      <c r="A388" s="56" t="s">
        <v>453</v>
      </c>
      <c r="B388" s="58">
        <v>13950</v>
      </c>
      <c r="C388" s="58" t="s">
        <v>2075</v>
      </c>
      <c r="D388" s="58">
        <v>0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4200</v>
      </c>
      <c r="M388" s="58">
        <v>9750</v>
      </c>
      <c r="N388" s="58">
        <v>15143.3</v>
      </c>
      <c r="O388" s="58">
        <v>13950</v>
      </c>
      <c r="P388" s="58" t="s">
        <v>2075</v>
      </c>
      <c r="Q388" s="58">
        <v>0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5400</v>
      </c>
      <c r="Z388" s="58">
        <v>4875</v>
      </c>
      <c r="AA388" s="58">
        <v>15139.55</v>
      </c>
      <c r="AE388" s="57"/>
    </row>
    <row r="389" spans="1:31" x14ac:dyDescent="0.35">
      <c r="A389" s="56" t="s">
        <v>454</v>
      </c>
      <c r="B389" s="58">
        <v>13950</v>
      </c>
      <c r="C389" s="58" t="s">
        <v>26</v>
      </c>
      <c r="D389" s="58">
        <v>179</v>
      </c>
      <c r="E389" s="58">
        <v>4</v>
      </c>
      <c r="F389" s="58">
        <v>2.2857142857142856</v>
      </c>
      <c r="G389" s="58">
        <v>48</v>
      </c>
      <c r="H389" s="58">
        <v>28.71</v>
      </c>
      <c r="I389" s="58">
        <v>26.25</v>
      </c>
      <c r="J389" s="58">
        <v>-7.9500000000000028</v>
      </c>
      <c r="K389" s="58">
        <v>-23.245614035087726</v>
      </c>
      <c r="L389" s="58">
        <v>68700</v>
      </c>
      <c r="M389" s="58">
        <v>16500</v>
      </c>
      <c r="N389" s="58">
        <v>15139.55</v>
      </c>
      <c r="O389" s="58">
        <v>13950</v>
      </c>
      <c r="P389" s="58" t="s">
        <v>26</v>
      </c>
      <c r="Q389" s="58">
        <v>3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15675</v>
      </c>
      <c r="Z389" s="58">
        <v>15900</v>
      </c>
      <c r="AA389" s="58">
        <v>15139.55</v>
      </c>
      <c r="AE389" s="57"/>
    </row>
    <row r="390" spans="1:31" x14ac:dyDescent="0.35">
      <c r="A390" s="56" t="s">
        <v>455</v>
      </c>
      <c r="B390" s="58">
        <v>14000</v>
      </c>
      <c r="C390" s="58" t="s">
        <v>34</v>
      </c>
      <c r="D390" s="58">
        <v>7640</v>
      </c>
      <c r="E390" s="58">
        <v>367</v>
      </c>
      <c r="F390" s="58">
        <v>5.0460607727210229</v>
      </c>
      <c r="G390" s="58">
        <v>9672</v>
      </c>
      <c r="H390" s="58">
        <v>28.7</v>
      </c>
      <c r="I390" s="58">
        <v>7.1</v>
      </c>
      <c r="J390" s="58">
        <v>-2.75</v>
      </c>
      <c r="K390" s="58">
        <v>-27.918781725888326</v>
      </c>
      <c r="L390" s="58">
        <v>162450</v>
      </c>
      <c r="M390" s="58">
        <v>93450</v>
      </c>
      <c r="N390" s="58">
        <v>15143.3</v>
      </c>
      <c r="O390" s="58">
        <v>14000</v>
      </c>
      <c r="P390" s="58" t="s">
        <v>34</v>
      </c>
      <c r="Q390" s="58">
        <v>92</v>
      </c>
      <c r="R390" s="58">
        <v>25</v>
      </c>
      <c r="S390" s="58">
        <v>37.313432835820898</v>
      </c>
      <c r="T390" s="58">
        <v>62</v>
      </c>
      <c r="U390" s="58">
        <v>0</v>
      </c>
      <c r="V390" s="58">
        <v>1151</v>
      </c>
      <c r="W390" s="58">
        <v>7.5999999999999091</v>
      </c>
      <c r="X390" s="58">
        <v>0.66468427496938154</v>
      </c>
      <c r="Y390" s="58">
        <v>9150</v>
      </c>
      <c r="Z390" s="58">
        <v>9000</v>
      </c>
      <c r="AA390" s="58">
        <v>15143.3</v>
      </c>
      <c r="AE390" s="57"/>
    </row>
    <row r="391" spans="1:31" x14ac:dyDescent="0.35">
      <c r="A391" s="56" t="s">
        <v>456</v>
      </c>
      <c r="B391" s="58">
        <v>14000</v>
      </c>
      <c r="C391" s="58" t="s">
        <v>26</v>
      </c>
      <c r="D391" s="58">
        <v>45791</v>
      </c>
      <c r="E391" s="58">
        <v>-2593</v>
      </c>
      <c r="F391" s="58">
        <v>-5.3592096560846558</v>
      </c>
      <c r="G391" s="58">
        <v>27594</v>
      </c>
      <c r="H391" s="58">
        <v>28.55</v>
      </c>
      <c r="I391" s="58">
        <v>29</v>
      </c>
      <c r="J391" s="58">
        <v>-8.4500000000000028</v>
      </c>
      <c r="K391" s="58">
        <v>-22.5634178905207</v>
      </c>
      <c r="L391" s="58">
        <v>162225</v>
      </c>
      <c r="M391" s="58">
        <v>113475</v>
      </c>
      <c r="N391" s="58">
        <v>15139.55</v>
      </c>
      <c r="O391" s="58">
        <v>14000</v>
      </c>
      <c r="P391" s="58" t="s">
        <v>26</v>
      </c>
      <c r="Q391" s="58">
        <v>7588</v>
      </c>
      <c r="R391" s="58">
        <v>-152</v>
      </c>
      <c r="S391" s="58">
        <v>-1.9638242894056848</v>
      </c>
      <c r="T391" s="58">
        <v>350</v>
      </c>
      <c r="U391" s="58">
        <v>0</v>
      </c>
      <c r="V391" s="58">
        <v>1194.9000000000001</v>
      </c>
      <c r="W391" s="58">
        <v>23.600000000000136</v>
      </c>
      <c r="X391" s="58">
        <v>2.0148552889951454</v>
      </c>
      <c r="Y391" s="58">
        <v>26325</v>
      </c>
      <c r="Z391" s="58">
        <v>26325</v>
      </c>
      <c r="AA391" s="58">
        <v>15143.3</v>
      </c>
      <c r="AE391" s="57"/>
    </row>
    <row r="392" spans="1:31" x14ac:dyDescent="0.35">
      <c r="A392" s="56" t="s">
        <v>457</v>
      </c>
      <c r="B392" s="58">
        <v>14000</v>
      </c>
      <c r="C392" s="58" t="s">
        <v>2071</v>
      </c>
      <c r="D392" s="58">
        <v>2</v>
      </c>
      <c r="E392" s="58">
        <v>0</v>
      </c>
      <c r="F392" s="58">
        <v>0</v>
      </c>
      <c r="G392" s="58">
        <v>1</v>
      </c>
      <c r="H392" s="58">
        <v>28.42</v>
      </c>
      <c r="I392" s="58">
        <v>84</v>
      </c>
      <c r="J392" s="58">
        <v>-54.550000000000011</v>
      </c>
      <c r="K392" s="58">
        <v>-39.372067845543128</v>
      </c>
      <c r="L392" s="58">
        <v>9750</v>
      </c>
      <c r="M392" s="58">
        <v>7350</v>
      </c>
      <c r="N392" s="58">
        <v>15139.55</v>
      </c>
      <c r="O392" s="58">
        <v>14000</v>
      </c>
      <c r="P392" s="58" t="s">
        <v>2071</v>
      </c>
      <c r="Q392" s="58">
        <v>0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4875</v>
      </c>
      <c r="Z392" s="58">
        <v>4875</v>
      </c>
      <c r="AA392" s="58">
        <v>15139.55</v>
      </c>
      <c r="AE392" s="57"/>
    </row>
    <row r="393" spans="1:31" x14ac:dyDescent="0.35">
      <c r="A393" s="56" t="s">
        <v>458</v>
      </c>
      <c r="B393" s="58">
        <v>14000</v>
      </c>
      <c r="C393" s="58" t="s">
        <v>2073</v>
      </c>
      <c r="D393" s="58">
        <v>0</v>
      </c>
      <c r="E393" s="58">
        <v>0</v>
      </c>
      <c r="F393" s="58">
        <v>0</v>
      </c>
      <c r="G393" s="58">
        <v>0</v>
      </c>
      <c r="H393" s="58">
        <v>0</v>
      </c>
      <c r="I393" s="58">
        <v>0</v>
      </c>
      <c r="J393" s="58">
        <v>0</v>
      </c>
      <c r="K393" s="58">
        <v>0</v>
      </c>
      <c r="L393" s="58">
        <v>6150</v>
      </c>
      <c r="M393" s="58">
        <v>9750</v>
      </c>
      <c r="N393" s="58">
        <v>15139.55</v>
      </c>
      <c r="O393" s="58">
        <v>14000</v>
      </c>
      <c r="P393" s="58" t="s">
        <v>2073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4875</v>
      </c>
      <c r="Z393" s="58">
        <v>4875</v>
      </c>
      <c r="AA393" s="58">
        <v>15139.55</v>
      </c>
      <c r="AE393" s="57"/>
    </row>
    <row r="394" spans="1:31" x14ac:dyDescent="0.35">
      <c r="A394" s="56" t="s">
        <v>459</v>
      </c>
      <c r="B394" s="58">
        <v>14000</v>
      </c>
      <c r="C394" s="58" t="s">
        <v>2074</v>
      </c>
      <c r="D394" s="58">
        <v>1</v>
      </c>
      <c r="E394" s="58">
        <v>1</v>
      </c>
      <c r="F394" s="58">
        <v>0</v>
      </c>
      <c r="G394" s="58">
        <v>2</v>
      </c>
      <c r="H394" s="58">
        <v>24.6</v>
      </c>
      <c r="I394" s="58">
        <v>90</v>
      </c>
      <c r="J394" s="58">
        <v>-155</v>
      </c>
      <c r="K394" s="58">
        <v>-63.265306122448983</v>
      </c>
      <c r="L394" s="58">
        <v>4275</v>
      </c>
      <c r="M394" s="58">
        <v>5175</v>
      </c>
      <c r="N394" s="58">
        <v>15139.55</v>
      </c>
      <c r="O394" s="58">
        <v>14000</v>
      </c>
      <c r="P394" s="58" t="s">
        <v>2074</v>
      </c>
      <c r="Q394" s="58">
        <v>0</v>
      </c>
      <c r="R394" s="58">
        <v>0</v>
      </c>
      <c r="S394" s="58">
        <v>0</v>
      </c>
      <c r="T394" s="58">
        <v>0</v>
      </c>
      <c r="U394" s="58">
        <v>0</v>
      </c>
      <c r="V394" s="58">
        <v>0</v>
      </c>
      <c r="W394" s="58">
        <v>0</v>
      </c>
      <c r="X394" s="58">
        <v>0</v>
      </c>
      <c r="Y394" s="58">
        <v>4875</v>
      </c>
      <c r="Z394" s="58">
        <v>4875</v>
      </c>
      <c r="AA394" s="58">
        <v>15139.55</v>
      </c>
      <c r="AE394" s="57"/>
    </row>
    <row r="395" spans="1:31" x14ac:dyDescent="0.35">
      <c r="A395" s="56" t="s">
        <v>460</v>
      </c>
      <c r="B395" s="58">
        <v>14000</v>
      </c>
      <c r="C395" s="58" t="s">
        <v>2068</v>
      </c>
      <c r="D395" s="58">
        <v>25230</v>
      </c>
      <c r="E395" s="58">
        <v>9648</v>
      </c>
      <c r="F395" s="58">
        <v>61.917597227570269</v>
      </c>
      <c r="G395" s="58">
        <v>11303</v>
      </c>
      <c r="H395" s="58">
        <v>23.93</v>
      </c>
      <c r="I395" s="58">
        <v>100</v>
      </c>
      <c r="J395" s="58">
        <v>-17.549999999999997</v>
      </c>
      <c r="K395" s="58">
        <v>-14.92981709910676</v>
      </c>
      <c r="L395" s="58">
        <v>58575</v>
      </c>
      <c r="M395" s="58">
        <v>23475</v>
      </c>
      <c r="N395" s="58">
        <v>15139.55</v>
      </c>
      <c r="O395" s="58">
        <v>14000</v>
      </c>
      <c r="P395" s="58" t="s">
        <v>2068</v>
      </c>
      <c r="Q395" s="58">
        <v>1182</v>
      </c>
      <c r="R395" s="58">
        <v>216</v>
      </c>
      <c r="S395" s="58">
        <v>22.36024844720497</v>
      </c>
      <c r="T395" s="58">
        <v>268</v>
      </c>
      <c r="U395" s="58">
        <v>0</v>
      </c>
      <c r="V395" s="58">
        <v>1318</v>
      </c>
      <c r="W395" s="58">
        <v>3.3499999999999091</v>
      </c>
      <c r="X395" s="58">
        <v>0.25482067470428699</v>
      </c>
      <c r="Y395" s="58">
        <v>21450</v>
      </c>
      <c r="Z395" s="58">
        <v>17250</v>
      </c>
      <c r="AA395" s="58">
        <v>15143.3</v>
      </c>
      <c r="AE395" s="57"/>
    </row>
    <row r="396" spans="1:31" x14ac:dyDescent="0.35">
      <c r="A396" s="56" t="s">
        <v>461</v>
      </c>
      <c r="B396" s="58">
        <v>14000</v>
      </c>
      <c r="C396" s="58" t="s">
        <v>2076</v>
      </c>
      <c r="D396" s="58">
        <v>0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0</v>
      </c>
      <c r="M396" s="58">
        <v>4875</v>
      </c>
      <c r="N396" s="58">
        <v>15139.55</v>
      </c>
      <c r="O396" s="58">
        <v>14000</v>
      </c>
      <c r="P396" s="58" t="s">
        <v>2076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15139.55</v>
      </c>
      <c r="AE396" s="57"/>
    </row>
    <row r="397" spans="1:31" x14ac:dyDescent="0.35">
      <c r="A397" s="56" t="s">
        <v>462</v>
      </c>
      <c r="B397" s="58">
        <v>14000</v>
      </c>
      <c r="C397" s="58" t="s">
        <v>2075</v>
      </c>
      <c r="D397" s="58">
        <v>2242</v>
      </c>
      <c r="E397" s="58">
        <v>13</v>
      </c>
      <c r="F397" s="58">
        <v>0.58322117541498431</v>
      </c>
      <c r="G397" s="58">
        <v>90</v>
      </c>
      <c r="H397" s="58">
        <v>24.8</v>
      </c>
      <c r="I397" s="58">
        <v>170</v>
      </c>
      <c r="J397" s="58">
        <v>-24.599999999999991</v>
      </c>
      <c r="K397" s="58">
        <v>-12.641315519013355</v>
      </c>
      <c r="L397" s="58">
        <v>17625</v>
      </c>
      <c r="M397" s="58">
        <v>15750</v>
      </c>
      <c r="N397" s="58">
        <v>15143.3</v>
      </c>
      <c r="O397" s="58">
        <v>14000</v>
      </c>
      <c r="P397" s="58" t="s">
        <v>2075</v>
      </c>
      <c r="Q397" s="58">
        <v>6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10200</v>
      </c>
      <c r="Z397" s="58">
        <v>10050</v>
      </c>
      <c r="AA397" s="58">
        <v>15139.55</v>
      </c>
      <c r="AE397" s="57"/>
    </row>
    <row r="398" spans="1:31" x14ac:dyDescent="0.35">
      <c r="A398" s="56" t="s">
        <v>463</v>
      </c>
      <c r="B398" s="58">
        <v>14000</v>
      </c>
      <c r="C398" s="58" t="s">
        <v>27</v>
      </c>
      <c r="D398" s="58">
        <v>935</v>
      </c>
      <c r="E398" s="58">
        <v>11</v>
      </c>
      <c r="F398" s="58">
        <v>1.1904761904761905</v>
      </c>
      <c r="G398" s="58">
        <v>41</v>
      </c>
      <c r="H398" s="58">
        <v>25.48</v>
      </c>
      <c r="I398" s="58">
        <v>243.9</v>
      </c>
      <c r="J398" s="58">
        <v>-18.499999999999972</v>
      </c>
      <c r="K398" s="58">
        <v>-7.0503048780487703</v>
      </c>
      <c r="L398" s="58">
        <v>15600</v>
      </c>
      <c r="M398" s="58">
        <v>14850</v>
      </c>
      <c r="N398" s="58">
        <v>15143.3</v>
      </c>
      <c r="O398" s="58">
        <v>14000</v>
      </c>
      <c r="P398" s="58" t="s">
        <v>27</v>
      </c>
      <c r="Q398" s="58">
        <v>51</v>
      </c>
      <c r="R398" s="58">
        <v>5</v>
      </c>
      <c r="S398" s="58">
        <v>10.869565217391305</v>
      </c>
      <c r="T398" s="58">
        <v>6</v>
      </c>
      <c r="U398" s="58">
        <v>0</v>
      </c>
      <c r="V398" s="58">
        <v>1500</v>
      </c>
      <c r="W398" s="58">
        <v>121.15000000000008</v>
      </c>
      <c r="X398" s="58">
        <v>8.7863074301048041</v>
      </c>
      <c r="Y398" s="58">
        <v>3600</v>
      </c>
      <c r="Z398" s="58">
        <v>525</v>
      </c>
      <c r="AA398" s="58">
        <v>15143.3</v>
      </c>
      <c r="AE398" s="57"/>
    </row>
    <row r="399" spans="1:31" x14ac:dyDescent="0.35">
      <c r="A399" s="56" t="s">
        <v>464</v>
      </c>
      <c r="B399" s="58">
        <v>14000</v>
      </c>
      <c r="C399" s="58" t="s">
        <v>31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825</v>
      </c>
      <c r="N399" s="58">
        <v>15139.55</v>
      </c>
      <c r="O399" s="58">
        <v>14000</v>
      </c>
      <c r="P399" s="58" t="s">
        <v>31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1500</v>
      </c>
      <c r="Z399" s="58">
        <v>0</v>
      </c>
      <c r="AA399" s="58">
        <v>15143.3</v>
      </c>
      <c r="AE399" s="57"/>
    </row>
    <row r="400" spans="1:31" x14ac:dyDescent="0.35">
      <c r="A400" s="56" t="s">
        <v>465</v>
      </c>
      <c r="B400" s="58">
        <v>14000</v>
      </c>
      <c r="C400" s="58" t="s">
        <v>29</v>
      </c>
      <c r="D400" s="58">
        <v>1497</v>
      </c>
      <c r="E400" s="58">
        <v>1</v>
      </c>
      <c r="F400" s="58">
        <v>6.684491978609626E-2</v>
      </c>
      <c r="G400" s="58">
        <v>16</v>
      </c>
      <c r="H400" s="58">
        <v>27.96</v>
      </c>
      <c r="I400" s="58">
        <v>560</v>
      </c>
      <c r="J400" s="58">
        <v>-18.5</v>
      </c>
      <c r="K400" s="58">
        <v>-3.1979256698357821</v>
      </c>
      <c r="L400" s="58">
        <v>9600</v>
      </c>
      <c r="M400" s="58">
        <v>4875</v>
      </c>
      <c r="N400" s="58">
        <v>15143.3</v>
      </c>
      <c r="O400" s="58">
        <v>14000</v>
      </c>
      <c r="P400" s="58" t="s">
        <v>29</v>
      </c>
      <c r="Q400" s="58">
        <v>1121</v>
      </c>
      <c r="R400" s="58">
        <v>0</v>
      </c>
      <c r="S400" s="58">
        <v>0</v>
      </c>
      <c r="T400" s="58">
        <v>1</v>
      </c>
      <c r="U400" s="58">
        <v>0</v>
      </c>
      <c r="V400" s="58">
        <v>2030</v>
      </c>
      <c r="W400" s="58">
        <v>10</v>
      </c>
      <c r="X400" s="58">
        <v>0.49504950495049505</v>
      </c>
      <c r="Y400" s="58">
        <v>3975</v>
      </c>
      <c r="Z400" s="58">
        <v>1125</v>
      </c>
      <c r="AA400" s="58">
        <v>15139.55</v>
      </c>
      <c r="AE400" s="57"/>
    </row>
    <row r="401" spans="1:31" x14ac:dyDescent="0.35">
      <c r="A401" s="56" t="s">
        <v>466</v>
      </c>
      <c r="B401" s="58">
        <v>14000</v>
      </c>
      <c r="C401" s="58" t="s">
        <v>28</v>
      </c>
      <c r="D401" s="58">
        <v>0</v>
      </c>
      <c r="E401" s="58">
        <v>0</v>
      </c>
      <c r="F401" s="58">
        <v>0</v>
      </c>
      <c r="G401" s="58">
        <v>0</v>
      </c>
      <c r="H401" s="58">
        <v>0</v>
      </c>
      <c r="I401" s="58">
        <v>0</v>
      </c>
      <c r="J401" s="58">
        <v>0</v>
      </c>
      <c r="K401" s="58">
        <v>0</v>
      </c>
      <c r="L401" s="58">
        <v>0</v>
      </c>
      <c r="M401" s="58">
        <v>525</v>
      </c>
      <c r="N401" s="58">
        <v>15143.3</v>
      </c>
      <c r="O401" s="58">
        <v>14000</v>
      </c>
      <c r="P401" s="58" t="s">
        <v>28</v>
      </c>
      <c r="Q401" s="58">
        <v>2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0</v>
      </c>
      <c r="Z401" s="58">
        <v>150</v>
      </c>
      <c r="AA401" s="58">
        <v>15143.3</v>
      </c>
      <c r="AE401" s="57"/>
    </row>
    <row r="402" spans="1:31" x14ac:dyDescent="0.35">
      <c r="A402" s="56" t="s">
        <v>467</v>
      </c>
      <c r="B402" s="58">
        <v>14000</v>
      </c>
      <c r="C402" s="58" t="s">
        <v>35</v>
      </c>
      <c r="D402" s="58">
        <v>11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0</v>
      </c>
      <c r="M402" s="58">
        <v>150</v>
      </c>
      <c r="N402" s="58">
        <v>15139.55</v>
      </c>
      <c r="O402" s="58">
        <v>0</v>
      </c>
      <c r="P402" s="58">
        <v>0</v>
      </c>
      <c r="Q402" s="58">
        <v>0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0</v>
      </c>
      <c r="Z402" s="58">
        <v>0</v>
      </c>
      <c r="AA402" s="58">
        <v>0</v>
      </c>
      <c r="AE402" s="57"/>
    </row>
    <row r="403" spans="1:31" x14ac:dyDescent="0.35">
      <c r="A403" s="56" t="s">
        <v>468</v>
      </c>
      <c r="B403" s="58">
        <v>14000</v>
      </c>
      <c r="C403" s="58" t="s">
        <v>33</v>
      </c>
      <c r="D403" s="58">
        <v>18355</v>
      </c>
      <c r="E403" s="58">
        <v>-1379</v>
      </c>
      <c r="F403" s="58">
        <v>-6.9879395966352487</v>
      </c>
      <c r="G403" s="58">
        <v>19969</v>
      </c>
      <c r="H403" s="58">
        <v>53.26</v>
      </c>
      <c r="I403" s="58">
        <v>0.3</v>
      </c>
      <c r="J403" s="58">
        <v>-0.55000000000000004</v>
      </c>
      <c r="K403" s="58">
        <v>-64.705882352941174</v>
      </c>
      <c r="L403" s="58">
        <v>2499675</v>
      </c>
      <c r="M403" s="58">
        <v>240825</v>
      </c>
      <c r="N403" s="58">
        <v>15139.55</v>
      </c>
      <c r="O403" s="58">
        <v>14000</v>
      </c>
      <c r="P403" s="58" t="s">
        <v>33</v>
      </c>
      <c r="Q403" s="58">
        <v>403</v>
      </c>
      <c r="R403" s="58">
        <v>-87</v>
      </c>
      <c r="S403" s="58">
        <v>-17.755102040816325</v>
      </c>
      <c r="T403" s="58">
        <v>341</v>
      </c>
      <c r="U403" s="58">
        <v>73.08</v>
      </c>
      <c r="V403" s="58">
        <v>1140</v>
      </c>
      <c r="W403" s="58">
        <v>26.5</v>
      </c>
      <c r="X403" s="58">
        <v>2.3798832510103276</v>
      </c>
      <c r="Y403" s="58">
        <v>128775</v>
      </c>
      <c r="Z403" s="58">
        <v>22050</v>
      </c>
      <c r="AA403" s="58">
        <v>15139.55</v>
      </c>
      <c r="AE403" s="57"/>
    </row>
    <row r="404" spans="1:31" x14ac:dyDescent="0.35">
      <c r="A404" s="56" t="s">
        <v>469</v>
      </c>
      <c r="B404" s="58">
        <v>14000</v>
      </c>
      <c r="C404" s="58" t="s">
        <v>64</v>
      </c>
      <c r="D404" s="58">
        <v>5616</v>
      </c>
      <c r="E404" s="58">
        <v>483</v>
      </c>
      <c r="F404" s="58">
        <v>9.4097019286966681</v>
      </c>
      <c r="G404" s="58">
        <v>812</v>
      </c>
      <c r="H404" s="58">
        <v>27.38</v>
      </c>
      <c r="I404" s="58">
        <v>49</v>
      </c>
      <c r="J404" s="58">
        <v>-10.4</v>
      </c>
      <c r="K404" s="58">
        <v>-17.508417508417505</v>
      </c>
      <c r="L404" s="58">
        <v>11175</v>
      </c>
      <c r="M404" s="58">
        <v>6675</v>
      </c>
      <c r="N404" s="58">
        <v>15143.3</v>
      </c>
      <c r="O404" s="58">
        <v>14000</v>
      </c>
      <c r="P404" s="58" t="s">
        <v>64</v>
      </c>
      <c r="Q404" s="58">
        <v>4668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4875</v>
      </c>
      <c r="Z404" s="58">
        <v>4875</v>
      </c>
      <c r="AA404" s="58">
        <v>15139.55</v>
      </c>
      <c r="AE404" s="57"/>
    </row>
    <row r="405" spans="1:31" x14ac:dyDescent="0.35">
      <c r="A405" s="56" t="s">
        <v>470</v>
      </c>
      <c r="B405" s="58">
        <v>14050</v>
      </c>
      <c r="C405" s="58" t="s">
        <v>26</v>
      </c>
      <c r="D405" s="58">
        <v>260</v>
      </c>
      <c r="E405" s="58">
        <v>68</v>
      </c>
      <c r="F405" s="58">
        <v>35.416666666666664</v>
      </c>
      <c r="G405" s="58">
        <v>449</v>
      </c>
      <c r="H405" s="58">
        <v>28.2</v>
      </c>
      <c r="I405" s="58">
        <v>32.15</v>
      </c>
      <c r="J405" s="58">
        <v>-8.75</v>
      </c>
      <c r="K405" s="58">
        <v>-21.393643031784844</v>
      </c>
      <c r="L405" s="58">
        <v>63375</v>
      </c>
      <c r="M405" s="58">
        <v>22425</v>
      </c>
      <c r="N405" s="58">
        <v>15139.55</v>
      </c>
      <c r="O405" s="58">
        <v>14050</v>
      </c>
      <c r="P405" s="58" t="s">
        <v>26</v>
      </c>
      <c r="Q405" s="58">
        <v>6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19800</v>
      </c>
      <c r="Z405" s="58">
        <v>15750</v>
      </c>
      <c r="AA405" s="58">
        <v>15143.3</v>
      </c>
      <c r="AE405" s="57"/>
    </row>
    <row r="406" spans="1:31" x14ac:dyDescent="0.35">
      <c r="A406" s="56" t="s">
        <v>471</v>
      </c>
      <c r="B406" s="58">
        <v>14050</v>
      </c>
      <c r="C406" s="58" t="s">
        <v>2075</v>
      </c>
      <c r="D406" s="58">
        <v>0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1950</v>
      </c>
      <c r="M406" s="58">
        <v>9750</v>
      </c>
      <c r="N406" s="58">
        <v>15139.55</v>
      </c>
      <c r="O406" s="58">
        <v>14050</v>
      </c>
      <c r="P406" s="58" t="s">
        <v>2075</v>
      </c>
      <c r="Q406" s="58">
        <v>0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9975</v>
      </c>
      <c r="Z406" s="58">
        <v>4875</v>
      </c>
      <c r="AA406" s="58">
        <v>15139.55</v>
      </c>
      <c r="AE406" s="57"/>
    </row>
    <row r="407" spans="1:31" x14ac:dyDescent="0.35">
      <c r="A407" s="56" t="s">
        <v>472</v>
      </c>
      <c r="B407" s="58">
        <v>14050</v>
      </c>
      <c r="C407" s="58" t="s">
        <v>2071</v>
      </c>
      <c r="D407" s="58">
        <v>1</v>
      </c>
      <c r="E407" s="58">
        <v>0</v>
      </c>
      <c r="F407" s="58">
        <v>0</v>
      </c>
      <c r="G407" s="58">
        <v>0</v>
      </c>
      <c r="H407" s="58">
        <v>0</v>
      </c>
      <c r="I407" s="58">
        <v>0</v>
      </c>
      <c r="J407" s="58">
        <v>0</v>
      </c>
      <c r="K407" s="58">
        <v>0</v>
      </c>
      <c r="L407" s="58">
        <v>3075</v>
      </c>
      <c r="M407" s="58">
        <v>9750</v>
      </c>
      <c r="N407" s="58">
        <v>15143.3</v>
      </c>
      <c r="O407" s="58">
        <v>14050</v>
      </c>
      <c r="P407" s="58" t="s">
        <v>2071</v>
      </c>
      <c r="Q407" s="58">
        <v>0</v>
      </c>
      <c r="R407" s="58">
        <v>0</v>
      </c>
      <c r="S407" s="58">
        <v>0</v>
      </c>
      <c r="T407" s="58">
        <v>0</v>
      </c>
      <c r="U407" s="58">
        <v>0</v>
      </c>
      <c r="V407" s="58">
        <v>0</v>
      </c>
      <c r="W407" s="58">
        <v>0</v>
      </c>
      <c r="X407" s="58">
        <v>0</v>
      </c>
      <c r="Y407" s="58">
        <v>4875</v>
      </c>
      <c r="Z407" s="58">
        <v>4875</v>
      </c>
      <c r="AA407" s="58">
        <v>15143.3</v>
      </c>
      <c r="AE407" s="57"/>
    </row>
    <row r="408" spans="1:31" x14ac:dyDescent="0.35">
      <c r="A408" s="56" t="s">
        <v>473</v>
      </c>
      <c r="B408" s="58">
        <v>14050</v>
      </c>
      <c r="C408" s="58" t="s">
        <v>2073</v>
      </c>
      <c r="D408" s="58">
        <v>0</v>
      </c>
      <c r="E408" s="58">
        <v>0</v>
      </c>
      <c r="F408" s="58">
        <v>0</v>
      </c>
      <c r="G408" s="58">
        <v>0</v>
      </c>
      <c r="H408" s="58">
        <v>0</v>
      </c>
      <c r="I408" s="58">
        <v>0</v>
      </c>
      <c r="J408" s="58">
        <v>0</v>
      </c>
      <c r="K408" s="58">
        <v>0</v>
      </c>
      <c r="L408" s="58">
        <v>3075</v>
      </c>
      <c r="M408" s="58">
        <v>9750</v>
      </c>
      <c r="N408" s="58">
        <v>15143.3</v>
      </c>
      <c r="O408" s="58">
        <v>14050</v>
      </c>
      <c r="P408" s="58" t="s">
        <v>2073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15139.55</v>
      </c>
      <c r="AE408" s="57"/>
    </row>
    <row r="409" spans="1:31" x14ac:dyDescent="0.35">
      <c r="A409" s="56" t="s">
        <v>474</v>
      </c>
      <c r="B409" s="58">
        <v>14050</v>
      </c>
      <c r="C409" s="58" t="s">
        <v>2074</v>
      </c>
      <c r="D409" s="58">
        <v>0</v>
      </c>
      <c r="E409" s="58">
        <v>0</v>
      </c>
      <c r="F409" s="58">
        <v>0</v>
      </c>
      <c r="G409" s="58">
        <v>0</v>
      </c>
      <c r="H409" s="58">
        <v>0</v>
      </c>
      <c r="I409" s="58">
        <v>0</v>
      </c>
      <c r="J409" s="58">
        <v>0</v>
      </c>
      <c r="K409" s="58">
        <v>0</v>
      </c>
      <c r="L409" s="58">
        <v>0</v>
      </c>
      <c r="M409" s="58">
        <v>4875</v>
      </c>
      <c r="N409" s="58">
        <v>15139.55</v>
      </c>
      <c r="O409" s="58">
        <v>14050</v>
      </c>
      <c r="P409" s="58" t="s">
        <v>2074</v>
      </c>
      <c r="Q409" s="58">
        <v>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4875</v>
      </c>
      <c r="Z409" s="58">
        <v>4875</v>
      </c>
      <c r="AA409" s="58">
        <v>15139.55</v>
      </c>
      <c r="AE409" s="57"/>
    </row>
    <row r="410" spans="1:31" x14ac:dyDescent="0.35">
      <c r="A410" s="56" t="s">
        <v>475</v>
      </c>
      <c r="B410" s="58">
        <v>14050</v>
      </c>
      <c r="C410" s="58" t="s">
        <v>2068</v>
      </c>
      <c r="D410" s="58">
        <v>113</v>
      </c>
      <c r="E410" s="58">
        <v>0</v>
      </c>
      <c r="F410" s="58">
        <v>0</v>
      </c>
      <c r="G410" s="58">
        <v>6</v>
      </c>
      <c r="H410" s="58">
        <v>23.94</v>
      </c>
      <c r="I410" s="58">
        <v>107.95</v>
      </c>
      <c r="J410" s="58">
        <v>-20.100000000000009</v>
      </c>
      <c r="K410" s="58">
        <v>-15.696993361967987</v>
      </c>
      <c r="L410" s="58">
        <v>8850</v>
      </c>
      <c r="M410" s="58">
        <v>5100</v>
      </c>
      <c r="N410" s="58">
        <v>15139.55</v>
      </c>
      <c r="O410" s="58">
        <v>14050</v>
      </c>
      <c r="P410" s="58" t="s">
        <v>2068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8775</v>
      </c>
      <c r="Z410" s="58">
        <v>8925</v>
      </c>
      <c r="AA410" s="58">
        <v>15143.3</v>
      </c>
      <c r="AE410" s="57"/>
    </row>
    <row r="411" spans="1:31" x14ac:dyDescent="0.35">
      <c r="A411" s="56" t="s">
        <v>476</v>
      </c>
      <c r="B411" s="58">
        <v>0</v>
      </c>
      <c r="C411" s="58">
        <v>0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0</v>
      </c>
      <c r="M411" s="58">
        <v>0</v>
      </c>
      <c r="N411" s="58">
        <v>0</v>
      </c>
      <c r="O411" s="58">
        <v>14050</v>
      </c>
      <c r="P411" s="58" t="s">
        <v>2076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15139.55</v>
      </c>
      <c r="AE411" s="57"/>
    </row>
    <row r="412" spans="1:31" x14ac:dyDescent="0.35">
      <c r="A412" s="56" t="s">
        <v>477</v>
      </c>
      <c r="B412" s="58">
        <v>14050</v>
      </c>
      <c r="C412" s="58" t="s">
        <v>34</v>
      </c>
      <c r="D412" s="58">
        <v>87</v>
      </c>
      <c r="E412" s="58">
        <v>57</v>
      </c>
      <c r="F412" s="58">
        <v>190</v>
      </c>
      <c r="G412" s="58">
        <v>444</v>
      </c>
      <c r="H412" s="58">
        <v>27.93</v>
      </c>
      <c r="I412" s="58">
        <v>7.55</v>
      </c>
      <c r="J412" s="58">
        <v>-3.3500000000000005</v>
      </c>
      <c r="K412" s="58">
        <v>-30.733944954128447</v>
      </c>
      <c r="L412" s="58">
        <v>91725</v>
      </c>
      <c r="M412" s="58">
        <v>29025</v>
      </c>
      <c r="N412" s="58">
        <v>15139.55</v>
      </c>
      <c r="O412" s="58">
        <v>14050</v>
      </c>
      <c r="P412" s="58" t="s">
        <v>34</v>
      </c>
      <c r="Q412" s="58">
        <v>1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13275</v>
      </c>
      <c r="Z412" s="58">
        <v>11025</v>
      </c>
      <c r="AA412" s="58">
        <v>15143.3</v>
      </c>
      <c r="AE412" s="57"/>
    </row>
    <row r="413" spans="1:31" x14ac:dyDescent="0.35">
      <c r="A413" s="56" t="s">
        <v>478</v>
      </c>
      <c r="B413" s="58">
        <v>14050</v>
      </c>
      <c r="C413" s="58" t="s">
        <v>33</v>
      </c>
      <c r="D413" s="58">
        <v>577</v>
      </c>
      <c r="E413" s="58">
        <v>-71</v>
      </c>
      <c r="F413" s="58">
        <v>-10.956790123456789</v>
      </c>
      <c r="G413" s="58">
        <v>447</v>
      </c>
      <c r="H413" s="58">
        <v>51.83</v>
      </c>
      <c r="I413" s="58">
        <v>0.2</v>
      </c>
      <c r="J413" s="58">
        <v>-0.75</v>
      </c>
      <c r="K413" s="58">
        <v>-78.94736842105263</v>
      </c>
      <c r="L413" s="58">
        <v>25350</v>
      </c>
      <c r="M413" s="58">
        <v>65325</v>
      </c>
      <c r="N413" s="58">
        <v>15139.55</v>
      </c>
      <c r="O413" s="58">
        <v>14050</v>
      </c>
      <c r="P413" s="58" t="s">
        <v>33</v>
      </c>
      <c r="Q413" s="58">
        <v>1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21675</v>
      </c>
      <c r="Z413" s="58">
        <v>18075</v>
      </c>
      <c r="AA413" s="58">
        <v>15139.55</v>
      </c>
      <c r="AE413" s="57"/>
    </row>
    <row r="414" spans="1:31" x14ac:dyDescent="0.35">
      <c r="A414" s="56" t="s">
        <v>479</v>
      </c>
      <c r="B414" s="58">
        <v>14050</v>
      </c>
      <c r="C414" s="58" t="s">
        <v>64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7800</v>
      </c>
      <c r="M414" s="58">
        <v>9825</v>
      </c>
      <c r="N414" s="58">
        <v>15139.55</v>
      </c>
      <c r="O414" s="58">
        <v>14050</v>
      </c>
      <c r="P414" s="58" t="s">
        <v>64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15143.3</v>
      </c>
      <c r="AE414" s="57"/>
    </row>
    <row r="415" spans="1:31" x14ac:dyDescent="0.35">
      <c r="A415" s="56" t="s">
        <v>480</v>
      </c>
      <c r="B415" s="58">
        <v>14100</v>
      </c>
      <c r="C415" s="58" t="s">
        <v>26</v>
      </c>
      <c r="D415" s="58">
        <v>10783</v>
      </c>
      <c r="E415" s="58">
        <v>192</v>
      </c>
      <c r="F415" s="58">
        <v>1.8128599754508543</v>
      </c>
      <c r="G415" s="58">
        <v>4388</v>
      </c>
      <c r="H415" s="58">
        <v>27.83</v>
      </c>
      <c r="I415" s="58">
        <v>34.85</v>
      </c>
      <c r="J415" s="58">
        <v>-10.25</v>
      </c>
      <c r="K415" s="58">
        <v>-22.727272727272727</v>
      </c>
      <c r="L415" s="58">
        <v>87450</v>
      </c>
      <c r="M415" s="58">
        <v>29025</v>
      </c>
      <c r="N415" s="58">
        <v>15143.3</v>
      </c>
      <c r="O415" s="58">
        <v>14100</v>
      </c>
      <c r="P415" s="58" t="s">
        <v>26</v>
      </c>
      <c r="Q415" s="58">
        <v>171</v>
      </c>
      <c r="R415" s="58">
        <v>-2</v>
      </c>
      <c r="S415" s="58">
        <v>-1.1560693641618498</v>
      </c>
      <c r="T415" s="58">
        <v>3</v>
      </c>
      <c r="U415" s="58">
        <v>22.33</v>
      </c>
      <c r="V415" s="58">
        <v>1107.2</v>
      </c>
      <c r="W415" s="58">
        <v>38.100000000000136</v>
      </c>
      <c r="X415" s="58">
        <v>3.5637452062482597</v>
      </c>
      <c r="Y415" s="58">
        <v>20100</v>
      </c>
      <c r="Z415" s="58">
        <v>18075</v>
      </c>
      <c r="AA415" s="58">
        <v>15139.55</v>
      </c>
      <c r="AE415" s="57"/>
    </row>
    <row r="416" spans="1:31" x14ac:dyDescent="0.35">
      <c r="A416" s="56" t="s">
        <v>481</v>
      </c>
      <c r="B416" s="58">
        <v>14100</v>
      </c>
      <c r="C416" s="58" t="s">
        <v>2068</v>
      </c>
      <c r="D416" s="58">
        <v>1405</v>
      </c>
      <c r="E416" s="58">
        <v>19</v>
      </c>
      <c r="F416" s="58">
        <v>1.3708513708513708</v>
      </c>
      <c r="G416" s="58">
        <v>120</v>
      </c>
      <c r="H416" s="58">
        <v>23.8</v>
      </c>
      <c r="I416" s="58">
        <v>114.35</v>
      </c>
      <c r="J416" s="58">
        <v>-18.5</v>
      </c>
      <c r="K416" s="58">
        <v>-13.925479864508844</v>
      </c>
      <c r="L416" s="58">
        <v>14775</v>
      </c>
      <c r="M416" s="58">
        <v>13500</v>
      </c>
      <c r="N416" s="58">
        <v>15139.55</v>
      </c>
      <c r="O416" s="58">
        <v>14100</v>
      </c>
      <c r="P416" s="58" t="s">
        <v>2068</v>
      </c>
      <c r="Q416" s="58">
        <v>0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13575</v>
      </c>
      <c r="Z416" s="58">
        <v>10200</v>
      </c>
      <c r="AA416" s="58">
        <v>15143.3</v>
      </c>
      <c r="AE416" s="57"/>
    </row>
    <row r="417" spans="1:31" x14ac:dyDescent="0.35">
      <c r="A417" s="56" t="s">
        <v>482</v>
      </c>
      <c r="B417" s="58">
        <v>14100</v>
      </c>
      <c r="C417" s="58" t="s">
        <v>2071</v>
      </c>
      <c r="D417" s="58">
        <v>0</v>
      </c>
      <c r="E417" s="58">
        <v>0</v>
      </c>
      <c r="F417" s="58">
        <v>0</v>
      </c>
      <c r="G417" s="58">
        <v>0</v>
      </c>
      <c r="H417" s="58">
        <v>0</v>
      </c>
      <c r="I417" s="58">
        <v>0</v>
      </c>
      <c r="J417" s="58">
        <v>0</v>
      </c>
      <c r="K417" s="58">
        <v>0</v>
      </c>
      <c r="L417" s="58">
        <v>3075</v>
      </c>
      <c r="M417" s="58">
        <v>9750</v>
      </c>
      <c r="N417" s="58">
        <v>15139.55</v>
      </c>
      <c r="O417" s="58">
        <v>14100</v>
      </c>
      <c r="P417" s="58" t="s">
        <v>2071</v>
      </c>
      <c r="Q417" s="58">
        <v>0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4875</v>
      </c>
      <c r="Z417" s="58">
        <v>4875</v>
      </c>
      <c r="AA417" s="58">
        <v>15143.3</v>
      </c>
      <c r="AE417" s="57"/>
    </row>
    <row r="418" spans="1:31" x14ac:dyDescent="0.35">
      <c r="A418" s="56" t="s">
        <v>483</v>
      </c>
      <c r="B418" s="58">
        <v>14100</v>
      </c>
      <c r="C418" s="58" t="s">
        <v>2073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3150</v>
      </c>
      <c r="M418" s="58">
        <v>9750</v>
      </c>
      <c r="N418" s="58">
        <v>15139.55</v>
      </c>
      <c r="O418" s="58">
        <v>14100</v>
      </c>
      <c r="P418" s="58" t="s">
        <v>2073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15143.3</v>
      </c>
      <c r="AE418" s="57"/>
    </row>
    <row r="419" spans="1:31" x14ac:dyDescent="0.35">
      <c r="A419" s="56" t="s">
        <v>484</v>
      </c>
      <c r="B419" s="58">
        <v>14100</v>
      </c>
      <c r="C419" s="58" t="s">
        <v>2074</v>
      </c>
      <c r="D419" s="58">
        <v>0</v>
      </c>
      <c r="E419" s="58">
        <v>0</v>
      </c>
      <c r="F419" s="58">
        <v>0</v>
      </c>
      <c r="G419" s="58">
        <v>0</v>
      </c>
      <c r="H419" s="58">
        <v>0</v>
      </c>
      <c r="I419" s="58">
        <v>0</v>
      </c>
      <c r="J419" s="58">
        <v>0</v>
      </c>
      <c r="K419" s="58">
        <v>0</v>
      </c>
      <c r="L419" s="58">
        <v>0</v>
      </c>
      <c r="M419" s="58">
        <v>4875</v>
      </c>
      <c r="N419" s="58">
        <v>15139.55</v>
      </c>
      <c r="O419" s="58">
        <v>14100</v>
      </c>
      <c r="P419" s="58" t="s">
        <v>2074</v>
      </c>
      <c r="Q419" s="58">
        <v>0</v>
      </c>
      <c r="R419" s="58">
        <v>0</v>
      </c>
      <c r="S419" s="58">
        <v>0</v>
      </c>
      <c r="T419" s="58">
        <v>0</v>
      </c>
      <c r="U419" s="58">
        <v>0</v>
      </c>
      <c r="V419" s="58">
        <v>0</v>
      </c>
      <c r="W419" s="58">
        <v>0</v>
      </c>
      <c r="X419" s="58">
        <v>0</v>
      </c>
      <c r="Y419" s="58">
        <v>4875</v>
      </c>
      <c r="Z419" s="58">
        <v>4875</v>
      </c>
      <c r="AA419" s="58">
        <v>15139.55</v>
      </c>
      <c r="AE419" s="57"/>
    </row>
    <row r="420" spans="1:31" x14ac:dyDescent="0.35">
      <c r="A420" s="56" t="s">
        <v>485</v>
      </c>
      <c r="B420" s="58">
        <v>14100</v>
      </c>
      <c r="C420" s="58" t="s">
        <v>34</v>
      </c>
      <c r="D420" s="58">
        <v>2927</v>
      </c>
      <c r="E420" s="58">
        <v>-32</v>
      </c>
      <c r="F420" s="58">
        <v>-1.081446434606286</v>
      </c>
      <c r="G420" s="58">
        <v>4509</v>
      </c>
      <c r="H420" s="58">
        <v>27.19</v>
      </c>
      <c r="I420" s="58">
        <v>8.1999999999999993</v>
      </c>
      <c r="J420" s="58">
        <v>-3.8000000000000007</v>
      </c>
      <c r="K420" s="58">
        <v>-31.666666666666671</v>
      </c>
      <c r="L420" s="58">
        <v>92175</v>
      </c>
      <c r="M420" s="58">
        <v>26850</v>
      </c>
      <c r="N420" s="58">
        <v>15139.55</v>
      </c>
      <c r="O420" s="58">
        <v>14100</v>
      </c>
      <c r="P420" s="58" t="s">
        <v>34</v>
      </c>
      <c r="Q420" s="58">
        <v>2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416925</v>
      </c>
      <c r="Z420" s="58">
        <v>9225</v>
      </c>
      <c r="AA420" s="58">
        <v>15143.3</v>
      </c>
      <c r="AE420" s="57"/>
    </row>
    <row r="421" spans="1:31" x14ac:dyDescent="0.35">
      <c r="A421" s="56" t="s">
        <v>486</v>
      </c>
      <c r="B421" s="58">
        <v>14100</v>
      </c>
      <c r="C421" s="58" t="s">
        <v>2076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0</v>
      </c>
      <c r="M421" s="58">
        <v>4875</v>
      </c>
      <c r="N421" s="58">
        <v>15139.55</v>
      </c>
      <c r="O421" s="58">
        <v>14100</v>
      </c>
      <c r="P421" s="58" t="s">
        <v>2076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15143.3</v>
      </c>
      <c r="AE421" s="57"/>
    </row>
    <row r="422" spans="1:31" x14ac:dyDescent="0.35">
      <c r="A422" s="56" t="s">
        <v>487</v>
      </c>
      <c r="B422" s="58">
        <v>14100</v>
      </c>
      <c r="C422" s="58" t="s">
        <v>2075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4650</v>
      </c>
      <c r="M422" s="58">
        <v>5175</v>
      </c>
      <c r="N422" s="58">
        <v>15143.3</v>
      </c>
      <c r="O422" s="58">
        <v>14100</v>
      </c>
      <c r="P422" s="58" t="s">
        <v>2075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9975</v>
      </c>
      <c r="Z422" s="58">
        <v>5475</v>
      </c>
      <c r="AA422" s="58">
        <v>15139.55</v>
      </c>
      <c r="AE422" s="57"/>
    </row>
    <row r="423" spans="1:31" x14ac:dyDescent="0.35">
      <c r="A423" s="56" t="s">
        <v>488</v>
      </c>
      <c r="B423" s="58">
        <v>14100</v>
      </c>
      <c r="C423" s="58" t="s">
        <v>33</v>
      </c>
      <c r="D423" s="58">
        <v>5981</v>
      </c>
      <c r="E423" s="58">
        <v>392</v>
      </c>
      <c r="F423" s="58">
        <v>7.0137770620862412</v>
      </c>
      <c r="G423" s="58">
        <v>5703</v>
      </c>
      <c r="H423" s="58">
        <v>48.85</v>
      </c>
      <c r="I423" s="58">
        <v>0.25</v>
      </c>
      <c r="J423" s="58">
        <v>-0.7</v>
      </c>
      <c r="K423" s="58">
        <v>-73.68421052631578</v>
      </c>
      <c r="L423" s="58">
        <v>563625</v>
      </c>
      <c r="M423" s="58">
        <v>127650</v>
      </c>
      <c r="N423" s="58">
        <v>15139.55</v>
      </c>
      <c r="O423" s="58">
        <v>14100</v>
      </c>
      <c r="P423" s="58" t="s">
        <v>33</v>
      </c>
      <c r="Q423" s="58">
        <v>17</v>
      </c>
      <c r="R423" s="58">
        <v>-15</v>
      </c>
      <c r="S423" s="58">
        <v>-46.875</v>
      </c>
      <c r="T423" s="58">
        <v>22</v>
      </c>
      <c r="U423" s="58">
        <v>90.48</v>
      </c>
      <c r="V423" s="58">
        <v>1060</v>
      </c>
      <c r="W423" s="58">
        <v>54.399999999999977</v>
      </c>
      <c r="X423" s="58">
        <v>5.4097056483691306</v>
      </c>
      <c r="Y423" s="58">
        <v>22575</v>
      </c>
      <c r="Z423" s="58">
        <v>21825</v>
      </c>
      <c r="AA423" s="58">
        <v>15139.55</v>
      </c>
      <c r="AE423" s="57"/>
    </row>
    <row r="424" spans="1:31" x14ac:dyDescent="0.35">
      <c r="A424" s="56" t="s">
        <v>489</v>
      </c>
      <c r="B424" s="58">
        <v>14100</v>
      </c>
      <c r="C424" s="58" t="s">
        <v>64</v>
      </c>
      <c r="D424" s="58">
        <v>0</v>
      </c>
      <c r="E424" s="58">
        <v>0</v>
      </c>
      <c r="F424" s="58">
        <v>0</v>
      </c>
      <c r="G424" s="58">
        <v>1</v>
      </c>
      <c r="H424" s="58">
        <v>25.69</v>
      </c>
      <c r="I424" s="58">
        <v>49.5</v>
      </c>
      <c r="J424" s="58">
        <v>-406.4</v>
      </c>
      <c r="K424" s="58">
        <v>-89.142355779776267</v>
      </c>
      <c r="L424" s="58">
        <v>11775</v>
      </c>
      <c r="M424" s="58">
        <v>825</v>
      </c>
      <c r="N424" s="58">
        <v>15139.55</v>
      </c>
      <c r="O424" s="58">
        <v>14100</v>
      </c>
      <c r="P424" s="58" t="s">
        <v>64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15143.3</v>
      </c>
      <c r="AE424" s="57"/>
    </row>
    <row r="425" spans="1:31" x14ac:dyDescent="0.35">
      <c r="A425" s="56" t="s">
        <v>490</v>
      </c>
      <c r="B425" s="58">
        <v>14150</v>
      </c>
      <c r="C425" s="58" t="s">
        <v>34</v>
      </c>
      <c r="D425" s="58">
        <v>463</v>
      </c>
      <c r="E425" s="58">
        <v>392</v>
      </c>
      <c r="F425" s="58">
        <v>552.11267605633805</v>
      </c>
      <c r="G425" s="58">
        <v>877</v>
      </c>
      <c r="H425" s="58">
        <v>26.66</v>
      </c>
      <c r="I425" s="58">
        <v>9.15</v>
      </c>
      <c r="J425" s="58">
        <v>-4.6999999999999993</v>
      </c>
      <c r="K425" s="58">
        <v>-33.935018050541508</v>
      </c>
      <c r="L425" s="58">
        <v>92925</v>
      </c>
      <c r="M425" s="58">
        <v>24300</v>
      </c>
      <c r="N425" s="58">
        <v>15139.55</v>
      </c>
      <c r="O425" s="58">
        <v>14150</v>
      </c>
      <c r="P425" s="58" t="s">
        <v>34</v>
      </c>
      <c r="Q425" s="58">
        <v>1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13575</v>
      </c>
      <c r="Z425" s="58">
        <v>10875</v>
      </c>
      <c r="AA425" s="58">
        <v>15139.55</v>
      </c>
      <c r="AE425" s="57"/>
    </row>
    <row r="426" spans="1:31" x14ac:dyDescent="0.35">
      <c r="A426" s="56" t="s">
        <v>491</v>
      </c>
      <c r="B426" s="58">
        <v>14150</v>
      </c>
      <c r="C426" s="58" t="s">
        <v>64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6975</v>
      </c>
      <c r="M426" s="58">
        <v>5025</v>
      </c>
      <c r="N426" s="58">
        <v>15143.3</v>
      </c>
      <c r="O426" s="58">
        <v>14150</v>
      </c>
      <c r="P426" s="58" t="s">
        <v>64</v>
      </c>
      <c r="Q426" s="58">
        <v>0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4875</v>
      </c>
      <c r="Z426" s="58">
        <v>4875</v>
      </c>
      <c r="AA426" s="58">
        <v>15139.55</v>
      </c>
      <c r="AE426" s="57"/>
    </row>
    <row r="427" spans="1:31" x14ac:dyDescent="0.35">
      <c r="A427" s="56" t="s">
        <v>492</v>
      </c>
      <c r="B427" s="58">
        <v>14150</v>
      </c>
      <c r="C427" s="58" t="s">
        <v>2071</v>
      </c>
      <c r="D427" s="58">
        <v>0</v>
      </c>
      <c r="E427" s="58">
        <v>0</v>
      </c>
      <c r="F427" s="58">
        <v>0</v>
      </c>
      <c r="G427" s="58">
        <v>0</v>
      </c>
      <c r="H427" s="58">
        <v>0</v>
      </c>
      <c r="I427" s="58">
        <v>0</v>
      </c>
      <c r="J427" s="58">
        <v>0</v>
      </c>
      <c r="K427" s="58">
        <v>0</v>
      </c>
      <c r="L427" s="58">
        <v>3075</v>
      </c>
      <c r="M427" s="58">
        <v>4875</v>
      </c>
      <c r="N427" s="58">
        <v>15143.3</v>
      </c>
      <c r="O427" s="58">
        <v>14150</v>
      </c>
      <c r="P427" s="58" t="s">
        <v>2071</v>
      </c>
      <c r="Q427" s="58">
        <v>0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4875</v>
      </c>
      <c r="Z427" s="58">
        <v>4875</v>
      </c>
      <c r="AA427" s="58">
        <v>15143.3</v>
      </c>
      <c r="AE427" s="57"/>
    </row>
    <row r="428" spans="1:31" x14ac:dyDescent="0.35">
      <c r="A428" s="56" t="s">
        <v>493</v>
      </c>
      <c r="B428" s="58">
        <v>14150</v>
      </c>
      <c r="C428" s="58" t="s">
        <v>2073</v>
      </c>
      <c r="D428" s="58">
        <v>0</v>
      </c>
      <c r="E428" s="58">
        <v>0</v>
      </c>
      <c r="F428" s="58">
        <v>0</v>
      </c>
      <c r="G428" s="58">
        <v>0</v>
      </c>
      <c r="H428" s="58">
        <v>0</v>
      </c>
      <c r="I428" s="58">
        <v>0</v>
      </c>
      <c r="J428" s="58">
        <v>0</v>
      </c>
      <c r="K428" s="58">
        <v>0</v>
      </c>
      <c r="L428" s="58">
        <v>3075</v>
      </c>
      <c r="M428" s="58">
        <v>9750</v>
      </c>
      <c r="N428" s="58">
        <v>15143.3</v>
      </c>
      <c r="O428" s="58">
        <v>14150</v>
      </c>
      <c r="P428" s="58" t="s">
        <v>2073</v>
      </c>
      <c r="Q428" s="58">
        <v>0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4875</v>
      </c>
      <c r="Z428" s="58">
        <v>4875</v>
      </c>
      <c r="AA428" s="58">
        <v>15139.55</v>
      </c>
      <c r="AE428" s="57"/>
    </row>
    <row r="429" spans="1:31" x14ac:dyDescent="0.35">
      <c r="A429" s="56" t="s">
        <v>494</v>
      </c>
      <c r="B429" s="58">
        <v>14150</v>
      </c>
      <c r="C429" s="58" t="s">
        <v>2074</v>
      </c>
      <c r="D429" s="58">
        <v>1</v>
      </c>
      <c r="E429" s="58">
        <v>0</v>
      </c>
      <c r="F429" s="58">
        <v>0</v>
      </c>
      <c r="G429" s="58">
        <v>0</v>
      </c>
      <c r="H429" s="58">
        <v>0</v>
      </c>
      <c r="I429" s="58">
        <v>0</v>
      </c>
      <c r="J429" s="58">
        <v>0</v>
      </c>
      <c r="K429" s="58">
        <v>0</v>
      </c>
      <c r="L429" s="58">
        <v>0</v>
      </c>
      <c r="M429" s="58">
        <v>4950</v>
      </c>
      <c r="N429" s="58">
        <v>15139.55</v>
      </c>
      <c r="O429" s="58">
        <v>14150</v>
      </c>
      <c r="P429" s="58" t="s">
        <v>2074</v>
      </c>
      <c r="Q429" s="58">
        <v>0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4875</v>
      </c>
      <c r="Z429" s="58">
        <v>4875</v>
      </c>
      <c r="AA429" s="58">
        <v>15139.55</v>
      </c>
      <c r="AE429" s="57"/>
    </row>
    <row r="430" spans="1:31" x14ac:dyDescent="0.35">
      <c r="A430" s="56" t="s">
        <v>495</v>
      </c>
      <c r="B430" s="58">
        <v>14150</v>
      </c>
      <c r="C430" s="58" t="s">
        <v>2068</v>
      </c>
      <c r="D430" s="58">
        <v>849</v>
      </c>
      <c r="E430" s="58">
        <v>7</v>
      </c>
      <c r="F430" s="58">
        <v>0.83135391923990498</v>
      </c>
      <c r="G430" s="58">
        <v>20</v>
      </c>
      <c r="H430" s="58">
        <v>23.88</v>
      </c>
      <c r="I430" s="58">
        <v>125</v>
      </c>
      <c r="J430" s="58">
        <v>-18.949999999999989</v>
      </c>
      <c r="K430" s="58">
        <v>-13.164293157346291</v>
      </c>
      <c r="L430" s="58">
        <v>8475</v>
      </c>
      <c r="M430" s="58">
        <v>5250</v>
      </c>
      <c r="N430" s="58">
        <v>15139.55</v>
      </c>
      <c r="O430" s="58">
        <v>14150</v>
      </c>
      <c r="P430" s="58" t="s">
        <v>2068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9000</v>
      </c>
      <c r="Z430" s="58">
        <v>10275</v>
      </c>
      <c r="AA430" s="58">
        <v>15143.3</v>
      </c>
      <c r="AE430" s="57"/>
    </row>
    <row r="431" spans="1:31" x14ac:dyDescent="0.35">
      <c r="A431" s="56" t="s">
        <v>496</v>
      </c>
      <c r="B431" s="58">
        <v>14150</v>
      </c>
      <c r="C431" s="58" t="s">
        <v>2076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4875</v>
      </c>
      <c r="N431" s="58">
        <v>15143.3</v>
      </c>
      <c r="O431" s="58">
        <v>14150</v>
      </c>
      <c r="P431" s="58" t="s">
        <v>2076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15139.55</v>
      </c>
      <c r="AE431" s="57"/>
    </row>
    <row r="432" spans="1:31" x14ac:dyDescent="0.35">
      <c r="A432" s="56" t="s">
        <v>497</v>
      </c>
      <c r="B432" s="58">
        <v>14150</v>
      </c>
      <c r="C432" s="58" t="s">
        <v>2075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0</v>
      </c>
      <c r="M432" s="58">
        <v>9750</v>
      </c>
      <c r="N432" s="58">
        <v>15139.55</v>
      </c>
      <c r="O432" s="58">
        <v>14150</v>
      </c>
      <c r="P432" s="58" t="s">
        <v>2075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9975</v>
      </c>
      <c r="Z432" s="58">
        <v>4875</v>
      </c>
      <c r="AA432" s="58">
        <v>15143.3</v>
      </c>
      <c r="AE432" s="57"/>
    </row>
    <row r="433" spans="1:31" x14ac:dyDescent="0.35">
      <c r="A433" s="56" t="s">
        <v>498</v>
      </c>
      <c r="B433" s="58">
        <v>14150</v>
      </c>
      <c r="C433" s="58" t="s">
        <v>33</v>
      </c>
      <c r="D433" s="58">
        <v>573</v>
      </c>
      <c r="E433" s="58">
        <v>-182</v>
      </c>
      <c r="F433" s="58">
        <v>-24.105960264900663</v>
      </c>
      <c r="G433" s="58">
        <v>814</v>
      </c>
      <c r="H433" s="58">
        <v>46.64</v>
      </c>
      <c r="I433" s="58">
        <v>0.35</v>
      </c>
      <c r="J433" s="58">
        <v>-0.70000000000000007</v>
      </c>
      <c r="K433" s="58">
        <v>-66.666666666666671</v>
      </c>
      <c r="L433" s="58">
        <v>29325</v>
      </c>
      <c r="M433" s="58">
        <v>61425</v>
      </c>
      <c r="N433" s="58">
        <v>15139.55</v>
      </c>
      <c r="O433" s="58">
        <v>14150</v>
      </c>
      <c r="P433" s="58" t="s">
        <v>33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24750</v>
      </c>
      <c r="Z433" s="58">
        <v>21150</v>
      </c>
      <c r="AA433" s="58">
        <v>15139.55</v>
      </c>
      <c r="AE433" s="57"/>
    </row>
    <row r="434" spans="1:31" x14ac:dyDescent="0.35">
      <c r="A434" s="56" t="s">
        <v>499</v>
      </c>
      <c r="B434" s="58">
        <v>14150</v>
      </c>
      <c r="C434" s="58" t="s">
        <v>26</v>
      </c>
      <c r="D434" s="58">
        <v>458</v>
      </c>
      <c r="E434" s="58">
        <v>93</v>
      </c>
      <c r="F434" s="58">
        <v>25.479452054794521</v>
      </c>
      <c r="G434" s="58">
        <v>366</v>
      </c>
      <c r="H434" s="58">
        <v>27.61</v>
      </c>
      <c r="I434" s="58">
        <v>38.65</v>
      </c>
      <c r="J434" s="58">
        <v>-10.5</v>
      </c>
      <c r="K434" s="58">
        <v>-21.363173957273656</v>
      </c>
      <c r="L434" s="58">
        <v>21075</v>
      </c>
      <c r="M434" s="58">
        <v>18450</v>
      </c>
      <c r="N434" s="58">
        <v>15139.55</v>
      </c>
      <c r="O434" s="58">
        <v>14150</v>
      </c>
      <c r="P434" s="58" t="s">
        <v>26</v>
      </c>
      <c r="Q434" s="58">
        <v>24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17700</v>
      </c>
      <c r="Z434" s="58">
        <v>15375</v>
      </c>
      <c r="AA434" s="58">
        <v>15139.55</v>
      </c>
      <c r="AE434" s="57"/>
    </row>
    <row r="435" spans="1:31" x14ac:dyDescent="0.35">
      <c r="A435" s="56" t="s">
        <v>500</v>
      </c>
      <c r="B435" s="58">
        <v>14200</v>
      </c>
      <c r="C435" s="58" t="s">
        <v>34</v>
      </c>
      <c r="D435" s="58">
        <v>6163</v>
      </c>
      <c r="E435" s="58">
        <v>976</v>
      </c>
      <c r="F435" s="58">
        <v>18.816271447850394</v>
      </c>
      <c r="G435" s="58">
        <v>7999</v>
      </c>
      <c r="H435" s="58">
        <v>26.04</v>
      </c>
      <c r="I435" s="58">
        <v>10.25</v>
      </c>
      <c r="J435" s="58">
        <v>-5.4499999999999993</v>
      </c>
      <c r="K435" s="58">
        <v>-34.71337579617834</v>
      </c>
      <c r="L435" s="58">
        <v>111075</v>
      </c>
      <c r="M435" s="58">
        <v>45600</v>
      </c>
      <c r="N435" s="58">
        <v>15139.55</v>
      </c>
      <c r="O435" s="58">
        <v>14200</v>
      </c>
      <c r="P435" s="58" t="s">
        <v>34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14925</v>
      </c>
      <c r="Z435" s="58">
        <v>8475</v>
      </c>
      <c r="AA435" s="58">
        <v>15139.55</v>
      </c>
      <c r="AE435" s="57"/>
    </row>
    <row r="436" spans="1:31" x14ac:dyDescent="0.35">
      <c r="A436" s="56" t="s">
        <v>501</v>
      </c>
      <c r="B436" s="58">
        <v>14200</v>
      </c>
      <c r="C436" s="58" t="s">
        <v>26</v>
      </c>
      <c r="D436" s="58">
        <v>13244</v>
      </c>
      <c r="E436" s="58">
        <v>1075</v>
      </c>
      <c r="F436" s="58">
        <v>8.8339222614840995</v>
      </c>
      <c r="G436" s="58">
        <v>6909</v>
      </c>
      <c r="H436" s="58">
        <v>27.32</v>
      </c>
      <c r="I436" s="58">
        <v>42.65</v>
      </c>
      <c r="J436" s="58">
        <v>-12.25</v>
      </c>
      <c r="K436" s="58">
        <v>-22.313296903460841</v>
      </c>
      <c r="L436" s="58">
        <v>53400</v>
      </c>
      <c r="M436" s="58">
        <v>43800</v>
      </c>
      <c r="N436" s="58">
        <v>15139.55</v>
      </c>
      <c r="O436" s="58">
        <v>14200</v>
      </c>
      <c r="P436" s="58" t="s">
        <v>26</v>
      </c>
      <c r="Q436" s="58">
        <v>461</v>
      </c>
      <c r="R436" s="58">
        <v>-8</v>
      </c>
      <c r="S436" s="58">
        <v>-1.7057569296375266</v>
      </c>
      <c r="T436" s="58">
        <v>16</v>
      </c>
      <c r="U436" s="58">
        <v>24.1</v>
      </c>
      <c r="V436" s="58">
        <v>1001</v>
      </c>
      <c r="W436" s="58">
        <v>15.649999999999975</v>
      </c>
      <c r="X436" s="58">
        <v>1.5882681280763158</v>
      </c>
      <c r="Y436" s="58">
        <v>21375</v>
      </c>
      <c r="Z436" s="58">
        <v>20775</v>
      </c>
      <c r="AA436" s="58">
        <v>15139.55</v>
      </c>
      <c r="AE436" s="57"/>
    </row>
    <row r="437" spans="1:31" x14ac:dyDescent="0.35">
      <c r="A437" s="56" t="s">
        <v>502</v>
      </c>
      <c r="B437" s="58">
        <v>14200</v>
      </c>
      <c r="C437" s="58" t="s">
        <v>64</v>
      </c>
      <c r="D437" s="58">
        <v>0</v>
      </c>
      <c r="E437" s="58">
        <v>0</v>
      </c>
      <c r="F437" s="58">
        <v>0</v>
      </c>
      <c r="G437" s="58">
        <v>0</v>
      </c>
      <c r="H437" s="58">
        <v>0</v>
      </c>
      <c r="I437" s="58">
        <v>0</v>
      </c>
      <c r="J437" s="58">
        <v>0</v>
      </c>
      <c r="K437" s="58">
        <v>0</v>
      </c>
      <c r="L437" s="58">
        <v>10650</v>
      </c>
      <c r="M437" s="58">
        <v>10500</v>
      </c>
      <c r="N437" s="58">
        <v>15139.55</v>
      </c>
      <c r="O437" s="58">
        <v>14200</v>
      </c>
      <c r="P437" s="58" t="s">
        <v>64</v>
      </c>
      <c r="Q437" s="58">
        <v>0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4875</v>
      </c>
      <c r="Z437" s="58">
        <v>4875</v>
      </c>
      <c r="AA437" s="58">
        <v>15139.55</v>
      </c>
      <c r="AE437" s="57"/>
    </row>
    <row r="438" spans="1:31" x14ac:dyDescent="0.35">
      <c r="A438" s="56" t="s">
        <v>503</v>
      </c>
      <c r="B438" s="58">
        <v>14200</v>
      </c>
      <c r="C438" s="58" t="s">
        <v>2071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3150</v>
      </c>
      <c r="M438" s="58">
        <v>9825</v>
      </c>
      <c r="N438" s="58">
        <v>15143.3</v>
      </c>
      <c r="O438" s="58">
        <v>14200</v>
      </c>
      <c r="P438" s="58" t="s">
        <v>2071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15143.3</v>
      </c>
      <c r="AE438" s="57"/>
    </row>
    <row r="439" spans="1:31" x14ac:dyDescent="0.35">
      <c r="A439" s="56" t="s">
        <v>504</v>
      </c>
      <c r="B439" s="58">
        <v>14200</v>
      </c>
      <c r="C439" s="58" t="s">
        <v>2073</v>
      </c>
      <c r="D439" s="58">
        <v>0</v>
      </c>
      <c r="E439" s="58">
        <v>0</v>
      </c>
      <c r="F439" s="58">
        <v>0</v>
      </c>
      <c r="G439" s="58">
        <v>0</v>
      </c>
      <c r="H439" s="58">
        <v>0</v>
      </c>
      <c r="I439" s="58">
        <v>0</v>
      </c>
      <c r="J439" s="58">
        <v>0</v>
      </c>
      <c r="K439" s="58">
        <v>0</v>
      </c>
      <c r="L439" s="58">
        <v>3075</v>
      </c>
      <c r="M439" s="58">
        <v>9750</v>
      </c>
      <c r="N439" s="58">
        <v>15139.55</v>
      </c>
      <c r="O439" s="58">
        <v>14200</v>
      </c>
      <c r="P439" s="58" t="s">
        <v>2073</v>
      </c>
      <c r="Q439" s="58">
        <v>0</v>
      </c>
      <c r="R439" s="58">
        <v>0</v>
      </c>
      <c r="S439" s="58">
        <v>0</v>
      </c>
      <c r="T439" s="58">
        <v>0</v>
      </c>
      <c r="U439" s="58">
        <v>0</v>
      </c>
      <c r="V439" s="58">
        <v>0</v>
      </c>
      <c r="W439" s="58">
        <v>0</v>
      </c>
      <c r="X439" s="58">
        <v>0</v>
      </c>
      <c r="Y439" s="58">
        <v>4875</v>
      </c>
      <c r="Z439" s="58">
        <v>4875</v>
      </c>
      <c r="AA439" s="58">
        <v>15143.3</v>
      </c>
      <c r="AE439" s="57"/>
    </row>
    <row r="440" spans="1:31" x14ac:dyDescent="0.35">
      <c r="A440" s="56" t="s">
        <v>505</v>
      </c>
      <c r="B440" s="58">
        <v>14200</v>
      </c>
      <c r="C440" s="58" t="s">
        <v>2074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0</v>
      </c>
      <c r="M440" s="58">
        <v>4875</v>
      </c>
      <c r="N440" s="58">
        <v>15139.55</v>
      </c>
      <c r="O440" s="58">
        <v>14200</v>
      </c>
      <c r="P440" s="58" t="s">
        <v>2074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15139.55</v>
      </c>
      <c r="AE440" s="57"/>
    </row>
    <row r="441" spans="1:31" x14ac:dyDescent="0.35">
      <c r="A441" s="56" t="s">
        <v>506</v>
      </c>
      <c r="B441" s="58">
        <v>14200</v>
      </c>
      <c r="C441" s="58" t="s">
        <v>2068</v>
      </c>
      <c r="D441" s="58">
        <v>2162</v>
      </c>
      <c r="E441" s="58">
        <v>90</v>
      </c>
      <c r="F441" s="58">
        <v>4.3436293436293436</v>
      </c>
      <c r="G441" s="58">
        <v>513</v>
      </c>
      <c r="H441" s="58">
        <v>23.75</v>
      </c>
      <c r="I441" s="58">
        <v>131.94999999999999</v>
      </c>
      <c r="J441" s="58">
        <v>-24.050000000000011</v>
      </c>
      <c r="K441" s="58">
        <v>-15.416666666666671</v>
      </c>
      <c r="L441" s="58">
        <v>15525</v>
      </c>
      <c r="M441" s="58">
        <v>13575</v>
      </c>
      <c r="N441" s="58">
        <v>15139.55</v>
      </c>
      <c r="O441" s="58">
        <v>14200</v>
      </c>
      <c r="P441" s="58" t="s">
        <v>2068</v>
      </c>
      <c r="Q441" s="58">
        <v>5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13575</v>
      </c>
      <c r="Z441" s="58">
        <v>10200</v>
      </c>
      <c r="AA441" s="58">
        <v>15139.55</v>
      </c>
      <c r="AE441" s="57"/>
    </row>
    <row r="442" spans="1:31" x14ac:dyDescent="0.35">
      <c r="A442" s="56" t="s">
        <v>507</v>
      </c>
      <c r="B442" s="58">
        <v>14200</v>
      </c>
      <c r="C442" s="58" t="s">
        <v>2076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0</v>
      </c>
      <c r="M442" s="58">
        <v>4875</v>
      </c>
      <c r="N442" s="58">
        <v>15139.55</v>
      </c>
      <c r="O442" s="58">
        <v>14200</v>
      </c>
      <c r="P442" s="58" t="s">
        <v>2076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15139.55</v>
      </c>
      <c r="AE442" s="57"/>
    </row>
    <row r="443" spans="1:31" x14ac:dyDescent="0.35">
      <c r="A443" s="56" t="s">
        <v>508</v>
      </c>
      <c r="B443" s="58">
        <v>14200</v>
      </c>
      <c r="C443" s="58" t="s">
        <v>33</v>
      </c>
      <c r="D443" s="58">
        <v>10064</v>
      </c>
      <c r="E443" s="58">
        <v>-1668</v>
      </c>
      <c r="F443" s="58">
        <v>-14.217524718718035</v>
      </c>
      <c r="G443" s="58">
        <v>12581</v>
      </c>
      <c r="H443" s="58">
        <v>44.43</v>
      </c>
      <c r="I443" s="58">
        <v>0.3</v>
      </c>
      <c r="J443" s="58">
        <v>-0.8</v>
      </c>
      <c r="K443" s="58">
        <v>-72.727272727272734</v>
      </c>
      <c r="L443" s="58">
        <v>624825</v>
      </c>
      <c r="M443" s="58">
        <v>109800</v>
      </c>
      <c r="N443" s="58">
        <v>15143.3</v>
      </c>
      <c r="O443" s="58">
        <v>14200</v>
      </c>
      <c r="P443" s="58" t="s">
        <v>33</v>
      </c>
      <c r="Q443" s="58">
        <v>74</v>
      </c>
      <c r="R443" s="58">
        <v>-14</v>
      </c>
      <c r="S443" s="58">
        <v>-15.909090909090908</v>
      </c>
      <c r="T443" s="58">
        <v>34</v>
      </c>
      <c r="U443" s="58">
        <v>107.37</v>
      </c>
      <c r="V443" s="58">
        <v>992</v>
      </c>
      <c r="W443" s="58">
        <v>87.950000000000045</v>
      </c>
      <c r="X443" s="58">
        <v>9.7284442232177479</v>
      </c>
      <c r="Y443" s="58">
        <v>23250</v>
      </c>
      <c r="Z443" s="58">
        <v>16950</v>
      </c>
      <c r="AA443" s="58">
        <v>15139.55</v>
      </c>
      <c r="AE443" s="57"/>
    </row>
    <row r="444" spans="1:31" x14ac:dyDescent="0.35">
      <c r="A444" s="56" t="s">
        <v>509</v>
      </c>
      <c r="B444" s="58">
        <v>14200</v>
      </c>
      <c r="C444" s="58" t="s">
        <v>2075</v>
      </c>
      <c r="D444" s="58">
        <v>0</v>
      </c>
      <c r="E444" s="58">
        <v>0</v>
      </c>
      <c r="F444" s="58">
        <v>0</v>
      </c>
      <c r="G444" s="58">
        <v>0</v>
      </c>
      <c r="H444" s="58">
        <v>0</v>
      </c>
      <c r="I444" s="58">
        <v>0</v>
      </c>
      <c r="J444" s="58">
        <v>0</v>
      </c>
      <c r="K444" s="58">
        <v>0</v>
      </c>
      <c r="L444" s="58">
        <v>3750</v>
      </c>
      <c r="M444" s="58">
        <v>9975</v>
      </c>
      <c r="N444" s="58">
        <v>15139.55</v>
      </c>
      <c r="O444" s="58">
        <v>14200</v>
      </c>
      <c r="P444" s="58" t="s">
        <v>2075</v>
      </c>
      <c r="Q444" s="58">
        <v>0</v>
      </c>
      <c r="R444" s="58">
        <v>0</v>
      </c>
      <c r="S444" s="58">
        <v>0</v>
      </c>
      <c r="T444" s="58">
        <v>0</v>
      </c>
      <c r="U444" s="58">
        <v>0</v>
      </c>
      <c r="V444" s="58">
        <v>0</v>
      </c>
      <c r="W444" s="58">
        <v>0</v>
      </c>
      <c r="X444" s="58">
        <v>0</v>
      </c>
      <c r="Y444" s="58">
        <v>9975</v>
      </c>
      <c r="Z444" s="58">
        <v>4875</v>
      </c>
      <c r="AA444" s="58">
        <v>15139.55</v>
      </c>
      <c r="AE444" s="57"/>
    </row>
    <row r="445" spans="1:31" x14ac:dyDescent="0.35">
      <c r="A445" s="56" t="s">
        <v>510</v>
      </c>
      <c r="B445" s="58">
        <v>14250</v>
      </c>
      <c r="C445" s="58" t="s">
        <v>33</v>
      </c>
      <c r="D445" s="58">
        <v>2546</v>
      </c>
      <c r="E445" s="58">
        <v>-104</v>
      </c>
      <c r="F445" s="58">
        <v>-3.9245283018867929</v>
      </c>
      <c r="G445" s="58">
        <v>1500</v>
      </c>
      <c r="H445" s="58">
        <v>42.88</v>
      </c>
      <c r="I445" s="58">
        <v>0.3</v>
      </c>
      <c r="J445" s="58">
        <v>-0.95</v>
      </c>
      <c r="K445" s="58">
        <v>-76</v>
      </c>
      <c r="L445" s="58">
        <v>151875</v>
      </c>
      <c r="M445" s="58">
        <v>63900</v>
      </c>
      <c r="N445" s="58">
        <v>15139.55</v>
      </c>
      <c r="O445" s="58">
        <v>14250</v>
      </c>
      <c r="P445" s="58" t="s">
        <v>33</v>
      </c>
      <c r="Q445" s="58">
        <v>10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31950</v>
      </c>
      <c r="Z445" s="58">
        <v>20850</v>
      </c>
      <c r="AA445" s="58">
        <v>15143.3</v>
      </c>
      <c r="AE445" s="57"/>
    </row>
    <row r="446" spans="1:31" x14ac:dyDescent="0.35">
      <c r="A446" s="56" t="s">
        <v>511</v>
      </c>
      <c r="B446" s="58">
        <v>14250</v>
      </c>
      <c r="C446" s="58" t="s">
        <v>26</v>
      </c>
      <c r="D446" s="58">
        <v>379</v>
      </c>
      <c r="E446" s="58">
        <v>23</v>
      </c>
      <c r="F446" s="58">
        <v>6.4606741573033704</v>
      </c>
      <c r="G446" s="58">
        <v>169</v>
      </c>
      <c r="H446" s="58">
        <v>27.14</v>
      </c>
      <c r="I446" s="58">
        <v>48.15</v>
      </c>
      <c r="J446" s="58">
        <v>-11.75</v>
      </c>
      <c r="K446" s="58">
        <v>-19.616026711185309</v>
      </c>
      <c r="L446" s="58">
        <v>22650</v>
      </c>
      <c r="M446" s="58">
        <v>19650</v>
      </c>
      <c r="N446" s="58">
        <v>15139.55</v>
      </c>
      <c r="O446" s="58">
        <v>14250</v>
      </c>
      <c r="P446" s="58" t="s">
        <v>26</v>
      </c>
      <c r="Q446" s="58">
        <v>88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27300</v>
      </c>
      <c r="Z446" s="58">
        <v>19800</v>
      </c>
      <c r="AA446" s="58">
        <v>15143.3</v>
      </c>
      <c r="AE446" s="57"/>
    </row>
    <row r="447" spans="1:31" x14ac:dyDescent="0.35">
      <c r="A447" s="56" t="s">
        <v>512</v>
      </c>
      <c r="B447" s="58">
        <v>14250</v>
      </c>
      <c r="C447" s="58" t="s">
        <v>64</v>
      </c>
      <c r="D447" s="58">
        <v>0</v>
      </c>
      <c r="E447" s="58">
        <v>0</v>
      </c>
      <c r="F447" s="58">
        <v>0</v>
      </c>
      <c r="G447" s="58">
        <v>0</v>
      </c>
      <c r="H447" s="58">
        <v>0</v>
      </c>
      <c r="I447" s="58">
        <v>0</v>
      </c>
      <c r="J447" s="58">
        <v>0</v>
      </c>
      <c r="K447" s="58">
        <v>0</v>
      </c>
      <c r="L447" s="58">
        <v>5775</v>
      </c>
      <c r="M447" s="58">
        <v>9825</v>
      </c>
      <c r="N447" s="58">
        <v>15139.55</v>
      </c>
      <c r="O447" s="58">
        <v>14250</v>
      </c>
      <c r="P447" s="58" t="s">
        <v>64</v>
      </c>
      <c r="Q447" s="58">
        <v>0</v>
      </c>
      <c r="R447" s="58">
        <v>0</v>
      </c>
      <c r="S447" s="58">
        <v>0</v>
      </c>
      <c r="T447" s="58">
        <v>0</v>
      </c>
      <c r="U447" s="58">
        <v>0</v>
      </c>
      <c r="V447" s="58">
        <v>0</v>
      </c>
      <c r="W447" s="58">
        <v>0</v>
      </c>
      <c r="X447" s="58">
        <v>0</v>
      </c>
      <c r="Y447" s="58">
        <v>4875</v>
      </c>
      <c r="Z447" s="58">
        <v>4875</v>
      </c>
      <c r="AA447" s="58">
        <v>15143.3</v>
      </c>
      <c r="AE447" s="57"/>
    </row>
    <row r="448" spans="1:31" x14ac:dyDescent="0.35">
      <c r="A448" s="56" t="s">
        <v>513</v>
      </c>
      <c r="B448" s="58">
        <v>14250</v>
      </c>
      <c r="C448" s="58" t="s">
        <v>2071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2775</v>
      </c>
      <c r="M448" s="58">
        <v>9750</v>
      </c>
      <c r="N448" s="58">
        <v>15143.3</v>
      </c>
      <c r="O448" s="58">
        <v>14250</v>
      </c>
      <c r="P448" s="58" t="s">
        <v>2071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15143.3</v>
      </c>
      <c r="AE448" s="57"/>
    </row>
    <row r="449" spans="1:31" x14ac:dyDescent="0.35">
      <c r="A449" s="56" t="s">
        <v>514</v>
      </c>
      <c r="B449" s="58">
        <v>14250</v>
      </c>
      <c r="C449" s="58" t="s">
        <v>2073</v>
      </c>
      <c r="D449" s="58">
        <v>0</v>
      </c>
      <c r="E449" s="58">
        <v>0</v>
      </c>
      <c r="F449" s="58">
        <v>0</v>
      </c>
      <c r="G449" s="58">
        <v>0</v>
      </c>
      <c r="H449" s="58">
        <v>0</v>
      </c>
      <c r="I449" s="58">
        <v>0</v>
      </c>
      <c r="J449" s="58">
        <v>0</v>
      </c>
      <c r="K449" s="58">
        <v>0</v>
      </c>
      <c r="L449" s="58">
        <v>2775</v>
      </c>
      <c r="M449" s="58">
        <v>9750</v>
      </c>
      <c r="N449" s="58">
        <v>15139.55</v>
      </c>
      <c r="O449" s="58">
        <v>14250</v>
      </c>
      <c r="P449" s="58" t="s">
        <v>2073</v>
      </c>
      <c r="Q449" s="58">
        <v>0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4875</v>
      </c>
      <c r="Z449" s="58">
        <v>4875</v>
      </c>
      <c r="AA449" s="58">
        <v>15139.55</v>
      </c>
      <c r="AE449" s="57"/>
    </row>
    <row r="450" spans="1:31" x14ac:dyDescent="0.35">
      <c r="A450" s="56" t="s">
        <v>515</v>
      </c>
      <c r="B450" s="58">
        <v>14250</v>
      </c>
      <c r="C450" s="58" t="s">
        <v>2074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4875</v>
      </c>
      <c r="N450" s="58">
        <v>15139.55</v>
      </c>
      <c r="O450" s="58">
        <v>14250</v>
      </c>
      <c r="P450" s="58" t="s">
        <v>2074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15139.55</v>
      </c>
      <c r="AE450" s="57"/>
    </row>
    <row r="451" spans="1:31" x14ac:dyDescent="0.35">
      <c r="A451" s="56" t="s">
        <v>516</v>
      </c>
      <c r="B451" s="58">
        <v>14250</v>
      </c>
      <c r="C451" s="58" t="s">
        <v>2068</v>
      </c>
      <c r="D451" s="58">
        <v>25</v>
      </c>
      <c r="E451" s="58">
        <v>-3</v>
      </c>
      <c r="F451" s="58">
        <v>-10.714285714285714</v>
      </c>
      <c r="G451" s="58">
        <v>12</v>
      </c>
      <c r="H451" s="58">
        <v>23.71</v>
      </c>
      <c r="I451" s="58">
        <v>141.9</v>
      </c>
      <c r="J451" s="58">
        <v>-25.650000000000009</v>
      </c>
      <c r="K451" s="58">
        <v>-15.308863025962404</v>
      </c>
      <c r="L451" s="58">
        <v>8325</v>
      </c>
      <c r="M451" s="58">
        <v>4950</v>
      </c>
      <c r="N451" s="58">
        <v>15139.55</v>
      </c>
      <c r="O451" s="58">
        <v>14250</v>
      </c>
      <c r="P451" s="58" t="s">
        <v>2068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8775</v>
      </c>
      <c r="Z451" s="58">
        <v>8850</v>
      </c>
      <c r="AA451" s="58">
        <v>15139.55</v>
      </c>
      <c r="AE451" s="57"/>
    </row>
    <row r="452" spans="1:31" x14ac:dyDescent="0.35">
      <c r="A452" s="56" t="s">
        <v>517</v>
      </c>
      <c r="B452" s="58">
        <v>14250</v>
      </c>
      <c r="C452" s="58" t="s">
        <v>2076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0</v>
      </c>
      <c r="M452" s="58">
        <v>4875</v>
      </c>
      <c r="N452" s="58">
        <v>15139.55</v>
      </c>
      <c r="O452" s="58">
        <v>14250</v>
      </c>
      <c r="P452" s="58" t="s">
        <v>2076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15139.55</v>
      </c>
      <c r="AE452" s="57"/>
    </row>
    <row r="453" spans="1:31" x14ac:dyDescent="0.35">
      <c r="A453" s="56" t="s">
        <v>518</v>
      </c>
      <c r="B453" s="58">
        <v>14250</v>
      </c>
      <c r="C453" s="58" t="s">
        <v>2075</v>
      </c>
      <c r="D453" s="58">
        <v>0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0</v>
      </c>
      <c r="M453" s="58">
        <v>4875</v>
      </c>
      <c r="N453" s="58">
        <v>15143.3</v>
      </c>
      <c r="O453" s="58">
        <v>14250</v>
      </c>
      <c r="P453" s="58" t="s">
        <v>2075</v>
      </c>
      <c r="Q453" s="58">
        <v>0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9975</v>
      </c>
      <c r="Z453" s="58">
        <v>4875</v>
      </c>
      <c r="AA453" s="58">
        <v>15139.55</v>
      </c>
      <c r="AE453" s="57"/>
    </row>
    <row r="454" spans="1:31" x14ac:dyDescent="0.35">
      <c r="A454" s="56" t="s">
        <v>519</v>
      </c>
      <c r="B454" s="58">
        <v>14250</v>
      </c>
      <c r="C454" s="58" t="s">
        <v>34</v>
      </c>
      <c r="D454" s="58">
        <v>177</v>
      </c>
      <c r="E454" s="58">
        <v>50</v>
      </c>
      <c r="F454" s="58">
        <v>39.370078740157481</v>
      </c>
      <c r="G454" s="58">
        <v>523</v>
      </c>
      <c r="H454" s="58">
        <v>25.65</v>
      </c>
      <c r="I454" s="58">
        <v>11.6</v>
      </c>
      <c r="J454" s="58">
        <v>-6.15</v>
      </c>
      <c r="K454" s="58">
        <v>-34.647887323943664</v>
      </c>
      <c r="L454" s="58">
        <v>70350</v>
      </c>
      <c r="M454" s="58">
        <v>22500</v>
      </c>
      <c r="N454" s="58">
        <v>15143.3</v>
      </c>
      <c r="O454" s="58">
        <v>14250</v>
      </c>
      <c r="P454" s="58" t="s">
        <v>34</v>
      </c>
      <c r="Q454" s="58">
        <v>3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21900</v>
      </c>
      <c r="Z454" s="58">
        <v>10950</v>
      </c>
      <c r="AA454" s="58">
        <v>15143.3</v>
      </c>
      <c r="AE454" s="57"/>
    </row>
    <row r="455" spans="1:31" x14ac:dyDescent="0.35">
      <c r="A455" s="56" t="s">
        <v>520</v>
      </c>
      <c r="B455" s="58">
        <v>14300</v>
      </c>
      <c r="C455" s="58" t="s">
        <v>2068</v>
      </c>
      <c r="D455" s="58">
        <v>1176</v>
      </c>
      <c r="E455" s="58">
        <v>105</v>
      </c>
      <c r="F455" s="58">
        <v>9.8039215686274517</v>
      </c>
      <c r="G455" s="58">
        <v>522</v>
      </c>
      <c r="H455" s="58">
        <v>23.63</v>
      </c>
      <c r="I455" s="58">
        <v>150.35</v>
      </c>
      <c r="J455" s="58">
        <v>-23.599999999999991</v>
      </c>
      <c r="K455" s="58">
        <v>-13.567116987640125</v>
      </c>
      <c r="L455" s="58">
        <v>14925</v>
      </c>
      <c r="M455" s="58">
        <v>12150</v>
      </c>
      <c r="N455" s="58">
        <v>15139.55</v>
      </c>
      <c r="O455" s="58">
        <v>14300</v>
      </c>
      <c r="P455" s="58" t="s">
        <v>2068</v>
      </c>
      <c r="Q455" s="58">
        <v>32</v>
      </c>
      <c r="R455" s="58">
        <v>2</v>
      </c>
      <c r="S455" s="58">
        <v>6.666666666666667</v>
      </c>
      <c r="T455" s="58">
        <v>7</v>
      </c>
      <c r="U455" s="58">
        <v>16.91</v>
      </c>
      <c r="V455" s="58">
        <v>1090</v>
      </c>
      <c r="W455" s="58">
        <v>80</v>
      </c>
      <c r="X455" s="58">
        <v>7.9207920792079207</v>
      </c>
      <c r="Y455" s="58">
        <v>13575</v>
      </c>
      <c r="Z455" s="58">
        <v>10200</v>
      </c>
      <c r="AA455" s="58">
        <v>15139.55</v>
      </c>
      <c r="AE455" s="57"/>
    </row>
    <row r="456" spans="1:31" x14ac:dyDescent="0.35">
      <c r="A456" s="56" t="s">
        <v>521</v>
      </c>
      <c r="B456" s="58">
        <v>14300</v>
      </c>
      <c r="C456" s="58" t="s">
        <v>34</v>
      </c>
      <c r="D456" s="58">
        <v>9744</v>
      </c>
      <c r="E456" s="58">
        <v>971</v>
      </c>
      <c r="F456" s="58">
        <v>11.068049697936852</v>
      </c>
      <c r="G456" s="58">
        <v>8479</v>
      </c>
      <c r="H456" s="58">
        <v>25.24</v>
      </c>
      <c r="I456" s="58">
        <v>13.5</v>
      </c>
      <c r="J456" s="58">
        <v>-6.6999999999999993</v>
      </c>
      <c r="K456" s="58">
        <v>-33.168316831683164</v>
      </c>
      <c r="L456" s="58">
        <v>91125</v>
      </c>
      <c r="M456" s="58">
        <v>55800</v>
      </c>
      <c r="N456" s="58">
        <v>15143.3</v>
      </c>
      <c r="O456" s="58">
        <v>14300</v>
      </c>
      <c r="P456" s="58" t="s">
        <v>34</v>
      </c>
      <c r="Q456" s="58">
        <v>2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16500</v>
      </c>
      <c r="Z456" s="58">
        <v>10050</v>
      </c>
      <c r="AA456" s="58">
        <v>15143.3</v>
      </c>
      <c r="AE456" s="57"/>
    </row>
    <row r="457" spans="1:31" x14ac:dyDescent="0.35">
      <c r="A457" s="56" t="s">
        <v>522</v>
      </c>
      <c r="B457" s="58">
        <v>14300</v>
      </c>
      <c r="C457" s="58" t="s">
        <v>2071</v>
      </c>
      <c r="D457" s="58">
        <v>0</v>
      </c>
      <c r="E457" s="58">
        <v>0</v>
      </c>
      <c r="F457" s="58">
        <v>0</v>
      </c>
      <c r="G457" s="58">
        <v>0</v>
      </c>
      <c r="H457" s="58">
        <v>0</v>
      </c>
      <c r="I457" s="58">
        <v>0</v>
      </c>
      <c r="J457" s="58">
        <v>0</v>
      </c>
      <c r="K457" s="58">
        <v>0</v>
      </c>
      <c r="L457" s="58">
        <v>2775</v>
      </c>
      <c r="M457" s="58">
        <v>9750</v>
      </c>
      <c r="N457" s="58">
        <v>15139.55</v>
      </c>
      <c r="O457" s="58">
        <v>14300</v>
      </c>
      <c r="P457" s="58" t="s">
        <v>2071</v>
      </c>
      <c r="Q457" s="58">
        <v>0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4875</v>
      </c>
      <c r="Z457" s="58">
        <v>4875</v>
      </c>
      <c r="AA457" s="58">
        <v>15143.3</v>
      </c>
      <c r="AE457" s="57"/>
    </row>
    <row r="458" spans="1:31" x14ac:dyDescent="0.35">
      <c r="A458" s="56" t="s">
        <v>523</v>
      </c>
      <c r="B458" s="58">
        <v>14300</v>
      </c>
      <c r="C458" s="58" t="s">
        <v>2073</v>
      </c>
      <c r="D458" s="58">
        <v>0</v>
      </c>
      <c r="E458" s="58">
        <v>0</v>
      </c>
      <c r="F458" s="58">
        <v>0</v>
      </c>
      <c r="G458" s="58">
        <v>0</v>
      </c>
      <c r="H458" s="58">
        <v>0</v>
      </c>
      <c r="I458" s="58">
        <v>0</v>
      </c>
      <c r="J458" s="58">
        <v>0</v>
      </c>
      <c r="K458" s="58">
        <v>0</v>
      </c>
      <c r="L458" s="58">
        <v>2775</v>
      </c>
      <c r="M458" s="58">
        <v>9750</v>
      </c>
      <c r="N458" s="58">
        <v>15139.55</v>
      </c>
      <c r="O458" s="58">
        <v>14300</v>
      </c>
      <c r="P458" s="58" t="s">
        <v>2073</v>
      </c>
      <c r="Q458" s="58">
        <v>0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4875</v>
      </c>
      <c r="Z458" s="58">
        <v>4875</v>
      </c>
      <c r="AA458" s="58">
        <v>15143.3</v>
      </c>
      <c r="AE458" s="57"/>
    </row>
    <row r="459" spans="1:31" x14ac:dyDescent="0.35">
      <c r="A459" s="56" t="s">
        <v>524</v>
      </c>
      <c r="B459" s="58">
        <v>14300</v>
      </c>
      <c r="C459" s="58" t="s">
        <v>2074</v>
      </c>
      <c r="D459" s="58">
        <v>0</v>
      </c>
      <c r="E459" s="58">
        <v>0</v>
      </c>
      <c r="F459" s="58">
        <v>0</v>
      </c>
      <c r="G459" s="58">
        <v>0</v>
      </c>
      <c r="H459" s="58">
        <v>0</v>
      </c>
      <c r="I459" s="58">
        <v>0</v>
      </c>
      <c r="J459" s="58">
        <v>0</v>
      </c>
      <c r="K459" s="58">
        <v>0</v>
      </c>
      <c r="L459" s="58">
        <v>0</v>
      </c>
      <c r="M459" s="58">
        <v>4875</v>
      </c>
      <c r="N459" s="58">
        <v>15143.3</v>
      </c>
      <c r="O459" s="58">
        <v>14300</v>
      </c>
      <c r="P459" s="58" t="s">
        <v>2074</v>
      </c>
      <c r="Q459" s="58">
        <v>0</v>
      </c>
      <c r="R459" s="58">
        <v>0</v>
      </c>
      <c r="S459" s="58">
        <v>0</v>
      </c>
      <c r="T459" s="58">
        <v>0</v>
      </c>
      <c r="U459" s="58">
        <v>0</v>
      </c>
      <c r="V459" s="58">
        <v>0</v>
      </c>
      <c r="W459" s="58">
        <v>0</v>
      </c>
      <c r="X459" s="58">
        <v>0</v>
      </c>
      <c r="Y459" s="58">
        <v>4875</v>
      </c>
      <c r="Z459" s="58">
        <v>4875</v>
      </c>
      <c r="AA459" s="58">
        <v>15143.3</v>
      </c>
      <c r="AE459" s="57"/>
    </row>
    <row r="460" spans="1:31" x14ac:dyDescent="0.35">
      <c r="A460" s="56" t="s">
        <v>525</v>
      </c>
      <c r="B460" s="58">
        <v>14300</v>
      </c>
      <c r="C460" s="58" t="s">
        <v>64</v>
      </c>
      <c r="D460" s="58">
        <v>0</v>
      </c>
      <c r="E460" s="58">
        <v>0</v>
      </c>
      <c r="F460" s="58">
        <v>0</v>
      </c>
      <c r="G460" s="58">
        <v>0</v>
      </c>
      <c r="H460" s="58">
        <v>0</v>
      </c>
      <c r="I460" s="58">
        <v>0</v>
      </c>
      <c r="J460" s="58">
        <v>0</v>
      </c>
      <c r="K460" s="58">
        <v>0</v>
      </c>
      <c r="L460" s="58">
        <v>9750</v>
      </c>
      <c r="M460" s="58">
        <v>11175</v>
      </c>
      <c r="N460" s="58">
        <v>15139.55</v>
      </c>
      <c r="O460" s="58">
        <v>14300</v>
      </c>
      <c r="P460" s="58" t="s">
        <v>64</v>
      </c>
      <c r="Q460" s="58">
        <v>0</v>
      </c>
      <c r="R460" s="58">
        <v>0</v>
      </c>
      <c r="S460" s="58">
        <v>0</v>
      </c>
      <c r="T460" s="58">
        <v>0</v>
      </c>
      <c r="U460" s="58">
        <v>0</v>
      </c>
      <c r="V460" s="58">
        <v>0</v>
      </c>
      <c r="W460" s="58">
        <v>0</v>
      </c>
      <c r="X460" s="58">
        <v>0</v>
      </c>
      <c r="Y460" s="58">
        <v>4875</v>
      </c>
      <c r="Z460" s="58">
        <v>4875</v>
      </c>
      <c r="AA460" s="58">
        <v>15139.55</v>
      </c>
      <c r="AE460" s="57"/>
    </row>
    <row r="461" spans="1:31" x14ac:dyDescent="0.35">
      <c r="A461" s="56" t="s">
        <v>526</v>
      </c>
      <c r="B461" s="58">
        <v>14300</v>
      </c>
      <c r="C461" s="58" t="s">
        <v>2076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0</v>
      </c>
      <c r="M461" s="58">
        <v>0</v>
      </c>
      <c r="N461" s="58">
        <v>15139.55</v>
      </c>
      <c r="O461" s="58">
        <v>14300</v>
      </c>
      <c r="P461" s="58" t="s">
        <v>2076</v>
      </c>
      <c r="Q461" s="58">
        <v>0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15139.55</v>
      </c>
      <c r="AE461" s="57"/>
    </row>
    <row r="462" spans="1:31" x14ac:dyDescent="0.35">
      <c r="A462" s="56" t="s">
        <v>527</v>
      </c>
      <c r="B462" s="58">
        <v>14300</v>
      </c>
      <c r="C462" s="58" t="s">
        <v>2075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0</v>
      </c>
      <c r="M462" s="58">
        <v>9825</v>
      </c>
      <c r="N462" s="58">
        <v>15139.55</v>
      </c>
      <c r="O462" s="58">
        <v>14300</v>
      </c>
      <c r="P462" s="58" t="s">
        <v>2075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9975</v>
      </c>
      <c r="Z462" s="58">
        <v>4875</v>
      </c>
      <c r="AA462" s="58">
        <v>15143.3</v>
      </c>
      <c r="AE462" s="57"/>
    </row>
    <row r="463" spans="1:31" x14ac:dyDescent="0.35">
      <c r="A463" s="56" t="s">
        <v>528</v>
      </c>
      <c r="B463" s="58">
        <v>0</v>
      </c>
      <c r="C463" s="58">
        <v>0</v>
      </c>
      <c r="D463" s="58">
        <v>0</v>
      </c>
      <c r="E463" s="58">
        <v>0</v>
      </c>
      <c r="F463" s="58">
        <v>0</v>
      </c>
      <c r="G463" s="58">
        <v>0</v>
      </c>
      <c r="H463" s="58">
        <v>0</v>
      </c>
      <c r="I463" s="58">
        <v>0</v>
      </c>
      <c r="J463" s="58">
        <v>0</v>
      </c>
      <c r="K463" s="58">
        <v>0</v>
      </c>
      <c r="L463" s="58">
        <v>0</v>
      </c>
      <c r="M463" s="58">
        <v>0</v>
      </c>
      <c r="N463" s="58">
        <v>0</v>
      </c>
      <c r="O463" s="58">
        <v>14300</v>
      </c>
      <c r="P463" s="58" t="s">
        <v>27</v>
      </c>
      <c r="Q463" s="58">
        <v>160</v>
      </c>
      <c r="R463" s="58">
        <v>0</v>
      </c>
      <c r="S463" s="58">
        <v>0</v>
      </c>
      <c r="T463" s="58">
        <v>0</v>
      </c>
      <c r="U463" s="58">
        <v>0</v>
      </c>
      <c r="V463" s="58">
        <v>0</v>
      </c>
      <c r="W463" s="58">
        <v>0</v>
      </c>
      <c r="X463" s="58">
        <v>0</v>
      </c>
      <c r="Y463" s="58">
        <v>3075</v>
      </c>
      <c r="Z463" s="58">
        <v>0</v>
      </c>
      <c r="AA463" s="58">
        <v>15143.3</v>
      </c>
      <c r="AE463" s="57"/>
    </row>
    <row r="464" spans="1:31" x14ac:dyDescent="0.35">
      <c r="A464" s="56" t="s">
        <v>529</v>
      </c>
      <c r="B464" s="58">
        <v>14300</v>
      </c>
      <c r="C464" s="58" t="s">
        <v>33</v>
      </c>
      <c r="D464" s="58">
        <v>9877</v>
      </c>
      <c r="E464" s="58">
        <v>-1668</v>
      </c>
      <c r="F464" s="58">
        <v>-14.447812906019919</v>
      </c>
      <c r="G464" s="58">
        <v>15613</v>
      </c>
      <c r="H464" s="58">
        <v>40.64</v>
      </c>
      <c r="I464" s="58">
        <v>0.3</v>
      </c>
      <c r="J464" s="58">
        <v>-1</v>
      </c>
      <c r="K464" s="58">
        <v>-76.92307692307692</v>
      </c>
      <c r="L464" s="58">
        <v>923475</v>
      </c>
      <c r="M464" s="58">
        <v>118275</v>
      </c>
      <c r="N464" s="58">
        <v>15139.55</v>
      </c>
      <c r="O464" s="58">
        <v>14300</v>
      </c>
      <c r="P464" s="58" t="s">
        <v>33</v>
      </c>
      <c r="Q464" s="58">
        <v>151</v>
      </c>
      <c r="R464" s="58">
        <v>-1</v>
      </c>
      <c r="S464" s="58">
        <v>-0.65789473684210531</v>
      </c>
      <c r="T464" s="58">
        <v>28</v>
      </c>
      <c r="U464" s="58">
        <v>53.32</v>
      </c>
      <c r="V464" s="58">
        <v>848</v>
      </c>
      <c r="W464" s="58">
        <v>26.299999999999955</v>
      </c>
      <c r="X464" s="58">
        <v>3.2006815139345202</v>
      </c>
      <c r="Y464" s="58">
        <v>24675</v>
      </c>
      <c r="Z464" s="58">
        <v>19650</v>
      </c>
      <c r="AA464" s="58">
        <v>15143.3</v>
      </c>
      <c r="AE464" s="57"/>
    </row>
    <row r="465" spans="1:31" x14ac:dyDescent="0.35">
      <c r="A465" s="56" t="s">
        <v>530</v>
      </c>
      <c r="B465" s="58">
        <v>14300</v>
      </c>
      <c r="C465" s="58" t="s">
        <v>26</v>
      </c>
      <c r="D465" s="58">
        <v>17644</v>
      </c>
      <c r="E465" s="58">
        <v>51</v>
      </c>
      <c r="F465" s="58">
        <v>0.28988802364576821</v>
      </c>
      <c r="G465" s="58">
        <v>5154</v>
      </c>
      <c r="H465" s="58">
        <v>26.79</v>
      </c>
      <c r="I465" s="58">
        <v>52.1</v>
      </c>
      <c r="J465" s="58">
        <v>-13.4</v>
      </c>
      <c r="K465" s="58">
        <v>-20.458015267175568</v>
      </c>
      <c r="L465" s="58">
        <v>40275</v>
      </c>
      <c r="M465" s="58">
        <v>30000</v>
      </c>
      <c r="N465" s="58">
        <v>15139.55</v>
      </c>
      <c r="O465" s="58">
        <v>14300</v>
      </c>
      <c r="P465" s="58" t="s">
        <v>26</v>
      </c>
      <c r="Q465" s="58">
        <v>1261</v>
      </c>
      <c r="R465" s="58">
        <v>-49</v>
      </c>
      <c r="S465" s="58">
        <v>-3.7404580152671754</v>
      </c>
      <c r="T465" s="58">
        <v>97</v>
      </c>
      <c r="U465" s="58">
        <v>21.39</v>
      </c>
      <c r="V465" s="58">
        <v>913</v>
      </c>
      <c r="W465" s="58">
        <v>6.2999999999999545</v>
      </c>
      <c r="X465" s="58">
        <v>0.6948273960516107</v>
      </c>
      <c r="Y465" s="58">
        <v>28575</v>
      </c>
      <c r="Z465" s="58">
        <v>21300</v>
      </c>
      <c r="AA465" s="58">
        <v>15143.3</v>
      </c>
      <c r="AE465" s="57"/>
    </row>
    <row r="466" spans="1:31" x14ac:dyDescent="0.35">
      <c r="A466" s="56" t="s">
        <v>531</v>
      </c>
      <c r="B466" s="58">
        <v>14350</v>
      </c>
      <c r="C466" s="58" t="s">
        <v>34</v>
      </c>
      <c r="D466" s="58">
        <v>356</v>
      </c>
      <c r="E466" s="58">
        <v>-56</v>
      </c>
      <c r="F466" s="58">
        <v>-13.592233009708735</v>
      </c>
      <c r="G466" s="58">
        <v>1158</v>
      </c>
      <c r="H466" s="58">
        <v>24.83</v>
      </c>
      <c r="I466" s="58">
        <v>15.55</v>
      </c>
      <c r="J466" s="58">
        <v>-8.1499999999999986</v>
      </c>
      <c r="K466" s="58">
        <v>-34.388185654008439</v>
      </c>
      <c r="L466" s="58">
        <v>32625</v>
      </c>
      <c r="M466" s="58">
        <v>21000</v>
      </c>
      <c r="N466" s="58">
        <v>15143.3</v>
      </c>
      <c r="O466" s="58">
        <v>14350</v>
      </c>
      <c r="P466" s="58" t="s">
        <v>34</v>
      </c>
      <c r="Q466" s="58">
        <v>2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21825</v>
      </c>
      <c r="Z466" s="58">
        <v>11025</v>
      </c>
      <c r="AA466" s="58">
        <v>15143.3</v>
      </c>
      <c r="AE466" s="57"/>
    </row>
    <row r="467" spans="1:31" x14ac:dyDescent="0.35">
      <c r="A467" s="56" t="s">
        <v>532</v>
      </c>
      <c r="B467" s="58">
        <v>14350</v>
      </c>
      <c r="C467" s="58" t="s">
        <v>26</v>
      </c>
      <c r="D467" s="58">
        <v>570</v>
      </c>
      <c r="E467" s="58">
        <v>28</v>
      </c>
      <c r="F467" s="58">
        <v>5.1660516605166054</v>
      </c>
      <c r="G467" s="58">
        <v>312</v>
      </c>
      <c r="H467" s="58">
        <v>26.55</v>
      </c>
      <c r="I467" s="58">
        <v>57.35</v>
      </c>
      <c r="J467" s="58">
        <v>-15.4</v>
      </c>
      <c r="K467" s="58">
        <v>-21.168384879725082</v>
      </c>
      <c r="L467" s="58">
        <v>17625</v>
      </c>
      <c r="M467" s="58">
        <v>19650</v>
      </c>
      <c r="N467" s="58">
        <v>15143.3</v>
      </c>
      <c r="O467" s="58">
        <v>14350</v>
      </c>
      <c r="P467" s="58" t="s">
        <v>26</v>
      </c>
      <c r="Q467" s="58">
        <v>73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28350</v>
      </c>
      <c r="Z467" s="58">
        <v>20025</v>
      </c>
      <c r="AA467" s="58">
        <v>15139.55</v>
      </c>
      <c r="AE467" s="57"/>
    </row>
    <row r="468" spans="1:31" x14ac:dyDescent="0.35">
      <c r="A468" s="56" t="s">
        <v>533</v>
      </c>
      <c r="B468" s="58">
        <v>14350</v>
      </c>
      <c r="C468" s="58" t="s">
        <v>64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5775</v>
      </c>
      <c r="M468" s="58">
        <v>9825</v>
      </c>
      <c r="N468" s="58">
        <v>15143.3</v>
      </c>
      <c r="O468" s="58">
        <v>14350</v>
      </c>
      <c r="P468" s="58" t="s">
        <v>64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15139.55</v>
      </c>
      <c r="AE468" s="57"/>
    </row>
    <row r="469" spans="1:31" x14ac:dyDescent="0.35">
      <c r="A469" s="56" t="s">
        <v>534</v>
      </c>
      <c r="B469" s="58">
        <v>14350</v>
      </c>
      <c r="C469" s="58" t="s">
        <v>2071</v>
      </c>
      <c r="D469" s="58">
        <v>0</v>
      </c>
      <c r="E469" s="58">
        <v>0</v>
      </c>
      <c r="F469" s="58">
        <v>0</v>
      </c>
      <c r="G469" s="58">
        <v>0</v>
      </c>
      <c r="H469" s="58">
        <v>0</v>
      </c>
      <c r="I469" s="58">
        <v>0</v>
      </c>
      <c r="J469" s="58">
        <v>0</v>
      </c>
      <c r="K469" s="58">
        <v>0</v>
      </c>
      <c r="L469" s="58">
        <v>2775</v>
      </c>
      <c r="M469" s="58">
        <v>9750</v>
      </c>
      <c r="N469" s="58">
        <v>15139.55</v>
      </c>
      <c r="O469" s="58">
        <v>14350</v>
      </c>
      <c r="P469" s="58" t="s">
        <v>2071</v>
      </c>
      <c r="Q469" s="58">
        <v>0</v>
      </c>
      <c r="R469" s="58">
        <v>0</v>
      </c>
      <c r="S469" s="58">
        <v>0</v>
      </c>
      <c r="T469" s="58">
        <v>0</v>
      </c>
      <c r="U469" s="58">
        <v>0</v>
      </c>
      <c r="V469" s="58">
        <v>0</v>
      </c>
      <c r="W469" s="58">
        <v>0</v>
      </c>
      <c r="X469" s="58">
        <v>0</v>
      </c>
      <c r="Y469" s="58">
        <v>4875</v>
      </c>
      <c r="Z469" s="58">
        <v>4875</v>
      </c>
      <c r="AA469" s="58">
        <v>15139.55</v>
      </c>
      <c r="AE469" s="57"/>
    </row>
    <row r="470" spans="1:31" x14ac:dyDescent="0.35">
      <c r="A470" s="56" t="s">
        <v>535</v>
      </c>
      <c r="B470" s="58">
        <v>14350</v>
      </c>
      <c r="C470" s="58" t="s">
        <v>2073</v>
      </c>
      <c r="D470" s="58">
        <v>0</v>
      </c>
      <c r="E470" s="58">
        <v>0</v>
      </c>
      <c r="F470" s="58">
        <v>0</v>
      </c>
      <c r="G470" s="58">
        <v>0</v>
      </c>
      <c r="H470" s="58">
        <v>0</v>
      </c>
      <c r="I470" s="58">
        <v>0</v>
      </c>
      <c r="J470" s="58">
        <v>0</v>
      </c>
      <c r="K470" s="58">
        <v>0</v>
      </c>
      <c r="L470" s="58">
        <v>2775</v>
      </c>
      <c r="M470" s="58">
        <v>9750</v>
      </c>
      <c r="N470" s="58">
        <v>15143.3</v>
      </c>
      <c r="O470" s="58">
        <v>14350</v>
      </c>
      <c r="P470" s="58" t="s">
        <v>2073</v>
      </c>
      <c r="Q470" s="58">
        <v>0</v>
      </c>
      <c r="R470" s="58">
        <v>0</v>
      </c>
      <c r="S470" s="58">
        <v>0</v>
      </c>
      <c r="T470" s="58">
        <v>0</v>
      </c>
      <c r="U470" s="58">
        <v>0</v>
      </c>
      <c r="V470" s="58">
        <v>0</v>
      </c>
      <c r="W470" s="58">
        <v>0</v>
      </c>
      <c r="X470" s="58">
        <v>0</v>
      </c>
      <c r="Y470" s="58">
        <v>4875</v>
      </c>
      <c r="Z470" s="58">
        <v>4875</v>
      </c>
      <c r="AA470" s="58">
        <v>15139.55</v>
      </c>
      <c r="AE470" s="57"/>
    </row>
    <row r="471" spans="1:31" x14ac:dyDescent="0.35">
      <c r="A471" s="56" t="s">
        <v>536</v>
      </c>
      <c r="B471" s="58">
        <v>14350</v>
      </c>
      <c r="C471" s="58" t="s">
        <v>2074</v>
      </c>
      <c r="D471" s="58">
        <v>0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0</v>
      </c>
      <c r="M471" s="58">
        <v>4875</v>
      </c>
      <c r="N471" s="58">
        <v>15143.3</v>
      </c>
      <c r="O471" s="58">
        <v>14350</v>
      </c>
      <c r="P471" s="58" t="s">
        <v>2074</v>
      </c>
      <c r="Q471" s="58">
        <v>0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15143.3</v>
      </c>
      <c r="AE471" s="57"/>
    </row>
    <row r="472" spans="1:31" x14ac:dyDescent="0.35">
      <c r="A472" s="56" t="s">
        <v>537</v>
      </c>
      <c r="B472" s="58">
        <v>14350</v>
      </c>
      <c r="C472" s="58" t="s">
        <v>2068</v>
      </c>
      <c r="D472" s="58">
        <v>24</v>
      </c>
      <c r="E472" s="58">
        <v>0</v>
      </c>
      <c r="F472" s="58">
        <v>0</v>
      </c>
      <c r="G472" s="58">
        <v>4</v>
      </c>
      <c r="H472" s="58">
        <v>23.51</v>
      </c>
      <c r="I472" s="58">
        <v>161.19999999999999</v>
      </c>
      <c r="J472" s="58">
        <v>-24.600000000000023</v>
      </c>
      <c r="K472" s="58">
        <v>-13.240043057050604</v>
      </c>
      <c r="L472" s="58">
        <v>5850</v>
      </c>
      <c r="M472" s="58">
        <v>4950</v>
      </c>
      <c r="N472" s="58">
        <v>15139.55</v>
      </c>
      <c r="O472" s="58">
        <v>14350</v>
      </c>
      <c r="P472" s="58" t="s">
        <v>2068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8775</v>
      </c>
      <c r="Z472" s="58">
        <v>9000</v>
      </c>
      <c r="AA472" s="58">
        <v>15143.3</v>
      </c>
      <c r="AE472" s="57"/>
    </row>
    <row r="473" spans="1:31" x14ac:dyDescent="0.35">
      <c r="A473" s="56" t="s">
        <v>538</v>
      </c>
      <c r="B473" s="58">
        <v>14350</v>
      </c>
      <c r="C473" s="58" t="s">
        <v>2076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4875</v>
      </c>
      <c r="N473" s="58">
        <v>15143.3</v>
      </c>
      <c r="O473" s="58">
        <v>14350</v>
      </c>
      <c r="P473" s="58" t="s">
        <v>2076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15139.55</v>
      </c>
      <c r="AE473" s="57"/>
    </row>
    <row r="474" spans="1:31" x14ac:dyDescent="0.35">
      <c r="A474" s="56" t="s">
        <v>539</v>
      </c>
      <c r="B474" s="58">
        <v>14350</v>
      </c>
      <c r="C474" s="58" t="s">
        <v>2075</v>
      </c>
      <c r="D474" s="58">
        <v>0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0</v>
      </c>
      <c r="M474" s="58">
        <v>9750</v>
      </c>
      <c r="N474" s="58">
        <v>15139.55</v>
      </c>
      <c r="O474" s="58">
        <v>14350</v>
      </c>
      <c r="P474" s="58" t="s">
        <v>2075</v>
      </c>
      <c r="Q474" s="58">
        <v>0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5100</v>
      </c>
      <c r="Z474" s="58">
        <v>4875</v>
      </c>
      <c r="AA474" s="58">
        <v>15139.55</v>
      </c>
      <c r="AE474" s="57"/>
    </row>
    <row r="475" spans="1:31" x14ac:dyDescent="0.35">
      <c r="A475" s="56" t="s">
        <v>540</v>
      </c>
      <c r="B475" s="58">
        <v>14350</v>
      </c>
      <c r="C475" s="58" t="s">
        <v>33</v>
      </c>
      <c r="D475" s="58">
        <v>1121</v>
      </c>
      <c r="E475" s="58">
        <v>-211</v>
      </c>
      <c r="F475" s="58">
        <v>-15.840840840840841</v>
      </c>
      <c r="G475" s="58">
        <v>2138</v>
      </c>
      <c r="H475" s="58">
        <v>38.94</v>
      </c>
      <c r="I475" s="58">
        <v>0.4</v>
      </c>
      <c r="J475" s="58">
        <v>-1.0499999999999998</v>
      </c>
      <c r="K475" s="58">
        <v>-72.41379310344827</v>
      </c>
      <c r="L475" s="58">
        <v>100725</v>
      </c>
      <c r="M475" s="58">
        <v>64950</v>
      </c>
      <c r="N475" s="58">
        <v>15143.3</v>
      </c>
      <c r="O475" s="58">
        <v>14350</v>
      </c>
      <c r="P475" s="58" t="s">
        <v>33</v>
      </c>
      <c r="Q475" s="58">
        <v>7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25050</v>
      </c>
      <c r="Z475" s="58">
        <v>19950</v>
      </c>
      <c r="AA475" s="58">
        <v>15139.55</v>
      </c>
      <c r="AE475" s="57"/>
    </row>
    <row r="476" spans="1:31" x14ac:dyDescent="0.35">
      <c r="A476" s="56" t="s">
        <v>541</v>
      </c>
      <c r="B476" s="58">
        <v>14400</v>
      </c>
      <c r="C476" s="58" t="s">
        <v>34</v>
      </c>
      <c r="D476" s="58">
        <v>5288</v>
      </c>
      <c r="E476" s="58">
        <v>2324</v>
      </c>
      <c r="F476" s="58">
        <v>78.407557354925771</v>
      </c>
      <c r="G476" s="58">
        <v>7975</v>
      </c>
      <c r="H476" s="58">
        <v>24.53</v>
      </c>
      <c r="I476" s="58">
        <v>18.149999999999999</v>
      </c>
      <c r="J476" s="58">
        <v>-9.0500000000000007</v>
      </c>
      <c r="K476" s="58">
        <v>-33.272058823529413</v>
      </c>
      <c r="L476" s="58">
        <v>53175</v>
      </c>
      <c r="M476" s="58">
        <v>33150</v>
      </c>
      <c r="N476" s="58">
        <v>15143.3</v>
      </c>
      <c r="O476" s="58">
        <v>14400</v>
      </c>
      <c r="P476" s="58" t="s">
        <v>34</v>
      </c>
      <c r="Q476" s="58">
        <v>49</v>
      </c>
      <c r="R476" s="58">
        <v>40</v>
      </c>
      <c r="S476" s="58">
        <v>444.44444444444446</v>
      </c>
      <c r="T476" s="58">
        <v>48</v>
      </c>
      <c r="U476" s="58">
        <v>0</v>
      </c>
      <c r="V476" s="58">
        <v>770</v>
      </c>
      <c r="W476" s="58">
        <v>23.700000000000045</v>
      </c>
      <c r="X476" s="58">
        <v>3.1756666220018825</v>
      </c>
      <c r="Y476" s="58">
        <v>14775</v>
      </c>
      <c r="Z476" s="58">
        <v>7050</v>
      </c>
      <c r="AA476" s="58">
        <v>15139.55</v>
      </c>
      <c r="AE476" s="57"/>
    </row>
    <row r="477" spans="1:31" x14ac:dyDescent="0.35">
      <c r="A477" s="56" t="s">
        <v>542</v>
      </c>
      <c r="B477" s="58">
        <v>14400</v>
      </c>
      <c r="C477" s="58" t="s">
        <v>33</v>
      </c>
      <c r="D477" s="58">
        <v>12229</v>
      </c>
      <c r="E477" s="58">
        <v>-2734</v>
      </c>
      <c r="F477" s="58">
        <v>-18.27173695114616</v>
      </c>
      <c r="G477" s="58">
        <v>23806</v>
      </c>
      <c r="H477" s="58">
        <v>36.159999999999997</v>
      </c>
      <c r="I477" s="58">
        <v>0.35</v>
      </c>
      <c r="J477" s="58">
        <v>-1.25</v>
      </c>
      <c r="K477" s="58">
        <v>-78.125</v>
      </c>
      <c r="L477" s="58">
        <v>982875</v>
      </c>
      <c r="M477" s="58">
        <v>158550</v>
      </c>
      <c r="N477" s="58">
        <v>15139.55</v>
      </c>
      <c r="O477" s="58">
        <v>14400</v>
      </c>
      <c r="P477" s="58" t="s">
        <v>33</v>
      </c>
      <c r="Q477" s="58">
        <v>109</v>
      </c>
      <c r="R477" s="58">
        <v>-4</v>
      </c>
      <c r="S477" s="58">
        <v>-3.5398230088495577</v>
      </c>
      <c r="T477" s="58">
        <v>24</v>
      </c>
      <c r="U477" s="58">
        <v>0</v>
      </c>
      <c r="V477" s="58">
        <v>745.1</v>
      </c>
      <c r="W477" s="58">
        <v>21.75</v>
      </c>
      <c r="X477" s="58">
        <v>3.0068431602958459</v>
      </c>
      <c r="Y477" s="58">
        <v>24075</v>
      </c>
      <c r="Z477" s="58">
        <v>23550</v>
      </c>
      <c r="AA477" s="58">
        <v>15143.3</v>
      </c>
      <c r="AE477" s="57"/>
    </row>
    <row r="478" spans="1:31" x14ac:dyDescent="0.35">
      <c r="A478" s="56" t="s">
        <v>543</v>
      </c>
      <c r="B478" s="58">
        <v>14400</v>
      </c>
      <c r="C478" s="58" t="s">
        <v>64</v>
      </c>
      <c r="D478" s="58">
        <v>0</v>
      </c>
      <c r="E478" s="58">
        <v>0</v>
      </c>
      <c r="F478" s="58">
        <v>0</v>
      </c>
      <c r="G478" s="58">
        <v>2</v>
      </c>
      <c r="H478" s="58">
        <v>25.26</v>
      </c>
      <c r="I478" s="58">
        <v>91.5</v>
      </c>
      <c r="J478" s="58">
        <v>-491.7000000000001</v>
      </c>
      <c r="K478" s="58">
        <v>-84.310699588477362</v>
      </c>
      <c r="L478" s="58">
        <v>11550</v>
      </c>
      <c r="M478" s="58">
        <v>11250</v>
      </c>
      <c r="N478" s="58">
        <v>15143.3</v>
      </c>
      <c r="O478" s="58">
        <v>14400</v>
      </c>
      <c r="P478" s="58" t="s">
        <v>64</v>
      </c>
      <c r="Q478" s="58">
        <v>0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5700</v>
      </c>
      <c r="Z478" s="58">
        <v>4875</v>
      </c>
      <c r="AA478" s="58">
        <v>15143.3</v>
      </c>
      <c r="AE478" s="57"/>
    </row>
    <row r="479" spans="1:31" x14ac:dyDescent="0.35">
      <c r="A479" s="56" t="s">
        <v>544</v>
      </c>
      <c r="B479" s="58">
        <v>14400</v>
      </c>
      <c r="C479" s="58" t="s">
        <v>2071</v>
      </c>
      <c r="D479" s="58">
        <v>0</v>
      </c>
      <c r="E479" s="58">
        <v>0</v>
      </c>
      <c r="F479" s="58">
        <v>0</v>
      </c>
      <c r="G479" s="58">
        <v>0</v>
      </c>
      <c r="H479" s="58">
        <v>0</v>
      </c>
      <c r="I479" s="58">
        <v>0</v>
      </c>
      <c r="J479" s="58">
        <v>0</v>
      </c>
      <c r="K479" s="58">
        <v>0</v>
      </c>
      <c r="L479" s="58">
        <v>2775</v>
      </c>
      <c r="M479" s="58">
        <v>9750</v>
      </c>
      <c r="N479" s="58">
        <v>15139.55</v>
      </c>
      <c r="O479" s="58">
        <v>14400</v>
      </c>
      <c r="P479" s="58" t="s">
        <v>2071</v>
      </c>
      <c r="Q479" s="58">
        <v>0</v>
      </c>
      <c r="R479" s="58">
        <v>0</v>
      </c>
      <c r="S479" s="58">
        <v>0</v>
      </c>
      <c r="T479" s="58">
        <v>0</v>
      </c>
      <c r="U479" s="58">
        <v>0</v>
      </c>
      <c r="V479" s="58">
        <v>0</v>
      </c>
      <c r="W479" s="58">
        <v>0</v>
      </c>
      <c r="X479" s="58">
        <v>0</v>
      </c>
      <c r="Y479" s="58">
        <v>4875</v>
      </c>
      <c r="Z479" s="58">
        <v>4875</v>
      </c>
      <c r="AA479" s="58">
        <v>15143.3</v>
      </c>
      <c r="AE479" s="57"/>
    </row>
    <row r="480" spans="1:31" x14ac:dyDescent="0.35">
      <c r="A480" s="56" t="s">
        <v>545</v>
      </c>
      <c r="B480" s="58">
        <v>14400</v>
      </c>
      <c r="C480" s="58" t="s">
        <v>2073</v>
      </c>
      <c r="D480" s="58">
        <v>0</v>
      </c>
      <c r="E480" s="58">
        <v>0</v>
      </c>
      <c r="F480" s="58">
        <v>0</v>
      </c>
      <c r="G480" s="58">
        <v>0</v>
      </c>
      <c r="H480" s="58">
        <v>0</v>
      </c>
      <c r="I480" s="58">
        <v>0</v>
      </c>
      <c r="J480" s="58">
        <v>0</v>
      </c>
      <c r="K480" s="58">
        <v>0</v>
      </c>
      <c r="L480" s="58">
        <v>2775</v>
      </c>
      <c r="M480" s="58">
        <v>9750</v>
      </c>
      <c r="N480" s="58">
        <v>15143.3</v>
      </c>
      <c r="O480" s="58">
        <v>14400</v>
      </c>
      <c r="P480" s="58" t="s">
        <v>2073</v>
      </c>
      <c r="Q480" s="58">
        <v>0</v>
      </c>
      <c r="R480" s="58">
        <v>0</v>
      </c>
      <c r="S480" s="58">
        <v>0</v>
      </c>
      <c r="T480" s="58">
        <v>0</v>
      </c>
      <c r="U480" s="58">
        <v>0</v>
      </c>
      <c r="V480" s="58">
        <v>0</v>
      </c>
      <c r="W480" s="58">
        <v>0</v>
      </c>
      <c r="X480" s="58">
        <v>0</v>
      </c>
      <c r="Y480" s="58">
        <v>4875</v>
      </c>
      <c r="Z480" s="58">
        <v>4875</v>
      </c>
      <c r="AA480" s="58">
        <v>15139.55</v>
      </c>
      <c r="AE480" s="57"/>
    </row>
    <row r="481" spans="1:31" x14ac:dyDescent="0.35">
      <c r="A481" s="56" t="s">
        <v>546</v>
      </c>
      <c r="B481" s="58">
        <v>14400</v>
      </c>
      <c r="C481" s="58" t="s">
        <v>2074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0</v>
      </c>
      <c r="M481" s="58">
        <v>4875</v>
      </c>
      <c r="N481" s="58">
        <v>15143.3</v>
      </c>
      <c r="O481" s="58">
        <v>14400</v>
      </c>
      <c r="P481" s="58" t="s">
        <v>2074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15139.55</v>
      </c>
      <c r="AE481" s="57"/>
    </row>
    <row r="482" spans="1:31" x14ac:dyDescent="0.35">
      <c r="A482" s="56" t="s">
        <v>547</v>
      </c>
      <c r="B482" s="58">
        <v>14400</v>
      </c>
      <c r="C482" s="58" t="s">
        <v>2068</v>
      </c>
      <c r="D482" s="58">
        <v>582</v>
      </c>
      <c r="E482" s="58">
        <v>87</v>
      </c>
      <c r="F482" s="58">
        <v>17.575757575757574</v>
      </c>
      <c r="G482" s="58">
        <v>349</v>
      </c>
      <c r="H482" s="58">
        <v>23.41</v>
      </c>
      <c r="I482" s="58">
        <v>170.15</v>
      </c>
      <c r="J482" s="58">
        <v>-25</v>
      </c>
      <c r="K482" s="58">
        <v>-12.810658467845244</v>
      </c>
      <c r="L482" s="58">
        <v>11400</v>
      </c>
      <c r="M482" s="58">
        <v>9825</v>
      </c>
      <c r="N482" s="58">
        <v>15143.3</v>
      </c>
      <c r="O482" s="58">
        <v>14400</v>
      </c>
      <c r="P482" s="58" t="s">
        <v>2068</v>
      </c>
      <c r="Q482" s="58">
        <v>25</v>
      </c>
      <c r="R482" s="58">
        <v>0</v>
      </c>
      <c r="S482" s="58">
        <v>0</v>
      </c>
      <c r="T482" s="58">
        <v>1</v>
      </c>
      <c r="U482" s="58">
        <v>17.579999999999998</v>
      </c>
      <c r="V482" s="58">
        <v>1015</v>
      </c>
      <c r="W482" s="58">
        <v>0.95000000000004559</v>
      </c>
      <c r="X482" s="58">
        <v>9.3683743405162001E-2</v>
      </c>
      <c r="Y482" s="58">
        <v>8625</v>
      </c>
      <c r="Z482" s="58">
        <v>5250</v>
      </c>
      <c r="AA482" s="58">
        <v>15143.3</v>
      </c>
      <c r="AE482" s="57"/>
    </row>
    <row r="483" spans="1:31" x14ac:dyDescent="0.35">
      <c r="A483" s="56" t="s">
        <v>548</v>
      </c>
      <c r="B483" s="58">
        <v>14400</v>
      </c>
      <c r="C483" s="58" t="s">
        <v>2076</v>
      </c>
      <c r="D483" s="58">
        <v>0</v>
      </c>
      <c r="E483" s="58">
        <v>0</v>
      </c>
      <c r="F483" s="58">
        <v>0</v>
      </c>
      <c r="G483" s="58">
        <v>0</v>
      </c>
      <c r="H483" s="58">
        <v>0</v>
      </c>
      <c r="I483" s="58">
        <v>0</v>
      </c>
      <c r="J483" s="58">
        <v>0</v>
      </c>
      <c r="K483" s="58">
        <v>0</v>
      </c>
      <c r="L483" s="58">
        <v>0</v>
      </c>
      <c r="M483" s="58">
        <v>4875</v>
      </c>
      <c r="N483" s="58">
        <v>15139.55</v>
      </c>
      <c r="O483" s="58">
        <v>14400</v>
      </c>
      <c r="P483" s="58" t="s">
        <v>2076</v>
      </c>
      <c r="Q483" s="58">
        <v>0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0</v>
      </c>
      <c r="Z483" s="58">
        <v>4875</v>
      </c>
      <c r="AA483" s="58">
        <v>15139.55</v>
      </c>
      <c r="AE483" s="57"/>
    </row>
    <row r="484" spans="1:31" x14ac:dyDescent="0.35">
      <c r="A484" s="56" t="s">
        <v>549</v>
      </c>
      <c r="B484" s="58">
        <v>14400</v>
      </c>
      <c r="C484" s="58" t="s">
        <v>2075</v>
      </c>
      <c r="D484" s="58">
        <v>0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0</v>
      </c>
      <c r="M484" s="58">
        <v>9825</v>
      </c>
      <c r="N484" s="58">
        <v>15143.3</v>
      </c>
      <c r="O484" s="58">
        <v>14400</v>
      </c>
      <c r="P484" s="58" t="s">
        <v>2075</v>
      </c>
      <c r="Q484" s="58">
        <v>0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150</v>
      </c>
      <c r="Z484" s="58">
        <v>4875</v>
      </c>
      <c r="AA484" s="58">
        <v>15143.3</v>
      </c>
      <c r="AE484" s="57"/>
    </row>
    <row r="485" spans="1:31" x14ac:dyDescent="0.35">
      <c r="A485" s="56" t="s">
        <v>550</v>
      </c>
      <c r="B485" s="58">
        <v>14400</v>
      </c>
      <c r="C485" s="58" t="s">
        <v>26</v>
      </c>
      <c r="D485" s="58">
        <v>8422</v>
      </c>
      <c r="E485" s="58">
        <v>-35</v>
      </c>
      <c r="F485" s="58">
        <v>-0.4138583422017264</v>
      </c>
      <c r="G485" s="58">
        <v>6636</v>
      </c>
      <c r="H485" s="58">
        <v>26.24</v>
      </c>
      <c r="I485" s="58">
        <v>63.4</v>
      </c>
      <c r="J485" s="58">
        <v>-16.199999999999996</v>
      </c>
      <c r="K485" s="58">
        <v>-20.351758793969847</v>
      </c>
      <c r="L485" s="58">
        <v>26550</v>
      </c>
      <c r="M485" s="58">
        <v>29925</v>
      </c>
      <c r="N485" s="58">
        <v>15139.55</v>
      </c>
      <c r="O485" s="58">
        <v>14400</v>
      </c>
      <c r="P485" s="58" t="s">
        <v>26</v>
      </c>
      <c r="Q485" s="58">
        <v>556</v>
      </c>
      <c r="R485" s="58">
        <v>-26</v>
      </c>
      <c r="S485" s="58">
        <v>-4.4673539518900345</v>
      </c>
      <c r="T485" s="58">
        <v>97</v>
      </c>
      <c r="U485" s="58">
        <v>23.24</v>
      </c>
      <c r="V485" s="58">
        <v>824.45</v>
      </c>
      <c r="W485" s="58">
        <v>19.25</v>
      </c>
      <c r="X485" s="58">
        <v>2.3907103825136611</v>
      </c>
      <c r="Y485" s="58">
        <v>30000</v>
      </c>
      <c r="Z485" s="58">
        <v>22800</v>
      </c>
      <c r="AA485" s="58">
        <v>15139.55</v>
      </c>
      <c r="AE485" s="57"/>
    </row>
    <row r="486" spans="1:31" x14ac:dyDescent="0.35">
      <c r="A486" s="56" t="s">
        <v>551</v>
      </c>
      <c r="B486" s="58">
        <v>14450</v>
      </c>
      <c r="C486" s="58" t="s">
        <v>33</v>
      </c>
      <c r="D486" s="58">
        <v>3123</v>
      </c>
      <c r="E486" s="58">
        <v>-582</v>
      </c>
      <c r="F486" s="58">
        <v>-15.708502024291498</v>
      </c>
      <c r="G486" s="58">
        <v>6042</v>
      </c>
      <c r="H486" s="58">
        <v>34.39</v>
      </c>
      <c r="I486" s="58">
        <v>0.45</v>
      </c>
      <c r="J486" s="58">
        <v>-1.5</v>
      </c>
      <c r="K486" s="58">
        <v>-76.923076923076934</v>
      </c>
      <c r="L486" s="58">
        <v>226425</v>
      </c>
      <c r="M486" s="58">
        <v>58575</v>
      </c>
      <c r="N486" s="58">
        <v>15143.3</v>
      </c>
      <c r="O486" s="58">
        <v>14450</v>
      </c>
      <c r="P486" s="58" t="s">
        <v>33</v>
      </c>
      <c r="Q486" s="58">
        <v>77</v>
      </c>
      <c r="R486" s="58">
        <v>-1</v>
      </c>
      <c r="S486" s="58">
        <v>-1.2820512820512822</v>
      </c>
      <c r="T486" s="58">
        <v>31</v>
      </c>
      <c r="U486" s="58">
        <v>82.13</v>
      </c>
      <c r="V486" s="58">
        <v>734.85</v>
      </c>
      <c r="W486" s="58">
        <v>69.950000000000045</v>
      </c>
      <c r="X486" s="58">
        <v>10.520379004361564</v>
      </c>
      <c r="Y486" s="58">
        <v>27225</v>
      </c>
      <c r="Z486" s="58">
        <v>21075</v>
      </c>
      <c r="AA486" s="58">
        <v>15143.3</v>
      </c>
      <c r="AE486" s="57"/>
    </row>
    <row r="487" spans="1:31" x14ac:dyDescent="0.35">
      <c r="A487" s="56" t="s">
        <v>552</v>
      </c>
      <c r="B487" s="58">
        <v>14450</v>
      </c>
      <c r="C487" s="58" t="s">
        <v>26</v>
      </c>
      <c r="D487" s="58">
        <v>318</v>
      </c>
      <c r="E487" s="58">
        <v>-49</v>
      </c>
      <c r="F487" s="58">
        <v>-13.35149863760218</v>
      </c>
      <c r="G487" s="58">
        <v>465</v>
      </c>
      <c r="H487" s="58">
        <v>26.11</v>
      </c>
      <c r="I487" s="58">
        <v>70.75</v>
      </c>
      <c r="J487" s="58">
        <v>-17.25</v>
      </c>
      <c r="K487" s="58">
        <v>-19.602272727272727</v>
      </c>
      <c r="L487" s="58">
        <v>18750</v>
      </c>
      <c r="M487" s="58">
        <v>19650</v>
      </c>
      <c r="N487" s="58">
        <v>15139.55</v>
      </c>
      <c r="O487" s="58">
        <v>14450</v>
      </c>
      <c r="P487" s="58" t="s">
        <v>26</v>
      </c>
      <c r="Q487" s="58">
        <v>116</v>
      </c>
      <c r="R487" s="58">
        <v>0</v>
      </c>
      <c r="S487" s="58">
        <v>0</v>
      </c>
      <c r="T487" s="58">
        <v>1</v>
      </c>
      <c r="U487" s="58">
        <v>29.47</v>
      </c>
      <c r="V487" s="58">
        <v>843.05</v>
      </c>
      <c r="W487" s="58">
        <v>125.25</v>
      </c>
      <c r="X487" s="58">
        <v>17.449150181108944</v>
      </c>
      <c r="Y487" s="58">
        <v>24675</v>
      </c>
      <c r="Z487" s="58">
        <v>20250</v>
      </c>
      <c r="AA487" s="58">
        <v>15139.55</v>
      </c>
      <c r="AE487" s="57"/>
    </row>
    <row r="488" spans="1:31" x14ac:dyDescent="0.35">
      <c r="A488" s="56" t="s">
        <v>553</v>
      </c>
      <c r="B488" s="58">
        <v>14450</v>
      </c>
      <c r="C488" s="58" t="s">
        <v>64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5775</v>
      </c>
      <c r="M488" s="58">
        <v>9825</v>
      </c>
      <c r="N488" s="58">
        <v>15143.3</v>
      </c>
      <c r="O488" s="58">
        <v>14450</v>
      </c>
      <c r="P488" s="58" t="s">
        <v>64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8925</v>
      </c>
      <c r="Z488" s="58">
        <v>4875</v>
      </c>
      <c r="AA488" s="58">
        <v>15139.55</v>
      </c>
      <c r="AE488" s="57"/>
    </row>
    <row r="489" spans="1:31" x14ac:dyDescent="0.35">
      <c r="A489" s="56" t="s">
        <v>554</v>
      </c>
      <c r="B489" s="58">
        <v>14450</v>
      </c>
      <c r="C489" s="58" t="s">
        <v>2071</v>
      </c>
      <c r="D489" s="58">
        <v>0</v>
      </c>
      <c r="E489" s="58">
        <v>0</v>
      </c>
      <c r="F489" s="58">
        <v>0</v>
      </c>
      <c r="G489" s="58">
        <v>0</v>
      </c>
      <c r="H489" s="58">
        <v>0</v>
      </c>
      <c r="I489" s="58">
        <v>0</v>
      </c>
      <c r="J489" s="58">
        <v>0</v>
      </c>
      <c r="K489" s="58">
        <v>0</v>
      </c>
      <c r="L489" s="58">
        <v>2775</v>
      </c>
      <c r="M489" s="58">
        <v>9750</v>
      </c>
      <c r="N489" s="58">
        <v>15139.55</v>
      </c>
      <c r="O489" s="58">
        <v>14450</v>
      </c>
      <c r="P489" s="58" t="s">
        <v>2071</v>
      </c>
      <c r="Q489" s="58">
        <v>0</v>
      </c>
      <c r="R489" s="58">
        <v>0</v>
      </c>
      <c r="S489" s="58">
        <v>0</v>
      </c>
      <c r="T489" s="58">
        <v>0</v>
      </c>
      <c r="U489" s="58">
        <v>0</v>
      </c>
      <c r="V489" s="58">
        <v>0</v>
      </c>
      <c r="W489" s="58">
        <v>0</v>
      </c>
      <c r="X489" s="58">
        <v>0</v>
      </c>
      <c r="Y489" s="58">
        <v>4875</v>
      </c>
      <c r="Z489" s="58">
        <v>4875</v>
      </c>
      <c r="AA489" s="58">
        <v>15139.55</v>
      </c>
      <c r="AE489" s="57"/>
    </row>
    <row r="490" spans="1:31" x14ac:dyDescent="0.35">
      <c r="A490" s="56" t="s">
        <v>555</v>
      </c>
      <c r="B490" s="58">
        <v>14450</v>
      </c>
      <c r="C490" s="58" t="s">
        <v>2073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2775</v>
      </c>
      <c r="M490" s="58">
        <v>9750</v>
      </c>
      <c r="N490" s="58">
        <v>15143.3</v>
      </c>
      <c r="O490" s="58">
        <v>14450</v>
      </c>
      <c r="P490" s="58" t="s">
        <v>2073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15143.3</v>
      </c>
      <c r="AE490" s="57"/>
    </row>
    <row r="491" spans="1:31" x14ac:dyDescent="0.35">
      <c r="A491" s="56" t="s">
        <v>556</v>
      </c>
      <c r="B491" s="58">
        <v>14450</v>
      </c>
      <c r="C491" s="58" t="s">
        <v>2074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0</v>
      </c>
      <c r="M491" s="58">
        <v>4875</v>
      </c>
      <c r="N491" s="58">
        <v>15139.55</v>
      </c>
      <c r="O491" s="58">
        <v>14450</v>
      </c>
      <c r="P491" s="58" t="s">
        <v>2074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15143.3</v>
      </c>
      <c r="AE491" s="57"/>
    </row>
    <row r="492" spans="1:31" x14ac:dyDescent="0.35">
      <c r="A492" s="56" t="s">
        <v>557</v>
      </c>
      <c r="B492" s="58">
        <v>14450</v>
      </c>
      <c r="C492" s="58" t="s">
        <v>2068</v>
      </c>
      <c r="D492" s="58">
        <v>19</v>
      </c>
      <c r="E492" s="58">
        <v>0</v>
      </c>
      <c r="F492" s="58">
        <v>0</v>
      </c>
      <c r="G492" s="58">
        <v>1</v>
      </c>
      <c r="H492" s="58">
        <v>23.16</v>
      </c>
      <c r="I492" s="58">
        <v>179.6</v>
      </c>
      <c r="J492" s="58">
        <v>-28.450000000000017</v>
      </c>
      <c r="K492" s="58">
        <v>-13.674597452535457</v>
      </c>
      <c r="L492" s="58">
        <v>5700</v>
      </c>
      <c r="M492" s="58">
        <v>4950</v>
      </c>
      <c r="N492" s="58">
        <v>15143.3</v>
      </c>
      <c r="O492" s="58">
        <v>14450</v>
      </c>
      <c r="P492" s="58" t="s">
        <v>2068</v>
      </c>
      <c r="Q492" s="58">
        <v>0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9900</v>
      </c>
      <c r="Z492" s="58">
        <v>13500</v>
      </c>
      <c r="AA492" s="58">
        <v>15143.3</v>
      </c>
      <c r="AE492" s="57"/>
    </row>
    <row r="493" spans="1:31" x14ac:dyDescent="0.35">
      <c r="A493" s="56" t="s">
        <v>558</v>
      </c>
      <c r="B493" s="58">
        <v>14450</v>
      </c>
      <c r="C493" s="58" t="s">
        <v>2076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15139.55</v>
      </c>
      <c r="O493" s="58">
        <v>14450</v>
      </c>
      <c r="P493" s="58" t="s">
        <v>2076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0</v>
      </c>
      <c r="Z493" s="58">
        <v>4875</v>
      </c>
      <c r="AA493" s="58">
        <v>15143.3</v>
      </c>
      <c r="AE493" s="57"/>
    </row>
    <row r="494" spans="1:31" x14ac:dyDescent="0.35">
      <c r="A494" s="56" t="s">
        <v>559</v>
      </c>
      <c r="B494" s="58">
        <v>14450</v>
      </c>
      <c r="C494" s="58" t="s">
        <v>2075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4875</v>
      </c>
      <c r="N494" s="58">
        <v>15139.55</v>
      </c>
      <c r="O494" s="58">
        <v>14450</v>
      </c>
      <c r="P494" s="58" t="s">
        <v>2075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0</v>
      </c>
      <c r="Z494" s="58">
        <v>4875</v>
      </c>
      <c r="AA494" s="58">
        <v>15143.3</v>
      </c>
      <c r="AE494" s="57"/>
    </row>
    <row r="495" spans="1:31" x14ac:dyDescent="0.35">
      <c r="A495" s="56" t="s">
        <v>560</v>
      </c>
      <c r="B495" s="58">
        <v>14450</v>
      </c>
      <c r="C495" s="58" t="s">
        <v>34</v>
      </c>
      <c r="D495" s="58">
        <v>237</v>
      </c>
      <c r="E495" s="58">
        <v>-35</v>
      </c>
      <c r="F495" s="58">
        <v>-12.867647058823527</v>
      </c>
      <c r="G495" s="58">
        <v>797</v>
      </c>
      <c r="H495" s="58">
        <v>24.45</v>
      </c>
      <c r="I495" s="58">
        <v>21.35</v>
      </c>
      <c r="J495" s="58">
        <v>-10.75</v>
      </c>
      <c r="K495" s="58">
        <v>-33.48909657320872</v>
      </c>
      <c r="L495" s="58">
        <v>30000</v>
      </c>
      <c r="M495" s="58">
        <v>40950</v>
      </c>
      <c r="N495" s="58">
        <v>15143.3</v>
      </c>
      <c r="O495" s="58">
        <v>14450</v>
      </c>
      <c r="P495" s="58" t="s">
        <v>34</v>
      </c>
      <c r="Q495" s="58">
        <v>6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18750</v>
      </c>
      <c r="Z495" s="58">
        <v>12225</v>
      </c>
      <c r="AA495" s="58">
        <v>15143.3</v>
      </c>
      <c r="AE495" s="57"/>
    </row>
    <row r="496" spans="1:31" x14ac:dyDescent="0.35">
      <c r="A496" s="56" t="s">
        <v>561</v>
      </c>
      <c r="B496" s="58">
        <v>14500</v>
      </c>
      <c r="C496" s="58" t="s">
        <v>33</v>
      </c>
      <c r="D496" s="58">
        <v>41059</v>
      </c>
      <c r="E496" s="58">
        <v>121</v>
      </c>
      <c r="F496" s="58">
        <v>0.29556890908202649</v>
      </c>
      <c r="G496" s="58">
        <v>77911</v>
      </c>
      <c r="H496" s="58">
        <v>32.53</v>
      </c>
      <c r="I496" s="58">
        <v>0.45</v>
      </c>
      <c r="J496" s="58">
        <v>-1.7500000000000002</v>
      </c>
      <c r="K496" s="58">
        <v>-79.545454545454547</v>
      </c>
      <c r="L496" s="58">
        <v>3684225</v>
      </c>
      <c r="M496" s="58">
        <v>343800</v>
      </c>
      <c r="N496" s="58">
        <v>15143.3</v>
      </c>
      <c r="O496" s="58">
        <v>14500</v>
      </c>
      <c r="P496" s="58" t="s">
        <v>33</v>
      </c>
      <c r="Q496" s="58">
        <v>409</v>
      </c>
      <c r="R496" s="58">
        <v>-154</v>
      </c>
      <c r="S496" s="58">
        <v>-27.353463587921848</v>
      </c>
      <c r="T496" s="58">
        <v>437</v>
      </c>
      <c r="U496" s="58">
        <v>46.26</v>
      </c>
      <c r="V496" s="58">
        <v>644.79999999999995</v>
      </c>
      <c r="W496" s="58">
        <v>38.549999999999955</v>
      </c>
      <c r="X496" s="58">
        <v>6.3587628865979307</v>
      </c>
      <c r="Y496" s="58">
        <v>107775</v>
      </c>
      <c r="Z496" s="58">
        <v>22500</v>
      </c>
      <c r="AA496" s="58">
        <v>15139.55</v>
      </c>
      <c r="AE496" s="57"/>
    </row>
    <row r="497" spans="1:31" x14ac:dyDescent="0.35">
      <c r="A497" s="56" t="s">
        <v>562</v>
      </c>
      <c r="B497" s="58">
        <v>14500</v>
      </c>
      <c r="C497" s="58" t="s">
        <v>34</v>
      </c>
      <c r="D497" s="58">
        <v>12664</v>
      </c>
      <c r="E497" s="58">
        <v>3471</v>
      </c>
      <c r="F497" s="58">
        <v>37.756989013379744</v>
      </c>
      <c r="G497" s="58">
        <v>16241</v>
      </c>
      <c r="H497" s="58">
        <v>23.88</v>
      </c>
      <c r="I497" s="58">
        <v>25.1</v>
      </c>
      <c r="J497" s="58">
        <v>-11.65</v>
      </c>
      <c r="K497" s="58">
        <v>-31.700680272108841</v>
      </c>
      <c r="L497" s="58">
        <v>98775</v>
      </c>
      <c r="M497" s="58">
        <v>91875</v>
      </c>
      <c r="N497" s="58">
        <v>15143.3</v>
      </c>
      <c r="O497" s="58">
        <v>14500</v>
      </c>
      <c r="P497" s="58" t="s">
        <v>34</v>
      </c>
      <c r="Q497" s="58">
        <v>376</v>
      </c>
      <c r="R497" s="58">
        <v>42</v>
      </c>
      <c r="S497" s="58">
        <v>12.574850299401197</v>
      </c>
      <c r="T497" s="58">
        <v>124</v>
      </c>
      <c r="U497" s="58">
        <v>14.71</v>
      </c>
      <c r="V497" s="58">
        <v>673.95</v>
      </c>
      <c r="W497" s="58">
        <v>21.600000000000023</v>
      </c>
      <c r="X497" s="58">
        <v>3.3111060013796307</v>
      </c>
      <c r="Y497" s="58">
        <v>18975</v>
      </c>
      <c r="Z497" s="58">
        <v>11700</v>
      </c>
      <c r="AA497" s="58">
        <v>15139.55</v>
      </c>
      <c r="AE497" s="57"/>
    </row>
    <row r="498" spans="1:31" x14ac:dyDescent="0.35">
      <c r="A498" s="56" t="s">
        <v>563</v>
      </c>
      <c r="B498" s="58">
        <v>14500</v>
      </c>
      <c r="C498" s="58" t="s">
        <v>26</v>
      </c>
      <c r="D498" s="58">
        <v>34232</v>
      </c>
      <c r="E498" s="58">
        <v>-619</v>
      </c>
      <c r="F498" s="58">
        <v>-1.776132679119681</v>
      </c>
      <c r="G498" s="58">
        <v>13836</v>
      </c>
      <c r="H498" s="58">
        <v>25.81</v>
      </c>
      <c r="I498" s="58">
        <v>77.150000000000006</v>
      </c>
      <c r="J498" s="58">
        <v>-18.949999999999989</v>
      </c>
      <c r="K498" s="58">
        <v>-19.71904266389177</v>
      </c>
      <c r="L498" s="58">
        <v>96075</v>
      </c>
      <c r="M498" s="58">
        <v>110100</v>
      </c>
      <c r="N498" s="58">
        <v>15139.55</v>
      </c>
      <c r="O498" s="58">
        <v>14500</v>
      </c>
      <c r="P498" s="58" t="s">
        <v>26</v>
      </c>
      <c r="Q498" s="58">
        <v>6838</v>
      </c>
      <c r="R498" s="58">
        <v>-52</v>
      </c>
      <c r="S498" s="58">
        <v>-0.75471698113207553</v>
      </c>
      <c r="T498" s="58">
        <v>219</v>
      </c>
      <c r="U498" s="58">
        <v>21.28</v>
      </c>
      <c r="V498" s="58">
        <v>739.95</v>
      </c>
      <c r="W498" s="58">
        <v>14.400000000000093</v>
      </c>
      <c r="X498" s="58">
        <v>1.9847012611122723</v>
      </c>
      <c r="Y498" s="58">
        <v>42450</v>
      </c>
      <c r="Z498" s="58">
        <v>30000</v>
      </c>
      <c r="AA498" s="58">
        <v>15139.55</v>
      </c>
      <c r="AE498" s="57"/>
    </row>
    <row r="499" spans="1:31" x14ac:dyDescent="0.35">
      <c r="A499" s="56" t="s">
        <v>564</v>
      </c>
      <c r="B499" s="58">
        <v>14500</v>
      </c>
      <c r="C499" s="58" t="s">
        <v>64</v>
      </c>
      <c r="D499" s="58">
        <v>795</v>
      </c>
      <c r="E499" s="58">
        <v>54</v>
      </c>
      <c r="F499" s="58">
        <v>7.287449392712551</v>
      </c>
      <c r="G499" s="58">
        <v>160</v>
      </c>
      <c r="H499" s="58">
        <v>25.14</v>
      </c>
      <c r="I499" s="58">
        <v>113</v>
      </c>
      <c r="J499" s="58">
        <v>-25.150000000000009</v>
      </c>
      <c r="K499" s="58">
        <v>-18.204849800941009</v>
      </c>
      <c r="L499" s="58">
        <v>14625</v>
      </c>
      <c r="M499" s="58">
        <v>9825</v>
      </c>
      <c r="N499" s="58">
        <v>15143.3</v>
      </c>
      <c r="O499" s="58">
        <v>14500</v>
      </c>
      <c r="P499" s="58" t="s">
        <v>64</v>
      </c>
      <c r="Q499" s="58">
        <v>663</v>
      </c>
      <c r="R499" s="58">
        <v>0</v>
      </c>
      <c r="S499" s="58">
        <v>0</v>
      </c>
      <c r="T499" s="58">
        <v>0</v>
      </c>
      <c r="U499" s="58">
        <v>0</v>
      </c>
      <c r="V499" s="58">
        <v>0</v>
      </c>
      <c r="W499" s="58">
        <v>0</v>
      </c>
      <c r="X499" s="58">
        <v>0</v>
      </c>
      <c r="Y499" s="58">
        <v>9750</v>
      </c>
      <c r="Z499" s="58">
        <v>6600</v>
      </c>
      <c r="AA499" s="58">
        <v>15139.55</v>
      </c>
      <c r="AE499" s="57"/>
    </row>
    <row r="500" spans="1:31" x14ac:dyDescent="0.35">
      <c r="A500" s="56" t="s">
        <v>565</v>
      </c>
      <c r="B500" s="58">
        <v>14500</v>
      </c>
      <c r="C500" s="58" t="s">
        <v>2071</v>
      </c>
      <c r="D500" s="58">
        <v>0</v>
      </c>
      <c r="E500" s="58">
        <v>0</v>
      </c>
      <c r="F500" s="58">
        <v>0</v>
      </c>
      <c r="G500" s="58">
        <v>0</v>
      </c>
      <c r="H500" s="58">
        <v>0</v>
      </c>
      <c r="I500" s="58">
        <v>0</v>
      </c>
      <c r="J500" s="58">
        <v>0</v>
      </c>
      <c r="K500" s="58">
        <v>0</v>
      </c>
      <c r="L500" s="58">
        <v>7275</v>
      </c>
      <c r="M500" s="58">
        <v>10800</v>
      </c>
      <c r="N500" s="58">
        <v>15143.3</v>
      </c>
      <c r="O500" s="58">
        <v>14500</v>
      </c>
      <c r="P500" s="58" t="s">
        <v>2071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15139.55</v>
      </c>
      <c r="AE500" s="57"/>
    </row>
    <row r="501" spans="1:31" x14ac:dyDescent="0.35">
      <c r="A501" s="56" t="s">
        <v>566</v>
      </c>
      <c r="B501" s="58">
        <v>14500</v>
      </c>
      <c r="C501" s="58" t="s">
        <v>2073</v>
      </c>
      <c r="D501" s="58">
        <v>0</v>
      </c>
      <c r="E501" s="58">
        <v>0</v>
      </c>
      <c r="F501" s="58">
        <v>0</v>
      </c>
      <c r="G501" s="58">
        <v>0</v>
      </c>
      <c r="H501" s="58">
        <v>0</v>
      </c>
      <c r="I501" s="58">
        <v>0</v>
      </c>
      <c r="J501" s="58">
        <v>0</v>
      </c>
      <c r="K501" s="58">
        <v>0</v>
      </c>
      <c r="L501" s="58">
        <v>5850</v>
      </c>
      <c r="M501" s="58">
        <v>9750</v>
      </c>
      <c r="N501" s="58">
        <v>15143.3</v>
      </c>
      <c r="O501" s="58">
        <v>14500</v>
      </c>
      <c r="P501" s="58" t="s">
        <v>2073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15139.55</v>
      </c>
      <c r="AE501" s="57"/>
    </row>
    <row r="502" spans="1:31" x14ac:dyDescent="0.35">
      <c r="A502" s="56" t="s">
        <v>567</v>
      </c>
      <c r="B502" s="58">
        <v>14500</v>
      </c>
      <c r="C502" s="58" t="s">
        <v>2074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0</v>
      </c>
      <c r="M502" s="58">
        <v>4875</v>
      </c>
      <c r="N502" s="58">
        <v>15139.55</v>
      </c>
      <c r="O502" s="58">
        <v>14500</v>
      </c>
      <c r="P502" s="58" t="s">
        <v>2074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15139.55</v>
      </c>
      <c r="AE502" s="57"/>
    </row>
    <row r="503" spans="1:31" x14ac:dyDescent="0.35">
      <c r="A503" s="56" t="s">
        <v>568</v>
      </c>
      <c r="B503" s="58">
        <v>14500</v>
      </c>
      <c r="C503" s="58" t="s">
        <v>2068</v>
      </c>
      <c r="D503" s="58">
        <v>11284</v>
      </c>
      <c r="E503" s="58">
        <v>650</v>
      </c>
      <c r="F503" s="58">
        <v>6.1124694376528117</v>
      </c>
      <c r="G503" s="58">
        <v>2083</v>
      </c>
      <c r="H503" s="58">
        <v>23.3</v>
      </c>
      <c r="I503" s="58">
        <v>192.4</v>
      </c>
      <c r="J503" s="58">
        <v>-26.049999999999983</v>
      </c>
      <c r="K503" s="58">
        <v>-11.924925612268249</v>
      </c>
      <c r="L503" s="58">
        <v>29550</v>
      </c>
      <c r="M503" s="58">
        <v>22575</v>
      </c>
      <c r="N503" s="58">
        <v>15143.3</v>
      </c>
      <c r="O503" s="58">
        <v>14500</v>
      </c>
      <c r="P503" s="58" t="s">
        <v>2068</v>
      </c>
      <c r="Q503" s="58">
        <v>869</v>
      </c>
      <c r="R503" s="58">
        <v>8</v>
      </c>
      <c r="S503" s="58">
        <v>0.92915214866434381</v>
      </c>
      <c r="T503" s="58">
        <v>65</v>
      </c>
      <c r="U503" s="58">
        <v>17.010000000000002</v>
      </c>
      <c r="V503" s="58">
        <v>918.15</v>
      </c>
      <c r="W503" s="58">
        <v>-1.2000000000000457</v>
      </c>
      <c r="X503" s="58">
        <v>-0.13052700277370377</v>
      </c>
      <c r="Y503" s="58">
        <v>12000</v>
      </c>
      <c r="Z503" s="58">
        <v>13500</v>
      </c>
      <c r="AA503" s="58">
        <v>15139.55</v>
      </c>
      <c r="AE503" s="57"/>
    </row>
    <row r="504" spans="1:31" x14ac:dyDescent="0.35">
      <c r="A504" s="56" t="s">
        <v>569</v>
      </c>
      <c r="B504" s="58">
        <v>14500</v>
      </c>
      <c r="C504" s="58" t="s">
        <v>2076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0</v>
      </c>
      <c r="M504" s="58">
        <v>4875</v>
      </c>
      <c r="N504" s="58">
        <v>15139.55</v>
      </c>
      <c r="O504" s="58">
        <v>14500</v>
      </c>
      <c r="P504" s="58" t="s">
        <v>2076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0</v>
      </c>
      <c r="Z504" s="58">
        <v>4875</v>
      </c>
      <c r="AA504" s="58">
        <v>15139.55</v>
      </c>
      <c r="AE504" s="57"/>
    </row>
    <row r="505" spans="1:31" x14ac:dyDescent="0.35">
      <c r="A505" s="56" t="s">
        <v>570</v>
      </c>
      <c r="B505" s="58">
        <v>14500</v>
      </c>
      <c r="C505" s="58" t="s">
        <v>2075</v>
      </c>
      <c r="D505" s="58">
        <v>679</v>
      </c>
      <c r="E505" s="58">
        <v>1</v>
      </c>
      <c r="F505" s="58">
        <v>0.14749262536873156</v>
      </c>
      <c r="G505" s="58">
        <v>87</v>
      </c>
      <c r="H505" s="58">
        <v>24.21</v>
      </c>
      <c r="I505" s="58">
        <v>291</v>
      </c>
      <c r="J505" s="58">
        <v>-29.449999999999989</v>
      </c>
      <c r="K505" s="58">
        <v>-9.1902012794507684</v>
      </c>
      <c r="L505" s="58">
        <v>11850</v>
      </c>
      <c r="M505" s="58">
        <v>12750</v>
      </c>
      <c r="N505" s="58">
        <v>15139.55</v>
      </c>
      <c r="O505" s="58">
        <v>14500</v>
      </c>
      <c r="P505" s="58" t="s">
        <v>2075</v>
      </c>
      <c r="Q505" s="58">
        <v>47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5850</v>
      </c>
      <c r="Z505" s="58">
        <v>11475</v>
      </c>
      <c r="AA505" s="58">
        <v>15143.3</v>
      </c>
      <c r="AE505" s="57"/>
    </row>
    <row r="506" spans="1:31" x14ac:dyDescent="0.35">
      <c r="A506" s="56" t="s">
        <v>571</v>
      </c>
      <c r="B506" s="58">
        <v>14500</v>
      </c>
      <c r="C506" s="58" t="s">
        <v>27</v>
      </c>
      <c r="D506" s="58">
        <v>581</v>
      </c>
      <c r="E506" s="58">
        <v>0</v>
      </c>
      <c r="F506" s="58">
        <v>0</v>
      </c>
      <c r="G506" s="58">
        <v>0</v>
      </c>
      <c r="H506" s="58">
        <v>0</v>
      </c>
      <c r="I506" s="58">
        <v>0</v>
      </c>
      <c r="J506" s="58">
        <v>0</v>
      </c>
      <c r="K506" s="58">
        <v>0</v>
      </c>
      <c r="L506" s="58">
        <v>7650</v>
      </c>
      <c r="M506" s="58">
        <v>14400</v>
      </c>
      <c r="N506" s="58">
        <v>15139.55</v>
      </c>
      <c r="O506" s="58">
        <v>14500</v>
      </c>
      <c r="P506" s="58" t="s">
        <v>27</v>
      </c>
      <c r="Q506" s="58">
        <v>0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3150</v>
      </c>
      <c r="Z506" s="58">
        <v>0</v>
      </c>
      <c r="AA506" s="58">
        <v>15143.3</v>
      </c>
      <c r="AE506" s="57"/>
    </row>
    <row r="507" spans="1:31" x14ac:dyDescent="0.35">
      <c r="A507" s="56" t="s">
        <v>572</v>
      </c>
      <c r="B507" s="58">
        <v>14500</v>
      </c>
      <c r="C507" s="58" t="s">
        <v>31</v>
      </c>
      <c r="D507" s="58">
        <v>0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0</v>
      </c>
      <c r="M507" s="58">
        <v>750</v>
      </c>
      <c r="N507" s="58">
        <v>15139.55</v>
      </c>
      <c r="O507" s="58">
        <v>14500</v>
      </c>
      <c r="P507" s="58" t="s">
        <v>31</v>
      </c>
      <c r="Q507" s="58">
        <v>1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1200</v>
      </c>
      <c r="Z507" s="58">
        <v>75</v>
      </c>
      <c r="AA507" s="58">
        <v>15143.3</v>
      </c>
      <c r="AE507" s="57"/>
    </row>
    <row r="508" spans="1:31" x14ac:dyDescent="0.35">
      <c r="A508" s="56" t="s">
        <v>573</v>
      </c>
      <c r="B508" s="58">
        <v>14500</v>
      </c>
      <c r="C508" s="58" t="s">
        <v>29</v>
      </c>
      <c r="D508" s="58">
        <v>781</v>
      </c>
      <c r="E508" s="58">
        <v>-1</v>
      </c>
      <c r="F508" s="58">
        <v>-0.12787723785166241</v>
      </c>
      <c r="G508" s="58">
        <v>4</v>
      </c>
      <c r="H508" s="58">
        <v>27.45</v>
      </c>
      <c r="I508" s="58">
        <v>695</v>
      </c>
      <c r="J508" s="58">
        <v>-26.5</v>
      </c>
      <c r="K508" s="58">
        <v>-3.6729036729036726</v>
      </c>
      <c r="L508" s="58">
        <v>4800</v>
      </c>
      <c r="M508" s="58">
        <v>300</v>
      </c>
      <c r="N508" s="58">
        <v>15143.3</v>
      </c>
      <c r="O508" s="58">
        <v>14500</v>
      </c>
      <c r="P508" s="58" t="s">
        <v>29</v>
      </c>
      <c r="Q508" s="58">
        <v>84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1875</v>
      </c>
      <c r="Z508" s="58">
        <v>300</v>
      </c>
      <c r="AA508" s="58">
        <v>15139.55</v>
      </c>
      <c r="AE508" s="57"/>
    </row>
    <row r="509" spans="1:31" x14ac:dyDescent="0.35">
      <c r="A509" s="56" t="s">
        <v>574</v>
      </c>
      <c r="B509" s="58">
        <v>14550</v>
      </c>
      <c r="C509" s="58" t="s">
        <v>33</v>
      </c>
      <c r="D509" s="58">
        <v>3210</v>
      </c>
      <c r="E509" s="58">
        <v>-596</v>
      </c>
      <c r="F509" s="58">
        <v>-15.659485023646871</v>
      </c>
      <c r="G509" s="58">
        <v>6617</v>
      </c>
      <c r="H509" s="58">
        <v>30.92</v>
      </c>
      <c r="I509" s="58">
        <v>0.5</v>
      </c>
      <c r="J509" s="58">
        <v>-2.0499999999999998</v>
      </c>
      <c r="K509" s="58">
        <v>-80.392156862745097</v>
      </c>
      <c r="L509" s="58">
        <v>506250</v>
      </c>
      <c r="M509" s="58">
        <v>91500</v>
      </c>
      <c r="N509" s="58">
        <v>15139.55</v>
      </c>
      <c r="O509" s="58">
        <v>14550</v>
      </c>
      <c r="P509" s="58" t="s">
        <v>33</v>
      </c>
      <c r="Q509" s="58">
        <v>68</v>
      </c>
      <c r="R509" s="58">
        <v>-2</v>
      </c>
      <c r="S509" s="58">
        <v>-2.8571428571428572</v>
      </c>
      <c r="T509" s="58">
        <v>5</v>
      </c>
      <c r="U509" s="58">
        <v>72.680000000000007</v>
      </c>
      <c r="V509" s="58">
        <v>633.1</v>
      </c>
      <c r="W509" s="58">
        <v>82.899999999999977</v>
      </c>
      <c r="X509" s="58">
        <v>15.06724827335514</v>
      </c>
      <c r="Y509" s="58">
        <v>106425</v>
      </c>
      <c r="Z509" s="58">
        <v>23025</v>
      </c>
      <c r="AA509" s="58">
        <v>15139.55</v>
      </c>
      <c r="AE509" s="57"/>
    </row>
    <row r="510" spans="1:31" x14ac:dyDescent="0.35">
      <c r="A510" s="56" t="s">
        <v>575</v>
      </c>
      <c r="B510" s="58">
        <v>14550</v>
      </c>
      <c r="C510" s="58" t="s">
        <v>34</v>
      </c>
      <c r="D510" s="58">
        <v>504</v>
      </c>
      <c r="E510" s="58">
        <v>20</v>
      </c>
      <c r="F510" s="58">
        <v>4.1322314049586772</v>
      </c>
      <c r="G510" s="58">
        <v>978</v>
      </c>
      <c r="H510" s="58">
        <v>23.6</v>
      </c>
      <c r="I510" s="58">
        <v>29.2</v>
      </c>
      <c r="J510" s="58">
        <v>-13.349999999999998</v>
      </c>
      <c r="K510" s="58">
        <v>-31.374853113983548</v>
      </c>
      <c r="L510" s="58">
        <v>27675</v>
      </c>
      <c r="M510" s="58">
        <v>30300</v>
      </c>
      <c r="N510" s="58">
        <v>15139.55</v>
      </c>
      <c r="O510" s="58">
        <v>14550</v>
      </c>
      <c r="P510" s="58" t="s">
        <v>34</v>
      </c>
      <c r="Q510" s="58">
        <v>8</v>
      </c>
      <c r="R510" s="58">
        <v>2</v>
      </c>
      <c r="S510" s="58">
        <v>33.333333333333336</v>
      </c>
      <c r="T510" s="58">
        <v>11</v>
      </c>
      <c r="U510" s="58">
        <v>18.54</v>
      </c>
      <c r="V510" s="58">
        <v>629.29999999999995</v>
      </c>
      <c r="W510" s="58">
        <v>54.149999999999977</v>
      </c>
      <c r="X510" s="58">
        <v>9.4149352342867036</v>
      </c>
      <c r="Y510" s="58">
        <v>19200</v>
      </c>
      <c r="Z510" s="58">
        <v>13425</v>
      </c>
      <c r="AA510" s="58">
        <v>15143.3</v>
      </c>
      <c r="AE510" s="57"/>
    </row>
    <row r="511" spans="1:31" x14ac:dyDescent="0.35">
      <c r="A511" s="56" t="s">
        <v>576</v>
      </c>
      <c r="B511" s="58">
        <v>14550</v>
      </c>
      <c r="C511" s="58" t="s">
        <v>64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7125</v>
      </c>
      <c r="M511" s="58">
        <v>11475</v>
      </c>
      <c r="N511" s="58">
        <v>15139.55</v>
      </c>
      <c r="O511" s="58">
        <v>14550</v>
      </c>
      <c r="P511" s="58" t="s">
        <v>64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9675</v>
      </c>
      <c r="Z511" s="58">
        <v>5700</v>
      </c>
      <c r="AA511" s="58">
        <v>15143.3</v>
      </c>
      <c r="AE511" s="57"/>
    </row>
    <row r="512" spans="1:31" x14ac:dyDescent="0.35">
      <c r="A512" s="56" t="s">
        <v>577</v>
      </c>
      <c r="B512" s="58">
        <v>14550</v>
      </c>
      <c r="C512" s="58" t="s">
        <v>2071</v>
      </c>
      <c r="D512" s="58">
        <v>0</v>
      </c>
      <c r="E512" s="58">
        <v>0</v>
      </c>
      <c r="F512" s="58">
        <v>0</v>
      </c>
      <c r="G512" s="58">
        <v>0</v>
      </c>
      <c r="H512" s="58">
        <v>0</v>
      </c>
      <c r="I512" s="58">
        <v>0</v>
      </c>
      <c r="J512" s="58">
        <v>0</v>
      </c>
      <c r="K512" s="58">
        <v>0</v>
      </c>
      <c r="L512" s="58">
        <v>2775</v>
      </c>
      <c r="M512" s="58">
        <v>9750</v>
      </c>
      <c r="N512" s="58">
        <v>15139.55</v>
      </c>
      <c r="O512" s="58">
        <v>14550</v>
      </c>
      <c r="P512" s="58" t="s">
        <v>2071</v>
      </c>
      <c r="Q512" s="58">
        <v>0</v>
      </c>
      <c r="R512" s="58">
        <v>0</v>
      </c>
      <c r="S512" s="58">
        <v>0</v>
      </c>
      <c r="T512" s="58">
        <v>0</v>
      </c>
      <c r="U512" s="58">
        <v>0</v>
      </c>
      <c r="V512" s="58">
        <v>0</v>
      </c>
      <c r="W512" s="58">
        <v>0</v>
      </c>
      <c r="X512" s="58">
        <v>0</v>
      </c>
      <c r="Y512" s="58">
        <v>4875</v>
      </c>
      <c r="Z512" s="58">
        <v>4875</v>
      </c>
      <c r="AA512" s="58">
        <v>15139.55</v>
      </c>
      <c r="AE512" s="57"/>
    </row>
    <row r="513" spans="1:31" x14ac:dyDescent="0.35">
      <c r="A513" s="56" t="s">
        <v>578</v>
      </c>
      <c r="B513" s="58">
        <v>14550</v>
      </c>
      <c r="C513" s="58" t="s">
        <v>2073</v>
      </c>
      <c r="D513" s="58">
        <v>0</v>
      </c>
      <c r="E513" s="58">
        <v>0</v>
      </c>
      <c r="F513" s="58">
        <v>0</v>
      </c>
      <c r="G513" s="58">
        <v>0</v>
      </c>
      <c r="H513" s="58">
        <v>0</v>
      </c>
      <c r="I513" s="58">
        <v>0</v>
      </c>
      <c r="J513" s="58">
        <v>0</v>
      </c>
      <c r="K513" s="58">
        <v>0</v>
      </c>
      <c r="L513" s="58">
        <v>2775</v>
      </c>
      <c r="M513" s="58">
        <v>9750</v>
      </c>
      <c r="N513" s="58">
        <v>15139.55</v>
      </c>
      <c r="O513" s="58">
        <v>14550</v>
      </c>
      <c r="P513" s="58" t="s">
        <v>2073</v>
      </c>
      <c r="Q513" s="58">
        <v>0</v>
      </c>
      <c r="R513" s="58">
        <v>0</v>
      </c>
      <c r="S513" s="58">
        <v>0</v>
      </c>
      <c r="T513" s="58">
        <v>0</v>
      </c>
      <c r="U513" s="58">
        <v>0</v>
      </c>
      <c r="V513" s="58">
        <v>0</v>
      </c>
      <c r="W513" s="58">
        <v>0</v>
      </c>
      <c r="X513" s="58">
        <v>0</v>
      </c>
      <c r="Y513" s="58">
        <v>4875</v>
      </c>
      <c r="Z513" s="58">
        <v>4875</v>
      </c>
      <c r="AA513" s="58">
        <v>15143.3</v>
      </c>
      <c r="AE513" s="57"/>
    </row>
    <row r="514" spans="1:31" x14ac:dyDescent="0.35">
      <c r="A514" s="56" t="s">
        <v>579</v>
      </c>
      <c r="B514" s="58">
        <v>14550</v>
      </c>
      <c r="C514" s="58" t="s">
        <v>2074</v>
      </c>
      <c r="D514" s="58">
        <v>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0</v>
      </c>
      <c r="M514" s="58">
        <v>4875</v>
      </c>
      <c r="N514" s="58">
        <v>15139.55</v>
      </c>
      <c r="O514" s="58">
        <v>14550</v>
      </c>
      <c r="P514" s="58" t="s">
        <v>2074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4875</v>
      </c>
      <c r="AA514" s="58">
        <v>15139.55</v>
      </c>
      <c r="AE514" s="57"/>
    </row>
    <row r="515" spans="1:31" x14ac:dyDescent="0.35">
      <c r="A515" s="56" t="s">
        <v>580</v>
      </c>
      <c r="B515" s="58">
        <v>14550</v>
      </c>
      <c r="C515" s="58" t="s">
        <v>2068</v>
      </c>
      <c r="D515" s="58">
        <v>24</v>
      </c>
      <c r="E515" s="58">
        <v>-4</v>
      </c>
      <c r="F515" s="58">
        <v>-14.285714285714286</v>
      </c>
      <c r="G515" s="58">
        <v>8</v>
      </c>
      <c r="H515" s="58">
        <v>23.18</v>
      </c>
      <c r="I515" s="58">
        <v>205.3</v>
      </c>
      <c r="J515" s="58">
        <v>-51.849999999999966</v>
      </c>
      <c r="K515" s="58">
        <v>-20.163328796422313</v>
      </c>
      <c r="L515" s="58">
        <v>6000</v>
      </c>
      <c r="M515" s="58">
        <v>4950</v>
      </c>
      <c r="N515" s="58">
        <v>15139.55</v>
      </c>
      <c r="O515" s="58">
        <v>14550</v>
      </c>
      <c r="P515" s="58" t="s">
        <v>2068</v>
      </c>
      <c r="Q515" s="58">
        <v>2</v>
      </c>
      <c r="R515" s="58">
        <v>1</v>
      </c>
      <c r="S515" s="58">
        <v>100</v>
      </c>
      <c r="T515" s="58">
        <v>3</v>
      </c>
      <c r="U515" s="58">
        <v>21.42</v>
      </c>
      <c r="V515" s="58">
        <v>959.15</v>
      </c>
      <c r="W515" s="58">
        <v>234.25</v>
      </c>
      <c r="X515" s="58">
        <v>32.314802041660919</v>
      </c>
      <c r="Y515" s="58">
        <v>9000</v>
      </c>
      <c r="Z515" s="58">
        <v>8925</v>
      </c>
      <c r="AA515" s="58">
        <v>15139.55</v>
      </c>
      <c r="AE515" s="57"/>
    </row>
    <row r="516" spans="1:31" x14ac:dyDescent="0.35">
      <c r="A516" s="56" t="s">
        <v>581</v>
      </c>
      <c r="B516" s="58">
        <v>14550</v>
      </c>
      <c r="C516" s="58" t="s">
        <v>2076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0</v>
      </c>
      <c r="M516" s="58">
        <v>4875</v>
      </c>
      <c r="N516" s="58">
        <v>15139.55</v>
      </c>
      <c r="O516" s="58">
        <v>14550</v>
      </c>
      <c r="P516" s="58" t="s">
        <v>2076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0</v>
      </c>
      <c r="Z516" s="58">
        <v>4875</v>
      </c>
      <c r="AA516" s="58">
        <v>15139.55</v>
      </c>
      <c r="AE516" s="57"/>
    </row>
    <row r="517" spans="1:31" x14ac:dyDescent="0.35">
      <c r="A517" s="56" t="s">
        <v>582</v>
      </c>
      <c r="B517" s="58">
        <v>14550</v>
      </c>
      <c r="C517" s="58" t="s">
        <v>2075</v>
      </c>
      <c r="D517" s="58">
        <v>1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9750</v>
      </c>
      <c r="N517" s="58">
        <v>15139.55</v>
      </c>
      <c r="O517" s="58">
        <v>14550</v>
      </c>
      <c r="P517" s="58" t="s">
        <v>2075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0</v>
      </c>
      <c r="Z517" s="58">
        <v>4875</v>
      </c>
      <c r="AA517" s="58">
        <v>15139.55</v>
      </c>
      <c r="AE517" s="57"/>
    </row>
    <row r="518" spans="1:31" x14ac:dyDescent="0.35">
      <c r="A518" s="56" t="s">
        <v>583</v>
      </c>
      <c r="B518" s="58">
        <v>14550</v>
      </c>
      <c r="C518" s="58" t="s">
        <v>26</v>
      </c>
      <c r="D518" s="58">
        <v>382</v>
      </c>
      <c r="E518" s="58">
        <v>-102</v>
      </c>
      <c r="F518" s="58">
        <v>-21.074380165289256</v>
      </c>
      <c r="G518" s="58">
        <v>521</v>
      </c>
      <c r="H518" s="58">
        <v>25.51</v>
      </c>
      <c r="I518" s="58">
        <v>85</v>
      </c>
      <c r="J518" s="58">
        <v>-23.400000000000009</v>
      </c>
      <c r="K518" s="58">
        <v>-21.586715867158677</v>
      </c>
      <c r="L518" s="58">
        <v>19875</v>
      </c>
      <c r="M518" s="58">
        <v>21825</v>
      </c>
      <c r="N518" s="58">
        <v>15139.55</v>
      </c>
      <c r="O518" s="58">
        <v>14550</v>
      </c>
      <c r="P518" s="58" t="s">
        <v>26</v>
      </c>
      <c r="Q518" s="58">
        <v>156</v>
      </c>
      <c r="R518" s="58">
        <v>0</v>
      </c>
      <c r="S518" s="58">
        <v>0</v>
      </c>
      <c r="T518" s="58">
        <v>5</v>
      </c>
      <c r="U518" s="58">
        <v>26.04</v>
      </c>
      <c r="V518" s="58">
        <v>735.45</v>
      </c>
      <c r="W518" s="58">
        <v>37.300000000000068</v>
      </c>
      <c r="X518" s="58">
        <v>5.3426913986965658</v>
      </c>
      <c r="Y518" s="58">
        <v>28875</v>
      </c>
      <c r="Z518" s="58">
        <v>17175</v>
      </c>
      <c r="AA518" s="58">
        <v>15139.55</v>
      </c>
      <c r="AE518" s="57"/>
    </row>
    <row r="519" spans="1:31" x14ac:dyDescent="0.35">
      <c r="A519" s="56" t="s">
        <v>584</v>
      </c>
      <c r="B519" s="58">
        <v>14600</v>
      </c>
      <c r="C519" s="58" t="s">
        <v>34</v>
      </c>
      <c r="D519" s="58">
        <v>5763</v>
      </c>
      <c r="E519" s="58">
        <v>1267</v>
      </c>
      <c r="F519" s="58">
        <v>28.180604982206404</v>
      </c>
      <c r="G519" s="58">
        <v>10482</v>
      </c>
      <c r="H519" s="58">
        <v>23.21</v>
      </c>
      <c r="I519" s="58">
        <v>33.700000000000003</v>
      </c>
      <c r="J519" s="58">
        <v>-14.75</v>
      </c>
      <c r="K519" s="58">
        <v>-30.443756449948399</v>
      </c>
      <c r="L519" s="58">
        <v>50925</v>
      </c>
      <c r="M519" s="58">
        <v>49350</v>
      </c>
      <c r="N519" s="58">
        <v>15139.55</v>
      </c>
      <c r="O519" s="58">
        <v>14600</v>
      </c>
      <c r="P519" s="58" t="s">
        <v>34</v>
      </c>
      <c r="Q519" s="58">
        <v>56</v>
      </c>
      <c r="R519" s="58">
        <v>2</v>
      </c>
      <c r="S519" s="58">
        <v>3.7037037037037042</v>
      </c>
      <c r="T519" s="58">
        <v>33</v>
      </c>
      <c r="U519" s="58">
        <v>18.190000000000001</v>
      </c>
      <c r="V519" s="58">
        <v>582</v>
      </c>
      <c r="W519" s="58">
        <v>16.299999999999955</v>
      </c>
      <c r="X519" s="58">
        <v>2.8813858935831629</v>
      </c>
      <c r="Y519" s="58">
        <v>16050</v>
      </c>
      <c r="Z519" s="58">
        <v>9675</v>
      </c>
      <c r="AA519" s="58">
        <v>15143.3</v>
      </c>
      <c r="AE519" s="57"/>
    </row>
    <row r="520" spans="1:31" x14ac:dyDescent="0.35">
      <c r="A520" s="56" t="s">
        <v>585</v>
      </c>
      <c r="B520" s="58">
        <v>14600</v>
      </c>
      <c r="C520" s="58" t="s">
        <v>26</v>
      </c>
      <c r="D520" s="58">
        <v>11338</v>
      </c>
      <c r="E520" s="58">
        <v>-497</v>
      </c>
      <c r="F520" s="58">
        <v>-4.1994085340092946</v>
      </c>
      <c r="G520" s="58">
        <v>4944</v>
      </c>
      <c r="H520" s="58">
        <v>25.25</v>
      </c>
      <c r="I520" s="58">
        <v>92.9</v>
      </c>
      <c r="J520" s="58">
        <v>-22</v>
      </c>
      <c r="K520" s="58">
        <v>-19.147084421235856</v>
      </c>
      <c r="L520" s="58">
        <v>55200</v>
      </c>
      <c r="M520" s="58">
        <v>52200</v>
      </c>
      <c r="N520" s="58">
        <v>15139.55</v>
      </c>
      <c r="O520" s="58">
        <v>14600</v>
      </c>
      <c r="P520" s="58" t="s">
        <v>26</v>
      </c>
      <c r="Q520" s="58">
        <v>1683</v>
      </c>
      <c r="R520" s="58">
        <v>-9</v>
      </c>
      <c r="S520" s="58">
        <v>-0.53191489361702127</v>
      </c>
      <c r="T520" s="58">
        <v>55</v>
      </c>
      <c r="U520" s="58">
        <v>21.14</v>
      </c>
      <c r="V520" s="58">
        <v>661.4</v>
      </c>
      <c r="W520" s="58">
        <v>25.350000000000023</v>
      </c>
      <c r="X520" s="58">
        <v>3.9855357283232489</v>
      </c>
      <c r="Y520" s="58">
        <v>30675</v>
      </c>
      <c r="Z520" s="58">
        <v>24375</v>
      </c>
      <c r="AA520" s="58">
        <v>15143.3</v>
      </c>
      <c r="AE520" s="57"/>
    </row>
    <row r="521" spans="1:31" x14ac:dyDescent="0.35">
      <c r="A521" s="56" t="s">
        <v>586</v>
      </c>
      <c r="B521" s="58">
        <v>14600</v>
      </c>
      <c r="C521" s="58" t="s">
        <v>2071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2850</v>
      </c>
      <c r="M521" s="58">
        <v>10350</v>
      </c>
      <c r="N521" s="58">
        <v>15139.55</v>
      </c>
      <c r="O521" s="58">
        <v>14600</v>
      </c>
      <c r="P521" s="58" t="s">
        <v>2071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5475</v>
      </c>
      <c r="Z521" s="58">
        <v>4875</v>
      </c>
      <c r="AA521" s="58">
        <v>15143.3</v>
      </c>
      <c r="AE521" s="57"/>
    </row>
    <row r="522" spans="1:31" x14ac:dyDescent="0.35">
      <c r="A522" s="56" t="s">
        <v>587</v>
      </c>
      <c r="B522" s="58">
        <v>14600</v>
      </c>
      <c r="C522" s="58" t="s">
        <v>2073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2775</v>
      </c>
      <c r="M522" s="58">
        <v>9750</v>
      </c>
      <c r="N522" s="58">
        <v>15139.55</v>
      </c>
      <c r="O522" s="58">
        <v>14600</v>
      </c>
      <c r="P522" s="58" t="s">
        <v>2073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0</v>
      </c>
      <c r="Z522" s="58">
        <v>4875</v>
      </c>
      <c r="AA522" s="58">
        <v>15143.3</v>
      </c>
      <c r="AE522" s="57"/>
    </row>
    <row r="523" spans="1:31" x14ac:dyDescent="0.35">
      <c r="A523" s="56" t="s">
        <v>588</v>
      </c>
      <c r="B523" s="58">
        <v>14600</v>
      </c>
      <c r="C523" s="58" t="s">
        <v>2074</v>
      </c>
      <c r="D523" s="58">
        <v>0</v>
      </c>
      <c r="E523" s="58">
        <v>0</v>
      </c>
      <c r="F523" s="58">
        <v>0</v>
      </c>
      <c r="G523" s="58">
        <v>0</v>
      </c>
      <c r="H523" s="58">
        <v>0</v>
      </c>
      <c r="I523" s="58">
        <v>0</v>
      </c>
      <c r="J523" s="58">
        <v>0</v>
      </c>
      <c r="K523" s="58">
        <v>0</v>
      </c>
      <c r="L523" s="58">
        <v>0</v>
      </c>
      <c r="M523" s="58">
        <v>4875</v>
      </c>
      <c r="N523" s="58">
        <v>15143.3</v>
      </c>
      <c r="O523" s="58">
        <v>14600</v>
      </c>
      <c r="P523" s="58" t="s">
        <v>2074</v>
      </c>
      <c r="Q523" s="58">
        <v>0</v>
      </c>
      <c r="R523" s="58">
        <v>0</v>
      </c>
      <c r="S523" s="58">
        <v>0</v>
      </c>
      <c r="T523" s="58">
        <v>0</v>
      </c>
      <c r="U523" s="58">
        <v>0</v>
      </c>
      <c r="V523" s="58">
        <v>0</v>
      </c>
      <c r="W523" s="58">
        <v>0</v>
      </c>
      <c r="X523" s="58">
        <v>0</v>
      </c>
      <c r="Y523" s="58">
        <v>0</v>
      </c>
      <c r="Z523" s="58">
        <v>4875</v>
      </c>
      <c r="AA523" s="58">
        <v>15143.3</v>
      </c>
      <c r="AE523" s="57"/>
    </row>
    <row r="524" spans="1:31" x14ac:dyDescent="0.35">
      <c r="A524" s="56" t="s">
        <v>589</v>
      </c>
      <c r="B524" s="58">
        <v>14600</v>
      </c>
      <c r="C524" s="58" t="s">
        <v>2068</v>
      </c>
      <c r="D524" s="58">
        <v>330</v>
      </c>
      <c r="E524" s="58">
        <v>6</v>
      </c>
      <c r="F524" s="58">
        <v>1.8518518518518521</v>
      </c>
      <c r="G524" s="58">
        <v>174</v>
      </c>
      <c r="H524" s="58">
        <v>23.05</v>
      </c>
      <c r="I524" s="58">
        <v>221.05</v>
      </c>
      <c r="J524" s="58">
        <v>-25.199999999999989</v>
      </c>
      <c r="K524" s="58">
        <v>-10.233502538071059</v>
      </c>
      <c r="L524" s="58">
        <v>10575</v>
      </c>
      <c r="M524" s="58">
        <v>9825</v>
      </c>
      <c r="N524" s="58">
        <v>15139.55</v>
      </c>
      <c r="O524" s="58">
        <v>14600</v>
      </c>
      <c r="P524" s="58" t="s">
        <v>2068</v>
      </c>
      <c r="Q524" s="58">
        <v>50</v>
      </c>
      <c r="R524" s="58">
        <v>0</v>
      </c>
      <c r="S524" s="58">
        <v>0</v>
      </c>
      <c r="T524" s="58">
        <v>2</v>
      </c>
      <c r="U524" s="58">
        <v>18.79</v>
      </c>
      <c r="V524" s="58">
        <v>877.45</v>
      </c>
      <c r="W524" s="58">
        <v>13.350000000000025</v>
      </c>
      <c r="X524" s="58">
        <v>1.5449600740655045</v>
      </c>
      <c r="Y524" s="58">
        <v>11025</v>
      </c>
      <c r="Z524" s="58">
        <v>10650</v>
      </c>
      <c r="AA524" s="58">
        <v>15143.3</v>
      </c>
      <c r="AE524" s="57"/>
    </row>
    <row r="525" spans="1:31" x14ac:dyDescent="0.35">
      <c r="A525" s="56" t="s">
        <v>590</v>
      </c>
      <c r="B525" s="58">
        <v>14600</v>
      </c>
      <c r="C525" s="58" t="s">
        <v>2076</v>
      </c>
      <c r="D525" s="58">
        <v>0</v>
      </c>
      <c r="E525" s="58">
        <v>0</v>
      </c>
      <c r="F525" s="58">
        <v>0</v>
      </c>
      <c r="G525" s="58">
        <v>0</v>
      </c>
      <c r="H525" s="58">
        <v>0</v>
      </c>
      <c r="I525" s="58">
        <v>0</v>
      </c>
      <c r="J525" s="58">
        <v>0</v>
      </c>
      <c r="K525" s="58">
        <v>0</v>
      </c>
      <c r="L525" s="58">
        <v>0</v>
      </c>
      <c r="M525" s="58">
        <v>4875</v>
      </c>
      <c r="N525" s="58">
        <v>15139.55</v>
      </c>
      <c r="O525" s="58">
        <v>14600</v>
      </c>
      <c r="P525" s="58" t="s">
        <v>2076</v>
      </c>
      <c r="Q525" s="58">
        <v>0</v>
      </c>
      <c r="R525" s="58">
        <v>0</v>
      </c>
      <c r="S525" s="58">
        <v>0</v>
      </c>
      <c r="T525" s="58">
        <v>0</v>
      </c>
      <c r="U525" s="58">
        <v>0</v>
      </c>
      <c r="V525" s="58">
        <v>0</v>
      </c>
      <c r="W525" s="58">
        <v>0</v>
      </c>
      <c r="X525" s="58">
        <v>0</v>
      </c>
      <c r="Y525" s="58">
        <v>0</v>
      </c>
      <c r="Z525" s="58">
        <v>4875</v>
      </c>
      <c r="AA525" s="58">
        <v>15139.55</v>
      </c>
      <c r="AE525" s="57"/>
    </row>
    <row r="526" spans="1:31" x14ac:dyDescent="0.35">
      <c r="A526" s="56" t="s">
        <v>591</v>
      </c>
      <c r="B526" s="58">
        <v>14600</v>
      </c>
      <c r="C526" s="58" t="s">
        <v>2075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0</v>
      </c>
      <c r="M526" s="58">
        <v>10500</v>
      </c>
      <c r="N526" s="58">
        <v>15139.55</v>
      </c>
      <c r="O526" s="58">
        <v>14600</v>
      </c>
      <c r="P526" s="58" t="s">
        <v>2075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0</v>
      </c>
      <c r="Z526" s="58">
        <v>6300</v>
      </c>
      <c r="AA526" s="58">
        <v>15139.55</v>
      </c>
      <c r="AE526" s="57"/>
    </row>
    <row r="527" spans="1:31" x14ac:dyDescent="0.35">
      <c r="A527" s="56" t="s">
        <v>592</v>
      </c>
      <c r="B527" s="58">
        <v>14600</v>
      </c>
      <c r="C527" s="58" t="s">
        <v>33</v>
      </c>
      <c r="D527" s="58">
        <v>26189</v>
      </c>
      <c r="E527" s="58">
        <v>6418</v>
      </c>
      <c r="F527" s="58">
        <v>32.461686308229226</v>
      </c>
      <c r="G527" s="58">
        <v>61844</v>
      </c>
      <c r="H527" s="58">
        <v>28.55</v>
      </c>
      <c r="I527" s="58">
        <v>0.55000000000000004</v>
      </c>
      <c r="J527" s="58">
        <v>-2.2999999999999998</v>
      </c>
      <c r="K527" s="58">
        <v>-80.701754385964904</v>
      </c>
      <c r="L527" s="58">
        <v>1555350</v>
      </c>
      <c r="M527" s="58">
        <v>327825</v>
      </c>
      <c r="N527" s="58">
        <v>15139.55</v>
      </c>
      <c r="O527" s="58">
        <v>14600</v>
      </c>
      <c r="P527" s="58" t="s">
        <v>33</v>
      </c>
      <c r="Q527" s="58">
        <v>762</v>
      </c>
      <c r="R527" s="58">
        <v>-63</v>
      </c>
      <c r="S527" s="58">
        <v>-7.6363636363636367</v>
      </c>
      <c r="T527" s="58">
        <v>278</v>
      </c>
      <c r="U527" s="58">
        <v>16.850000000000001</v>
      </c>
      <c r="V527" s="58">
        <v>545.1</v>
      </c>
      <c r="W527" s="58">
        <v>38.450000000000045</v>
      </c>
      <c r="X527" s="58">
        <v>7.5890654297838838</v>
      </c>
      <c r="Y527" s="58">
        <v>105750</v>
      </c>
      <c r="Z527" s="58">
        <v>22200</v>
      </c>
      <c r="AA527" s="58">
        <v>15143.3</v>
      </c>
      <c r="AE527" s="57"/>
    </row>
    <row r="528" spans="1:31" x14ac:dyDescent="0.35">
      <c r="A528" s="56" t="s">
        <v>593</v>
      </c>
      <c r="B528" s="58">
        <v>14600</v>
      </c>
      <c r="C528" s="58" t="s">
        <v>64</v>
      </c>
      <c r="D528" s="58">
        <v>665</v>
      </c>
      <c r="E528" s="58">
        <v>-2</v>
      </c>
      <c r="F528" s="58">
        <v>-0.29985007496251875</v>
      </c>
      <c r="G528" s="58">
        <v>5</v>
      </c>
      <c r="H528" s="58">
        <v>25.34</v>
      </c>
      <c r="I528" s="58">
        <v>137</v>
      </c>
      <c r="J528" s="58">
        <v>-33.900000000000006</v>
      </c>
      <c r="K528" s="58">
        <v>-19.83616149795202</v>
      </c>
      <c r="L528" s="58">
        <v>26550</v>
      </c>
      <c r="M528" s="58">
        <v>13275</v>
      </c>
      <c r="N528" s="58">
        <v>15139.55</v>
      </c>
      <c r="O528" s="58">
        <v>14600</v>
      </c>
      <c r="P528" s="58" t="s">
        <v>64</v>
      </c>
      <c r="Q528" s="58">
        <v>661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9825</v>
      </c>
      <c r="Z528" s="58">
        <v>6450</v>
      </c>
      <c r="AA528" s="58">
        <v>15139.55</v>
      </c>
      <c r="AE528" s="57"/>
    </row>
    <row r="529" spans="1:31" x14ac:dyDescent="0.35">
      <c r="A529" s="56" t="s">
        <v>594</v>
      </c>
      <c r="B529" s="58">
        <v>14650</v>
      </c>
      <c r="C529" s="58" t="s">
        <v>26</v>
      </c>
      <c r="D529" s="58">
        <v>596</v>
      </c>
      <c r="E529" s="58">
        <v>5</v>
      </c>
      <c r="F529" s="58">
        <v>0.84602368866328259</v>
      </c>
      <c r="G529" s="58">
        <v>245</v>
      </c>
      <c r="H529" s="58">
        <v>25.26</v>
      </c>
      <c r="I529" s="58">
        <v>102.7</v>
      </c>
      <c r="J529" s="58">
        <v>-23.200000000000003</v>
      </c>
      <c r="K529" s="58">
        <v>-18.427323272438446</v>
      </c>
      <c r="L529" s="58">
        <v>23250</v>
      </c>
      <c r="M529" s="58">
        <v>26625</v>
      </c>
      <c r="N529" s="58">
        <v>15139.55</v>
      </c>
      <c r="O529" s="58">
        <v>14650</v>
      </c>
      <c r="P529" s="58" t="s">
        <v>26</v>
      </c>
      <c r="Q529" s="58">
        <v>382</v>
      </c>
      <c r="R529" s="58">
        <v>0</v>
      </c>
      <c r="S529" s="58">
        <v>0</v>
      </c>
      <c r="T529" s="58">
        <v>6</v>
      </c>
      <c r="U529" s="58">
        <v>24.55</v>
      </c>
      <c r="V529" s="58">
        <v>645</v>
      </c>
      <c r="W529" s="58">
        <v>30.649999999999977</v>
      </c>
      <c r="X529" s="58">
        <v>4.989012777732559</v>
      </c>
      <c r="Y529" s="58">
        <v>25050</v>
      </c>
      <c r="Z529" s="58">
        <v>17925</v>
      </c>
      <c r="AA529" s="58">
        <v>15139.55</v>
      </c>
      <c r="AE529" s="57"/>
    </row>
    <row r="530" spans="1:31" x14ac:dyDescent="0.35">
      <c r="A530" s="56" t="s">
        <v>595</v>
      </c>
      <c r="B530" s="58">
        <v>14650</v>
      </c>
      <c r="C530" s="58" t="s">
        <v>33</v>
      </c>
      <c r="D530" s="58">
        <v>7288</v>
      </c>
      <c r="E530" s="58">
        <v>602</v>
      </c>
      <c r="F530" s="58">
        <v>9.0038887227041577</v>
      </c>
      <c r="G530" s="58">
        <v>15456</v>
      </c>
      <c r="H530" s="58">
        <v>26.45</v>
      </c>
      <c r="I530" s="58">
        <v>0.55000000000000004</v>
      </c>
      <c r="J530" s="58">
        <v>-2.75</v>
      </c>
      <c r="K530" s="58">
        <v>-83.333333333333343</v>
      </c>
      <c r="L530" s="58">
        <v>643575</v>
      </c>
      <c r="M530" s="58">
        <v>195975</v>
      </c>
      <c r="N530" s="58">
        <v>15143.3</v>
      </c>
      <c r="O530" s="58">
        <v>14650</v>
      </c>
      <c r="P530" s="58" t="s">
        <v>33</v>
      </c>
      <c r="Q530" s="58">
        <v>218</v>
      </c>
      <c r="R530" s="58">
        <v>-31</v>
      </c>
      <c r="S530" s="58">
        <v>-12.449799196787149</v>
      </c>
      <c r="T530" s="58">
        <v>72</v>
      </c>
      <c r="U530" s="58">
        <v>46.57</v>
      </c>
      <c r="V530" s="58">
        <v>496.75</v>
      </c>
      <c r="W530" s="58">
        <v>37</v>
      </c>
      <c r="X530" s="58">
        <v>8.0478520935290927</v>
      </c>
      <c r="Y530" s="58">
        <v>105450</v>
      </c>
      <c r="Z530" s="58">
        <v>23400</v>
      </c>
      <c r="AA530" s="58">
        <v>15139.55</v>
      </c>
      <c r="AE530" s="57"/>
    </row>
    <row r="531" spans="1:31" x14ac:dyDescent="0.35">
      <c r="A531" s="56" t="s">
        <v>596</v>
      </c>
      <c r="B531" s="58">
        <v>14650</v>
      </c>
      <c r="C531" s="58" t="s">
        <v>2073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2775</v>
      </c>
      <c r="M531" s="58">
        <v>9750</v>
      </c>
      <c r="N531" s="58">
        <v>15143.3</v>
      </c>
      <c r="O531" s="58">
        <v>14650</v>
      </c>
      <c r="P531" s="58" t="s">
        <v>2073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0</v>
      </c>
      <c r="Z531" s="58">
        <v>4875</v>
      </c>
      <c r="AA531" s="58">
        <v>15139.55</v>
      </c>
      <c r="AE531" s="57"/>
    </row>
    <row r="532" spans="1:31" x14ac:dyDescent="0.35">
      <c r="A532" s="56" t="s">
        <v>597</v>
      </c>
      <c r="B532" s="58">
        <v>14650</v>
      </c>
      <c r="C532" s="58" t="s">
        <v>2074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15143.3</v>
      </c>
      <c r="O532" s="58">
        <v>14650</v>
      </c>
      <c r="P532" s="58" t="s">
        <v>2074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0</v>
      </c>
      <c r="Z532" s="58">
        <v>4875</v>
      </c>
      <c r="AA532" s="58">
        <v>15139.55</v>
      </c>
      <c r="AE532" s="57"/>
    </row>
    <row r="533" spans="1:31" x14ac:dyDescent="0.35">
      <c r="A533" s="56" t="s">
        <v>598</v>
      </c>
      <c r="B533" s="58">
        <v>14650</v>
      </c>
      <c r="C533" s="58" t="s">
        <v>2068</v>
      </c>
      <c r="D533" s="58">
        <v>13</v>
      </c>
      <c r="E533" s="58">
        <v>0</v>
      </c>
      <c r="F533" s="58">
        <v>0</v>
      </c>
      <c r="G533" s="58">
        <v>0</v>
      </c>
      <c r="H533" s="58">
        <v>0</v>
      </c>
      <c r="I533" s="58">
        <v>0</v>
      </c>
      <c r="J533" s="58">
        <v>0</v>
      </c>
      <c r="K533" s="58">
        <v>0</v>
      </c>
      <c r="L533" s="58">
        <v>0</v>
      </c>
      <c r="M533" s="58">
        <v>11250</v>
      </c>
      <c r="N533" s="58">
        <v>15143.3</v>
      </c>
      <c r="O533" s="58">
        <v>14650</v>
      </c>
      <c r="P533" s="58" t="s">
        <v>2068</v>
      </c>
      <c r="Q533" s="58">
        <v>1</v>
      </c>
      <c r="R533" s="58">
        <v>0</v>
      </c>
      <c r="S533" s="58">
        <v>0</v>
      </c>
      <c r="T533" s="58">
        <v>0</v>
      </c>
      <c r="U533" s="58">
        <v>0</v>
      </c>
      <c r="V533" s="58">
        <v>0</v>
      </c>
      <c r="W533" s="58">
        <v>0</v>
      </c>
      <c r="X533" s="58">
        <v>0</v>
      </c>
      <c r="Y533" s="58">
        <v>3375</v>
      </c>
      <c r="Z533" s="58">
        <v>8250</v>
      </c>
      <c r="AA533" s="58">
        <v>15139.55</v>
      </c>
      <c r="AE533" s="57"/>
    </row>
    <row r="534" spans="1:31" x14ac:dyDescent="0.35">
      <c r="A534" s="56" t="s">
        <v>599</v>
      </c>
      <c r="B534" s="58">
        <v>14650</v>
      </c>
      <c r="C534" s="58" t="s">
        <v>2076</v>
      </c>
      <c r="D534" s="58">
        <v>0</v>
      </c>
      <c r="E534" s="58">
        <v>0</v>
      </c>
      <c r="F534" s="58">
        <v>0</v>
      </c>
      <c r="G534" s="58">
        <v>0</v>
      </c>
      <c r="H534" s="58">
        <v>0</v>
      </c>
      <c r="I534" s="58">
        <v>0</v>
      </c>
      <c r="J534" s="58">
        <v>0</v>
      </c>
      <c r="K534" s="58">
        <v>0</v>
      </c>
      <c r="L534" s="58">
        <v>0</v>
      </c>
      <c r="M534" s="58">
        <v>4875</v>
      </c>
      <c r="N534" s="58">
        <v>15139.55</v>
      </c>
      <c r="O534" s="58">
        <v>14650</v>
      </c>
      <c r="P534" s="58" t="s">
        <v>2076</v>
      </c>
      <c r="Q534" s="58">
        <v>0</v>
      </c>
      <c r="R534" s="58">
        <v>0</v>
      </c>
      <c r="S534" s="58">
        <v>0</v>
      </c>
      <c r="T534" s="58">
        <v>0</v>
      </c>
      <c r="U534" s="58">
        <v>0</v>
      </c>
      <c r="V534" s="58">
        <v>0</v>
      </c>
      <c r="W534" s="58">
        <v>0</v>
      </c>
      <c r="X534" s="58">
        <v>0</v>
      </c>
      <c r="Y534" s="58">
        <v>0</v>
      </c>
      <c r="Z534" s="58">
        <v>4875</v>
      </c>
      <c r="AA534" s="58">
        <v>15139.55</v>
      </c>
      <c r="AE534" s="57"/>
    </row>
    <row r="535" spans="1:31" x14ac:dyDescent="0.35">
      <c r="A535" s="56" t="s">
        <v>600</v>
      </c>
      <c r="B535" s="58">
        <v>14650</v>
      </c>
      <c r="C535" s="58" t="s">
        <v>2075</v>
      </c>
      <c r="D535" s="58">
        <v>0</v>
      </c>
      <c r="E535" s="58">
        <v>0</v>
      </c>
      <c r="F535" s="58">
        <v>0</v>
      </c>
      <c r="G535" s="58">
        <v>0</v>
      </c>
      <c r="H535" s="58">
        <v>0</v>
      </c>
      <c r="I535" s="58">
        <v>0</v>
      </c>
      <c r="J535" s="58">
        <v>0</v>
      </c>
      <c r="K535" s="58">
        <v>0</v>
      </c>
      <c r="L535" s="58">
        <v>0</v>
      </c>
      <c r="M535" s="58">
        <v>4875</v>
      </c>
      <c r="N535" s="58">
        <v>15139.55</v>
      </c>
      <c r="O535" s="58">
        <v>14650</v>
      </c>
      <c r="P535" s="58" t="s">
        <v>2075</v>
      </c>
      <c r="Q535" s="58">
        <v>0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0</v>
      </c>
      <c r="Z535" s="58">
        <v>4875</v>
      </c>
      <c r="AA535" s="58">
        <v>15139.55</v>
      </c>
      <c r="AE535" s="57"/>
    </row>
    <row r="536" spans="1:31" x14ac:dyDescent="0.35">
      <c r="A536" s="56" t="s">
        <v>601</v>
      </c>
      <c r="B536" s="58">
        <v>14650</v>
      </c>
      <c r="C536" s="58" t="s">
        <v>64</v>
      </c>
      <c r="D536" s="58">
        <v>1</v>
      </c>
      <c r="E536" s="58">
        <v>0</v>
      </c>
      <c r="F536" s="58">
        <v>0</v>
      </c>
      <c r="G536" s="58">
        <v>0</v>
      </c>
      <c r="H536" s="58">
        <v>0</v>
      </c>
      <c r="I536" s="58">
        <v>0</v>
      </c>
      <c r="J536" s="58">
        <v>0</v>
      </c>
      <c r="K536" s="58">
        <v>0</v>
      </c>
      <c r="L536" s="58">
        <v>11325</v>
      </c>
      <c r="M536" s="58">
        <v>11550</v>
      </c>
      <c r="N536" s="58">
        <v>15143.3</v>
      </c>
      <c r="O536" s="58">
        <v>14650</v>
      </c>
      <c r="P536" s="58" t="s">
        <v>64</v>
      </c>
      <c r="Q536" s="58">
        <v>0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9675</v>
      </c>
      <c r="Z536" s="58">
        <v>5700</v>
      </c>
      <c r="AA536" s="58">
        <v>15139.55</v>
      </c>
      <c r="AE536" s="57"/>
    </row>
    <row r="537" spans="1:31" x14ac:dyDescent="0.35">
      <c r="A537" s="56" t="s">
        <v>602</v>
      </c>
      <c r="B537" s="58">
        <v>14650</v>
      </c>
      <c r="C537" s="58" t="s">
        <v>34</v>
      </c>
      <c r="D537" s="58">
        <v>386</v>
      </c>
      <c r="E537" s="58">
        <v>-14</v>
      </c>
      <c r="F537" s="58">
        <v>-3.5</v>
      </c>
      <c r="G537" s="58">
        <v>989</v>
      </c>
      <c r="H537" s="58">
        <v>22.92</v>
      </c>
      <c r="I537" s="58">
        <v>39.700000000000003</v>
      </c>
      <c r="J537" s="58">
        <v>-15.849999999999994</v>
      </c>
      <c r="K537" s="58">
        <v>-28.532853285328525</v>
      </c>
      <c r="L537" s="58">
        <v>30450</v>
      </c>
      <c r="M537" s="58">
        <v>30300</v>
      </c>
      <c r="N537" s="58">
        <v>15143.3</v>
      </c>
      <c r="O537" s="58">
        <v>14650</v>
      </c>
      <c r="P537" s="58" t="s">
        <v>34</v>
      </c>
      <c r="Q537" s="58">
        <v>17</v>
      </c>
      <c r="R537" s="58">
        <v>0</v>
      </c>
      <c r="S537" s="58">
        <v>0</v>
      </c>
      <c r="T537" s="58">
        <v>5</v>
      </c>
      <c r="U537" s="58">
        <v>21.02</v>
      </c>
      <c r="V537" s="58">
        <v>548.65</v>
      </c>
      <c r="W537" s="58">
        <v>12.649999999999975</v>
      </c>
      <c r="X537" s="58">
        <v>2.3600746268656674</v>
      </c>
      <c r="Y537" s="58">
        <v>19350</v>
      </c>
      <c r="Z537" s="58">
        <v>12150</v>
      </c>
      <c r="AA537" s="58">
        <v>15139.55</v>
      </c>
      <c r="AE537" s="57"/>
    </row>
    <row r="538" spans="1:31" x14ac:dyDescent="0.35">
      <c r="A538" s="56" t="s">
        <v>603</v>
      </c>
      <c r="B538" s="58">
        <v>14650</v>
      </c>
      <c r="C538" s="58" t="s">
        <v>2071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2775</v>
      </c>
      <c r="M538" s="58">
        <v>9750</v>
      </c>
      <c r="N538" s="58">
        <v>15143.3</v>
      </c>
      <c r="O538" s="58">
        <v>14650</v>
      </c>
      <c r="P538" s="58" t="s">
        <v>2071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1200</v>
      </c>
      <c r="Z538" s="58">
        <v>4875</v>
      </c>
      <c r="AA538" s="58">
        <v>15139.55</v>
      </c>
      <c r="AE538" s="57"/>
    </row>
    <row r="539" spans="1:31" x14ac:dyDescent="0.35">
      <c r="A539" s="56" t="s">
        <v>604</v>
      </c>
      <c r="B539" s="58">
        <v>14700</v>
      </c>
      <c r="C539" s="58" t="s">
        <v>64</v>
      </c>
      <c r="D539" s="58">
        <v>14</v>
      </c>
      <c r="E539" s="58">
        <v>7</v>
      </c>
      <c r="F539" s="58">
        <v>100</v>
      </c>
      <c r="G539" s="58">
        <v>10</v>
      </c>
      <c r="H539" s="58">
        <v>24.4</v>
      </c>
      <c r="I539" s="58">
        <v>153</v>
      </c>
      <c r="J539" s="58">
        <v>-40.5</v>
      </c>
      <c r="K539" s="58">
        <v>-20.930232558139537</v>
      </c>
      <c r="L539" s="58">
        <v>13425</v>
      </c>
      <c r="M539" s="58">
        <v>13125</v>
      </c>
      <c r="N539" s="58">
        <v>15139.55</v>
      </c>
      <c r="O539" s="58">
        <v>14700</v>
      </c>
      <c r="P539" s="58" t="s">
        <v>64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10425</v>
      </c>
      <c r="Z539" s="58">
        <v>6525</v>
      </c>
      <c r="AA539" s="58">
        <v>15143.3</v>
      </c>
      <c r="AE539" s="57"/>
    </row>
    <row r="540" spans="1:31" x14ac:dyDescent="0.35">
      <c r="A540" s="56" t="s">
        <v>605</v>
      </c>
      <c r="B540" s="58">
        <v>14700</v>
      </c>
      <c r="C540" s="58" t="s">
        <v>2073</v>
      </c>
      <c r="D540" s="58">
        <v>0</v>
      </c>
      <c r="E540" s="58">
        <v>0</v>
      </c>
      <c r="F540" s="58">
        <v>0</v>
      </c>
      <c r="G540" s="58">
        <v>0</v>
      </c>
      <c r="H540" s="58">
        <v>0</v>
      </c>
      <c r="I540" s="58">
        <v>0</v>
      </c>
      <c r="J540" s="58">
        <v>0</v>
      </c>
      <c r="K540" s="58">
        <v>0</v>
      </c>
      <c r="L540" s="58">
        <v>2775</v>
      </c>
      <c r="M540" s="58">
        <v>9750</v>
      </c>
      <c r="N540" s="58">
        <v>15143.3</v>
      </c>
      <c r="O540" s="58">
        <v>14700</v>
      </c>
      <c r="P540" s="58" t="s">
        <v>2073</v>
      </c>
      <c r="Q540" s="58">
        <v>0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0</v>
      </c>
      <c r="Z540" s="58">
        <v>4875</v>
      </c>
      <c r="AA540" s="58">
        <v>15139.55</v>
      </c>
      <c r="AE540" s="57"/>
    </row>
    <row r="541" spans="1:31" x14ac:dyDescent="0.35">
      <c r="A541" s="56" t="s">
        <v>606</v>
      </c>
      <c r="B541" s="58">
        <v>14700</v>
      </c>
      <c r="C541" s="58" t="s">
        <v>2074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4875</v>
      </c>
      <c r="N541" s="58">
        <v>15143.3</v>
      </c>
      <c r="O541" s="58">
        <v>14700</v>
      </c>
      <c r="P541" s="58" t="s">
        <v>2074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0</v>
      </c>
      <c r="Z541" s="58">
        <v>4875</v>
      </c>
      <c r="AA541" s="58">
        <v>15143.3</v>
      </c>
      <c r="AE541" s="57"/>
    </row>
    <row r="542" spans="1:31" x14ac:dyDescent="0.35">
      <c r="A542" s="56" t="s">
        <v>607</v>
      </c>
      <c r="B542" s="58">
        <v>14700</v>
      </c>
      <c r="C542" s="58" t="s">
        <v>2068</v>
      </c>
      <c r="D542" s="58">
        <v>310</v>
      </c>
      <c r="E542" s="58">
        <v>45</v>
      </c>
      <c r="F542" s="58">
        <v>16.981132075471699</v>
      </c>
      <c r="G542" s="58">
        <v>226</v>
      </c>
      <c r="H542" s="58">
        <v>23.1</v>
      </c>
      <c r="I542" s="58">
        <v>247.4</v>
      </c>
      <c r="J542" s="58">
        <v>-28.799999999999983</v>
      </c>
      <c r="K542" s="58">
        <v>-10.427226647356983</v>
      </c>
      <c r="L542" s="58">
        <v>9750</v>
      </c>
      <c r="M542" s="58">
        <v>9900</v>
      </c>
      <c r="N542" s="58">
        <v>15143.3</v>
      </c>
      <c r="O542" s="58">
        <v>14700</v>
      </c>
      <c r="P542" s="58" t="s">
        <v>2068</v>
      </c>
      <c r="Q542" s="58">
        <v>83</v>
      </c>
      <c r="R542" s="58">
        <v>-2</v>
      </c>
      <c r="S542" s="58">
        <v>-2.3529411764705883</v>
      </c>
      <c r="T542" s="58">
        <v>4</v>
      </c>
      <c r="U542" s="58">
        <v>18.739999999999998</v>
      </c>
      <c r="V542" s="58">
        <v>804</v>
      </c>
      <c r="W542" s="58">
        <v>6.25</v>
      </c>
      <c r="X542" s="58">
        <v>0.78345346286430584</v>
      </c>
      <c r="Y542" s="58">
        <v>6750</v>
      </c>
      <c r="Z542" s="58">
        <v>14250</v>
      </c>
      <c r="AA542" s="58">
        <v>15143.3</v>
      </c>
      <c r="AE542" s="57"/>
    </row>
    <row r="543" spans="1:31" x14ac:dyDescent="0.35">
      <c r="A543" s="56" t="s">
        <v>608</v>
      </c>
      <c r="B543" s="58">
        <v>14700</v>
      </c>
      <c r="C543" s="58" t="s">
        <v>2076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15139.55</v>
      </c>
      <c r="O543" s="58">
        <v>14700</v>
      </c>
      <c r="P543" s="58" t="s">
        <v>2076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0</v>
      </c>
      <c r="Z543" s="58">
        <v>4875</v>
      </c>
      <c r="AA543" s="58">
        <v>15139.55</v>
      </c>
      <c r="AE543" s="57"/>
    </row>
    <row r="544" spans="1:31" x14ac:dyDescent="0.35">
      <c r="A544" s="56" t="s">
        <v>609</v>
      </c>
      <c r="B544" s="58">
        <v>14700</v>
      </c>
      <c r="C544" s="58" t="s">
        <v>2075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600</v>
      </c>
      <c r="M544" s="58">
        <v>10650</v>
      </c>
      <c r="N544" s="58">
        <v>15143.3</v>
      </c>
      <c r="O544" s="58">
        <v>14700</v>
      </c>
      <c r="P544" s="58" t="s">
        <v>2075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0</v>
      </c>
      <c r="Z544" s="58">
        <v>10650</v>
      </c>
      <c r="AA544" s="58">
        <v>15139.55</v>
      </c>
      <c r="AE544" s="57"/>
    </row>
    <row r="545" spans="1:31" x14ac:dyDescent="0.35">
      <c r="A545" s="56" t="s">
        <v>610</v>
      </c>
      <c r="B545" s="58">
        <v>14700</v>
      </c>
      <c r="C545" s="58" t="s">
        <v>26</v>
      </c>
      <c r="D545" s="58">
        <v>23885</v>
      </c>
      <c r="E545" s="58">
        <v>480</v>
      </c>
      <c r="F545" s="58">
        <v>2.0508438367870112</v>
      </c>
      <c r="G545" s="58">
        <v>6135</v>
      </c>
      <c r="H545" s="58">
        <v>24.87</v>
      </c>
      <c r="I545" s="58">
        <v>113.15</v>
      </c>
      <c r="J545" s="58">
        <v>-25.549999999999983</v>
      </c>
      <c r="K545" s="58">
        <v>-18.421052631578934</v>
      </c>
      <c r="L545" s="58">
        <v>57825</v>
      </c>
      <c r="M545" s="58">
        <v>62400</v>
      </c>
      <c r="N545" s="58">
        <v>15143.3</v>
      </c>
      <c r="O545" s="58">
        <v>14700</v>
      </c>
      <c r="P545" s="58" t="s">
        <v>26</v>
      </c>
      <c r="Q545" s="58">
        <v>3907</v>
      </c>
      <c r="R545" s="58">
        <v>-23</v>
      </c>
      <c r="S545" s="58">
        <v>-0.58524173027989823</v>
      </c>
      <c r="T545" s="58">
        <v>196</v>
      </c>
      <c r="U545" s="58">
        <v>21.84</v>
      </c>
      <c r="V545" s="58">
        <v>576</v>
      </c>
      <c r="W545" s="58">
        <v>6.4500000000000455</v>
      </c>
      <c r="X545" s="58">
        <v>1.1324730050039584</v>
      </c>
      <c r="Y545" s="58">
        <v>41250</v>
      </c>
      <c r="Z545" s="58">
        <v>28875</v>
      </c>
      <c r="AA545" s="58">
        <v>15139.55</v>
      </c>
      <c r="AE545" s="57"/>
    </row>
    <row r="546" spans="1:31" x14ac:dyDescent="0.35">
      <c r="A546" s="56" t="s">
        <v>611</v>
      </c>
      <c r="B546" s="58">
        <v>14700</v>
      </c>
      <c r="C546" s="58" t="s">
        <v>2071</v>
      </c>
      <c r="D546" s="58">
        <v>0</v>
      </c>
      <c r="E546" s="58">
        <v>0</v>
      </c>
      <c r="F546" s="58">
        <v>0</v>
      </c>
      <c r="G546" s="58">
        <v>0</v>
      </c>
      <c r="H546" s="58">
        <v>0</v>
      </c>
      <c r="I546" s="58">
        <v>0</v>
      </c>
      <c r="J546" s="58">
        <v>0</v>
      </c>
      <c r="K546" s="58">
        <v>0</v>
      </c>
      <c r="L546" s="58">
        <v>2925</v>
      </c>
      <c r="M546" s="58">
        <v>10350</v>
      </c>
      <c r="N546" s="58">
        <v>15139.55</v>
      </c>
      <c r="O546" s="58">
        <v>14700</v>
      </c>
      <c r="P546" s="58" t="s">
        <v>2071</v>
      </c>
      <c r="Q546" s="58">
        <v>0</v>
      </c>
      <c r="R546" s="58">
        <v>0</v>
      </c>
      <c r="S546" s="58">
        <v>0</v>
      </c>
      <c r="T546" s="58">
        <v>0</v>
      </c>
      <c r="U546" s="58">
        <v>0</v>
      </c>
      <c r="V546" s="58">
        <v>0</v>
      </c>
      <c r="W546" s="58">
        <v>0</v>
      </c>
      <c r="X546" s="58">
        <v>0</v>
      </c>
      <c r="Y546" s="58">
        <v>4050</v>
      </c>
      <c r="Z546" s="58">
        <v>4875</v>
      </c>
      <c r="AA546" s="58">
        <v>15139.55</v>
      </c>
      <c r="AE546" s="57"/>
    </row>
    <row r="547" spans="1:31" x14ac:dyDescent="0.35">
      <c r="A547" s="56" t="s">
        <v>612</v>
      </c>
      <c r="B547" s="58">
        <v>14700</v>
      </c>
      <c r="C547" s="58" t="s">
        <v>33</v>
      </c>
      <c r="D547" s="58">
        <v>32049</v>
      </c>
      <c r="E547" s="58">
        <v>6923</v>
      </c>
      <c r="F547" s="58">
        <v>27.553132213643241</v>
      </c>
      <c r="G547" s="58">
        <v>102045</v>
      </c>
      <c r="H547" s="58">
        <v>24.5</v>
      </c>
      <c r="I547" s="58">
        <v>0.7</v>
      </c>
      <c r="J547" s="58">
        <v>-3.5</v>
      </c>
      <c r="K547" s="58">
        <v>-83.333333333333329</v>
      </c>
      <c r="L547" s="58">
        <v>2226000</v>
      </c>
      <c r="M547" s="58">
        <v>353400</v>
      </c>
      <c r="N547" s="58">
        <v>15143.3</v>
      </c>
      <c r="O547" s="58">
        <v>14700</v>
      </c>
      <c r="P547" s="58" t="s">
        <v>33</v>
      </c>
      <c r="Q547" s="58">
        <v>1214</v>
      </c>
      <c r="R547" s="58">
        <v>-6</v>
      </c>
      <c r="S547" s="58">
        <v>-0.49180327868852458</v>
      </c>
      <c r="T547" s="58">
        <v>682</v>
      </c>
      <c r="U547" s="58">
        <v>34.369999999999997</v>
      </c>
      <c r="V547" s="58">
        <v>445.05</v>
      </c>
      <c r="W547" s="58">
        <v>42.100000000000023</v>
      </c>
      <c r="X547" s="58">
        <v>10.447946395334414</v>
      </c>
      <c r="Y547" s="58">
        <v>110700</v>
      </c>
      <c r="Z547" s="58">
        <v>38475</v>
      </c>
      <c r="AA547" s="58">
        <v>15143.3</v>
      </c>
      <c r="AE547" s="57"/>
    </row>
    <row r="548" spans="1:31" x14ac:dyDescent="0.35">
      <c r="A548" s="56" t="s">
        <v>613</v>
      </c>
      <c r="B548" s="58">
        <v>14700</v>
      </c>
      <c r="C548" s="58" t="s">
        <v>34</v>
      </c>
      <c r="D548" s="58">
        <v>6033</v>
      </c>
      <c r="E548" s="58">
        <v>560</v>
      </c>
      <c r="F548" s="58">
        <v>10.23204823679883</v>
      </c>
      <c r="G548" s="58">
        <v>14968</v>
      </c>
      <c r="H548" s="58">
        <v>22.69</v>
      </c>
      <c r="I548" s="58">
        <v>46.85</v>
      </c>
      <c r="J548" s="58">
        <v>-15.9</v>
      </c>
      <c r="K548" s="58">
        <v>-25.338645418326688</v>
      </c>
      <c r="L548" s="58">
        <v>63000</v>
      </c>
      <c r="M548" s="58">
        <v>89925</v>
      </c>
      <c r="N548" s="58">
        <v>15143.3</v>
      </c>
      <c r="O548" s="58">
        <v>14700</v>
      </c>
      <c r="P548" s="58" t="s">
        <v>34</v>
      </c>
      <c r="Q548" s="58">
        <v>356</v>
      </c>
      <c r="R548" s="58">
        <v>62</v>
      </c>
      <c r="S548" s="58">
        <v>21.088435374149661</v>
      </c>
      <c r="T548" s="58">
        <v>167</v>
      </c>
      <c r="U548" s="58">
        <v>19.420000000000002</v>
      </c>
      <c r="V548" s="58">
        <v>499</v>
      </c>
      <c r="W548" s="58">
        <v>11.100000000000025</v>
      </c>
      <c r="X548" s="58">
        <v>2.2750563640090227</v>
      </c>
      <c r="Y548" s="58">
        <v>17025</v>
      </c>
      <c r="Z548" s="58">
        <v>9075</v>
      </c>
      <c r="AA548" s="58">
        <v>15143.3</v>
      </c>
      <c r="AE548" s="57"/>
    </row>
    <row r="549" spans="1:31" x14ac:dyDescent="0.35">
      <c r="A549" s="56" t="s">
        <v>614</v>
      </c>
      <c r="B549" s="58">
        <v>14750</v>
      </c>
      <c r="C549" s="58" t="s">
        <v>64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6075</v>
      </c>
      <c r="M549" s="58">
        <v>11550</v>
      </c>
      <c r="N549" s="58">
        <v>15139.55</v>
      </c>
      <c r="O549" s="58">
        <v>14750</v>
      </c>
      <c r="P549" s="58" t="s">
        <v>64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4650</v>
      </c>
      <c r="Z549" s="58">
        <v>5700</v>
      </c>
      <c r="AA549" s="58">
        <v>15139.55</v>
      </c>
      <c r="AE549" s="57"/>
    </row>
    <row r="550" spans="1:31" x14ac:dyDescent="0.35">
      <c r="A550" s="56" t="s">
        <v>615</v>
      </c>
      <c r="B550" s="58">
        <v>14750</v>
      </c>
      <c r="C550" s="58" t="s">
        <v>2071</v>
      </c>
      <c r="D550" s="58">
        <v>0</v>
      </c>
      <c r="E550" s="58">
        <v>0</v>
      </c>
      <c r="F550" s="58">
        <v>0</v>
      </c>
      <c r="G550" s="58">
        <v>0</v>
      </c>
      <c r="H550" s="58">
        <v>0</v>
      </c>
      <c r="I550" s="58">
        <v>0</v>
      </c>
      <c r="J550" s="58">
        <v>0</v>
      </c>
      <c r="K550" s="58">
        <v>0</v>
      </c>
      <c r="L550" s="58">
        <v>2775</v>
      </c>
      <c r="M550" s="58">
        <v>9750</v>
      </c>
      <c r="N550" s="58">
        <v>15139.55</v>
      </c>
      <c r="O550" s="58">
        <v>14750</v>
      </c>
      <c r="P550" s="58" t="s">
        <v>2071</v>
      </c>
      <c r="Q550" s="58">
        <v>0</v>
      </c>
      <c r="R550" s="58">
        <v>0</v>
      </c>
      <c r="S550" s="58">
        <v>0</v>
      </c>
      <c r="T550" s="58">
        <v>0</v>
      </c>
      <c r="U550" s="58">
        <v>0</v>
      </c>
      <c r="V550" s="58">
        <v>0</v>
      </c>
      <c r="W550" s="58">
        <v>0</v>
      </c>
      <c r="X550" s="58">
        <v>0</v>
      </c>
      <c r="Y550" s="58">
        <v>4050</v>
      </c>
      <c r="Z550" s="58">
        <v>4875</v>
      </c>
      <c r="AA550" s="58">
        <v>15143.3</v>
      </c>
      <c r="AE550" s="57"/>
    </row>
    <row r="551" spans="1:31" x14ac:dyDescent="0.35">
      <c r="A551" s="56" t="s">
        <v>616</v>
      </c>
      <c r="B551" s="58">
        <v>14750</v>
      </c>
      <c r="C551" s="58" t="s">
        <v>2073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2775</v>
      </c>
      <c r="M551" s="58">
        <v>9750</v>
      </c>
      <c r="N551" s="58">
        <v>15139.55</v>
      </c>
      <c r="O551" s="58">
        <v>14750</v>
      </c>
      <c r="P551" s="58" t="s">
        <v>2073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0</v>
      </c>
      <c r="Z551" s="58">
        <v>4875</v>
      </c>
      <c r="AA551" s="58">
        <v>15143.3</v>
      </c>
      <c r="AE551" s="57"/>
    </row>
    <row r="552" spans="1:31" x14ac:dyDescent="0.35">
      <c r="A552" s="56" t="s">
        <v>617</v>
      </c>
      <c r="B552" s="58">
        <v>14750</v>
      </c>
      <c r="C552" s="58" t="s">
        <v>2074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4875</v>
      </c>
      <c r="N552" s="58">
        <v>15143.3</v>
      </c>
      <c r="O552" s="58">
        <v>14750</v>
      </c>
      <c r="P552" s="58" t="s">
        <v>2074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0</v>
      </c>
      <c r="Z552" s="58">
        <v>4875</v>
      </c>
      <c r="AA552" s="58">
        <v>15143.3</v>
      </c>
      <c r="AE552" s="57"/>
    </row>
    <row r="553" spans="1:31" x14ac:dyDescent="0.35">
      <c r="A553" s="56" t="s">
        <v>618</v>
      </c>
      <c r="B553" s="58">
        <v>14750</v>
      </c>
      <c r="C553" s="58" t="s">
        <v>2068</v>
      </c>
      <c r="D553" s="58">
        <v>25</v>
      </c>
      <c r="E553" s="58">
        <v>-2</v>
      </c>
      <c r="F553" s="58">
        <v>-7.4074074074074074</v>
      </c>
      <c r="G553" s="58">
        <v>6</v>
      </c>
      <c r="H553" s="58">
        <v>22.67</v>
      </c>
      <c r="I553" s="58">
        <v>257.5</v>
      </c>
      <c r="J553" s="58">
        <v>-42.75</v>
      </c>
      <c r="K553" s="58">
        <v>-14.238134887593674</v>
      </c>
      <c r="L553" s="58">
        <v>5325</v>
      </c>
      <c r="M553" s="58">
        <v>4950</v>
      </c>
      <c r="N553" s="58">
        <v>15139.55</v>
      </c>
      <c r="O553" s="58">
        <v>14750</v>
      </c>
      <c r="P553" s="58" t="s">
        <v>2068</v>
      </c>
      <c r="Q553" s="58">
        <v>4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3375</v>
      </c>
      <c r="Z553" s="58">
        <v>13275</v>
      </c>
      <c r="AA553" s="58">
        <v>15143.3</v>
      </c>
      <c r="AE553" s="57"/>
    </row>
    <row r="554" spans="1:31" x14ac:dyDescent="0.35">
      <c r="A554" s="56" t="s">
        <v>619</v>
      </c>
      <c r="B554" s="58">
        <v>14750</v>
      </c>
      <c r="C554" s="58" t="s">
        <v>33</v>
      </c>
      <c r="D554" s="58">
        <v>10902</v>
      </c>
      <c r="E554" s="58">
        <v>-4059</v>
      </c>
      <c r="F554" s="58">
        <v>-27.13053940244636</v>
      </c>
      <c r="G554" s="58">
        <v>51587</v>
      </c>
      <c r="H554" s="58">
        <v>22.96</v>
      </c>
      <c r="I554" s="58">
        <v>0.85</v>
      </c>
      <c r="J554" s="58">
        <v>-4.8000000000000007</v>
      </c>
      <c r="K554" s="58">
        <v>-84.955752212389385</v>
      </c>
      <c r="L554" s="58">
        <v>1250625</v>
      </c>
      <c r="M554" s="58">
        <v>201975</v>
      </c>
      <c r="N554" s="58">
        <v>15139.55</v>
      </c>
      <c r="O554" s="58">
        <v>14750</v>
      </c>
      <c r="P554" s="58" t="s">
        <v>33</v>
      </c>
      <c r="Q554" s="58">
        <v>309</v>
      </c>
      <c r="R554" s="58">
        <v>-8</v>
      </c>
      <c r="S554" s="58">
        <v>-2.5236593059936907</v>
      </c>
      <c r="T554" s="58">
        <v>77</v>
      </c>
      <c r="U554" s="58">
        <v>23.63</v>
      </c>
      <c r="V554" s="58">
        <v>390.85</v>
      </c>
      <c r="W554" s="58">
        <v>41.650000000000034</v>
      </c>
      <c r="X554" s="58">
        <v>11.927262313860265</v>
      </c>
      <c r="Y554" s="58">
        <v>111825</v>
      </c>
      <c r="Z554" s="58">
        <v>23925</v>
      </c>
      <c r="AA554" s="58">
        <v>15139.55</v>
      </c>
      <c r="AE554" s="57"/>
    </row>
    <row r="555" spans="1:31" x14ac:dyDescent="0.35">
      <c r="A555" s="56" t="s">
        <v>620</v>
      </c>
      <c r="B555" s="58">
        <v>14750</v>
      </c>
      <c r="C555" s="58" t="s">
        <v>2075</v>
      </c>
      <c r="D555" s="58">
        <v>0</v>
      </c>
      <c r="E555" s="58">
        <v>0</v>
      </c>
      <c r="F555" s="58">
        <v>0</v>
      </c>
      <c r="G555" s="58">
        <v>0</v>
      </c>
      <c r="H555" s="58">
        <v>0</v>
      </c>
      <c r="I555" s="58">
        <v>0</v>
      </c>
      <c r="J555" s="58">
        <v>0</v>
      </c>
      <c r="K555" s="58">
        <v>0</v>
      </c>
      <c r="L555" s="58">
        <v>0</v>
      </c>
      <c r="M555" s="58">
        <v>4875</v>
      </c>
      <c r="N555" s="58">
        <v>15139.55</v>
      </c>
      <c r="O555" s="58">
        <v>14750</v>
      </c>
      <c r="P555" s="58" t="s">
        <v>2075</v>
      </c>
      <c r="Q555" s="58">
        <v>0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0</v>
      </c>
      <c r="Z555" s="58">
        <v>4875</v>
      </c>
      <c r="AA555" s="58">
        <v>15143.3</v>
      </c>
      <c r="AE555" s="57"/>
    </row>
    <row r="556" spans="1:31" x14ac:dyDescent="0.35">
      <c r="A556" s="56" t="s">
        <v>621</v>
      </c>
      <c r="B556" s="58">
        <v>14750</v>
      </c>
      <c r="C556" s="58" t="s">
        <v>34</v>
      </c>
      <c r="D556" s="58">
        <v>552</v>
      </c>
      <c r="E556" s="58">
        <v>11</v>
      </c>
      <c r="F556" s="58">
        <v>2.033271719038817</v>
      </c>
      <c r="G556" s="58">
        <v>1403</v>
      </c>
      <c r="H556" s="58">
        <v>22.46</v>
      </c>
      <c r="I556" s="58">
        <v>54.55</v>
      </c>
      <c r="J556" s="58">
        <v>-19.700000000000003</v>
      </c>
      <c r="K556" s="58">
        <v>-26.531986531986533</v>
      </c>
      <c r="L556" s="58">
        <v>30600</v>
      </c>
      <c r="M556" s="58">
        <v>33300</v>
      </c>
      <c r="N556" s="58">
        <v>15139.55</v>
      </c>
      <c r="O556" s="58">
        <v>14750</v>
      </c>
      <c r="P556" s="58" t="s">
        <v>34</v>
      </c>
      <c r="Q556" s="58">
        <v>27</v>
      </c>
      <c r="R556" s="58">
        <v>0</v>
      </c>
      <c r="S556" s="58">
        <v>0</v>
      </c>
      <c r="T556" s="58">
        <v>11</v>
      </c>
      <c r="U556" s="58">
        <v>20.02</v>
      </c>
      <c r="V556" s="58">
        <v>459.15</v>
      </c>
      <c r="W556" s="58">
        <v>10.299999999999956</v>
      </c>
      <c r="X556" s="58">
        <v>2.2947532583268249</v>
      </c>
      <c r="Y556" s="58">
        <v>19125</v>
      </c>
      <c r="Z556" s="58">
        <v>13125</v>
      </c>
      <c r="AA556" s="58">
        <v>15143.3</v>
      </c>
      <c r="AE556" s="57"/>
    </row>
    <row r="557" spans="1:31" x14ac:dyDescent="0.35">
      <c r="A557" s="56" t="s">
        <v>622</v>
      </c>
      <c r="B557" s="58">
        <v>14750</v>
      </c>
      <c r="C557" s="58" t="s">
        <v>26</v>
      </c>
      <c r="D557" s="58">
        <v>839</v>
      </c>
      <c r="E557" s="58">
        <v>231</v>
      </c>
      <c r="F557" s="58">
        <v>37.993421052631582</v>
      </c>
      <c r="G557" s="58">
        <v>1013</v>
      </c>
      <c r="H557" s="58">
        <v>24.47</v>
      </c>
      <c r="I557" s="58">
        <v>124.3</v>
      </c>
      <c r="J557" s="58">
        <v>-26.649999999999991</v>
      </c>
      <c r="K557" s="58">
        <v>-17.654852600198737</v>
      </c>
      <c r="L557" s="58">
        <v>27900</v>
      </c>
      <c r="M557" s="58">
        <v>29625</v>
      </c>
      <c r="N557" s="58">
        <v>15139.55</v>
      </c>
      <c r="O557" s="58">
        <v>14750</v>
      </c>
      <c r="P557" s="58" t="s">
        <v>26</v>
      </c>
      <c r="Q557" s="58">
        <v>225</v>
      </c>
      <c r="R557" s="58">
        <v>-2</v>
      </c>
      <c r="S557" s="58">
        <v>-0.88105726872246692</v>
      </c>
      <c r="T557" s="58">
        <v>40</v>
      </c>
      <c r="U557" s="58">
        <v>21.65</v>
      </c>
      <c r="V557" s="58">
        <v>542.54999999999995</v>
      </c>
      <c r="W557" s="58">
        <v>4.5999999999999091</v>
      </c>
      <c r="X557" s="58">
        <v>0.85509805744026557</v>
      </c>
      <c r="Y557" s="58">
        <v>27075</v>
      </c>
      <c r="Z557" s="58">
        <v>20775</v>
      </c>
      <c r="AA557" s="58">
        <v>15143.3</v>
      </c>
      <c r="AE557" s="57"/>
    </row>
    <row r="558" spans="1:31" x14ac:dyDescent="0.35">
      <c r="A558" s="56" t="s">
        <v>623</v>
      </c>
      <c r="B558" s="58">
        <v>14750</v>
      </c>
      <c r="C558" s="58" t="s">
        <v>2076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4875</v>
      </c>
      <c r="N558" s="58">
        <v>15139.55</v>
      </c>
      <c r="O558" s="58">
        <v>14750</v>
      </c>
      <c r="P558" s="58" t="s">
        <v>2076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0</v>
      </c>
      <c r="Z558" s="58">
        <v>4875</v>
      </c>
      <c r="AA558" s="58">
        <v>15139.55</v>
      </c>
      <c r="AE558" s="57"/>
    </row>
    <row r="559" spans="1:31" x14ac:dyDescent="0.35">
      <c r="A559" s="56" t="s">
        <v>624</v>
      </c>
      <c r="B559" s="58">
        <v>14800</v>
      </c>
      <c r="C559" s="58" t="s">
        <v>26</v>
      </c>
      <c r="D559" s="58">
        <v>22351</v>
      </c>
      <c r="E559" s="58">
        <v>25</v>
      </c>
      <c r="F559" s="58">
        <v>0.1119770670966586</v>
      </c>
      <c r="G559" s="58">
        <v>7997</v>
      </c>
      <c r="H559" s="58">
        <v>24.39</v>
      </c>
      <c r="I559" s="58">
        <v>135.85</v>
      </c>
      <c r="J559" s="58">
        <v>-28.400000000000009</v>
      </c>
      <c r="K559" s="58">
        <v>-17.290715372907155</v>
      </c>
      <c r="L559" s="58">
        <v>66075</v>
      </c>
      <c r="M559" s="58">
        <v>58350</v>
      </c>
      <c r="N559" s="58">
        <v>15139.55</v>
      </c>
      <c r="O559" s="58">
        <v>14800</v>
      </c>
      <c r="P559" s="58" t="s">
        <v>26</v>
      </c>
      <c r="Q559" s="58">
        <v>5205</v>
      </c>
      <c r="R559" s="58">
        <v>-11</v>
      </c>
      <c r="S559" s="58">
        <v>-0.21088957055214724</v>
      </c>
      <c r="T559" s="58">
        <v>1019</v>
      </c>
      <c r="U559" s="58">
        <v>21.02</v>
      </c>
      <c r="V559" s="58">
        <v>503</v>
      </c>
      <c r="W559" s="58">
        <v>9.9499999999999886</v>
      </c>
      <c r="X559" s="58">
        <v>2.0180509076158581</v>
      </c>
      <c r="Y559" s="58">
        <v>45825</v>
      </c>
      <c r="Z559" s="58">
        <v>39225</v>
      </c>
      <c r="AA559" s="58">
        <v>15139.55</v>
      </c>
      <c r="AE559" s="57"/>
    </row>
    <row r="560" spans="1:31" x14ac:dyDescent="0.35">
      <c r="A560" s="56" t="s">
        <v>625</v>
      </c>
      <c r="B560" s="58">
        <v>14800</v>
      </c>
      <c r="C560" s="58" t="s">
        <v>2071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2925</v>
      </c>
      <c r="M560" s="58">
        <v>10275</v>
      </c>
      <c r="N560" s="58">
        <v>15139.55</v>
      </c>
      <c r="O560" s="58">
        <v>14800</v>
      </c>
      <c r="P560" s="58" t="s">
        <v>2071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4050</v>
      </c>
      <c r="Z560" s="58">
        <v>4875</v>
      </c>
      <c r="AA560" s="58">
        <v>15139.55</v>
      </c>
      <c r="AE560" s="57"/>
    </row>
    <row r="561" spans="1:31" x14ac:dyDescent="0.35">
      <c r="A561" s="56" t="s">
        <v>626</v>
      </c>
      <c r="B561" s="58">
        <v>14800</v>
      </c>
      <c r="C561" s="58" t="s">
        <v>2073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2775</v>
      </c>
      <c r="M561" s="58">
        <v>9750</v>
      </c>
      <c r="N561" s="58">
        <v>15139.55</v>
      </c>
      <c r="O561" s="58">
        <v>14800</v>
      </c>
      <c r="P561" s="58" t="s">
        <v>2073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0</v>
      </c>
      <c r="Z561" s="58">
        <v>4875</v>
      </c>
      <c r="AA561" s="58">
        <v>15143.3</v>
      </c>
      <c r="AE561" s="57"/>
    </row>
    <row r="562" spans="1:31" x14ac:dyDescent="0.35">
      <c r="A562" s="56" t="s">
        <v>627</v>
      </c>
      <c r="B562" s="58">
        <v>14800</v>
      </c>
      <c r="C562" s="58" t="s">
        <v>2074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0</v>
      </c>
      <c r="N562" s="58">
        <v>15139.55</v>
      </c>
      <c r="O562" s="58">
        <v>14800</v>
      </c>
      <c r="P562" s="58" t="s">
        <v>2074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0</v>
      </c>
      <c r="Z562" s="58">
        <v>4875</v>
      </c>
      <c r="AA562" s="58">
        <v>15139.55</v>
      </c>
      <c r="AE562" s="57"/>
    </row>
    <row r="563" spans="1:31" x14ac:dyDescent="0.35">
      <c r="A563" s="56" t="s">
        <v>628</v>
      </c>
      <c r="B563" s="58">
        <v>14800</v>
      </c>
      <c r="C563" s="58" t="s">
        <v>64</v>
      </c>
      <c r="D563" s="58">
        <v>2005</v>
      </c>
      <c r="E563" s="58">
        <v>14</v>
      </c>
      <c r="F563" s="58">
        <v>0.70316423907584125</v>
      </c>
      <c r="G563" s="58">
        <v>37</v>
      </c>
      <c r="H563" s="58">
        <v>24.12</v>
      </c>
      <c r="I563" s="58">
        <v>181</v>
      </c>
      <c r="J563" s="58">
        <v>-42.25</v>
      </c>
      <c r="K563" s="58">
        <v>-18.924972004479283</v>
      </c>
      <c r="L563" s="58">
        <v>11775</v>
      </c>
      <c r="M563" s="58">
        <v>13800</v>
      </c>
      <c r="N563" s="58">
        <v>15139.55</v>
      </c>
      <c r="O563" s="58">
        <v>14800</v>
      </c>
      <c r="P563" s="58" t="s">
        <v>64</v>
      </c>
      <c r="Q563" s="58">
        <v>1987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5850</v>
      </c>
      <c r="Z563" s="58">
        <v>6450</v>
      </c>
      <c r="AA563" s="58">
        <v>15139.55</v>
      </c>
      <c r="AE563" s="57"/>
    </row>
    <row r="564" spans="1:31" x14ac:dyDescent="0.35">
      <c r="A564" s="56" t="s">
        <v>629</v>
      </c>
      <c r="B564" s="58">
        <v>14800</v>
      </c>
      <c r="C564" s="58" t="s">
        <v>2076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4875</v>
      </c>
      <c r="N564" s="58">
        <v>15139.55</v>
      </c>
      <c r="O564" s="58">
        <v>14800</v>
      </c>
      <c r="P564" s="58" t="s">
        <v>2076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0</v>
      </c>
      <c r="Z564" s="58">
        <v>4875</v>
      </c>
      <c r="AA564" s="58">
        <v>15139.55</v>
      </c>
      <c r="AE564" s="57"/>
    </row>
    <row r="565" spans="1:31" x14ac:dyDescent="0.35">
      <c r="A565" s="56" t="s">
        <v>630</v>
      </c>
      <c r="B565" s="58">
        <v>14800</v>
      </c>
      <c r="C565" s="58" t="s">
        <v>2075</v>
      </c>
      <c r="D565" s="58">
        <v>2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1725</v>
      </c>
      <c r="M565" s="58">
        <v>13050</v>
      </c>
      <c r="N565" s="58">
        <v>15139.55</v>
      </c>
      <c r="O565" s="58">
        <v>14800</v>
      </c>
      <c r="P565" s="58" t="s">
        <v>2075</v>
      </c>
      <c r="Q565" s="58">
        <v>9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0</v>
      </c>
      <c r="Z565" s="58">
        <v>10650</v>
      </c>
      <c r="AA565" s="58">
        <v>15143.3</v>
      </c>
      <c r="AE565" s="57"/>
    </row>
    <row r="566" spans="1:31" x14ac:dyDescent="0.35">
      <c r="A566" s="56" t="s">
        <v>631</v>
      </c>
      <c r="B566" s="58">
        <v>14800</v>
      </c>
      <c r="C566" s="58" t="s">
        <v>34</v>
      </c>
      <c r="D566" s="58">
        <v>6140</v>
      </c>
      <c r="E566" s="58">
        <v>2185</v>
      </c>
      <c r="F566" s="58">
        <v>55.246523388116309</v>
      </c>
      <c r="G566" s="58">
        <v>17455</v>
      </c>
      <c r="H566" s="58">
        <v>22.39</v>
      </c>
      <c r="I566" s="58">
        <v>64.150000000000006</v>
      </c>
      <c r="J566" s="58">
        <v>-22.099999999999991</v>
      </c>
      <c r="K566" s="58">
        <v>-25.623188405797094</v>
      </c>
      <c r="L566" s="58">
        <v>86250</v>
      </c>
      <c r="M566" s="58">
        <v>63225</v>
      </c>
      <c r="N566" s="58">
        <v>15139.55</v>
      </c>
      <c r="O566" s="58">
        <v>14800</v>
      </c>
      <c r="P566" s="58" t="s">
        <v>34</v>
      </c>
      <c r="Q566" s="58">
        <v>464</v>
      </c>
      <c r="R566" s="58">
        <v>177</v>
      </c>
      <c r="S566" s="58">
        <v>61.672473867595819</v>
      </c>
      <c r="T566" s="58">
        <v>544</v>
      </c>
      <c r="U566" s="58">
        <v>18.98</v>
      </c>
      <c r="V566" s="58">
        <v>415</v>
      </c>
      <c r="W566" s="58">
        <v>10.850000000000025</v>
      </c>
      <c r="X566" s="58">
        <v>2.6846467895583381</v>
      </c>
      <c r="Y566" s="58">
        <v>20850</v>
      </c>
      <c r="Z566" s="58">
        <v>13575</v>
      </c>
      <c r="AA566" s="58">
        <v>15143.3</v>
      </c>
      <c r="AE566" s="57"/>
    </row>
    <row r="567" spans="1:31" x14ac:dyDescent="0.35">
      <c r="A567" s="56" t="s">
        <v>632</v>
      </c>
      <c r="B567" s="58">
        <v>14800</v>
      </c>
      <c r="C567" s="58" t="s">
        <v>33</v>
      </c>
      <c r="D567" s="58">
        <v>45484</v>
      </c>
      <c r="E567" s="58">
        <v>13255</v>
      </c>
      <c r="F567" s="58">
        <v>41.127555927891031</v>
      </c>
      <c r="G567" s="58">
        <v>203914</v>
      </c>
      <c r="H567" s="58">
        <v>21.1</v>
      </c>
      <c r="I567" s="58">
        <v>1.1000000000000001</v>
      </c>
      <c r="J567" s="58">
        <v>-7.4500000000000011</v>
      </c>
      <c r="K567" s="58">
        <v>-87.134502923976612</v>
      </c>
      <c r="L567" s="58">
        <v>3640575</v>
      </c>
      <c r="M567" s="58">
        <v>596250</v>
      </c>
      <c r="N567" s="58">
        <v>15139.55</v>
      </c>
      <c r="O567" s="58">
        <v>14800</v>
      </c>
      <c r="P567" s="58" t="s">
        <v>33</v>
      </c>
      <c r="Q567" s="58">
        <v>2153</v>
      </c>
      <c r="R567" s="58">
        <v>-211</v>
      </c>
      <c r="S567" s="58">
        <v>-8.9255499153976317</v>
      </c>
      <c r="T567" s="58">
        <v>2839</v>
      </c>
      <c r="U567" s="58">
        <v>27.2</v>
      </c>
      <c r="V567" s="58">
        <v>344.75</v>
      </c>
      <c r="W567" s="58">
        <v>45</v>
      </c>
      <c r="X567" s="58">
        <v>15.012510425354462</v>
      </c>
      <c r="Y567" s="58">
        <v>135825</v>
      </c>
      <c r="Z567" s="58">
        <v>50475</v>
      </c>
      <c r="AA567" s="58">
        <v>15139.55</v>
      </c>
      <c r="AE567" s="57"/>
    </row>
    <row r="568" spans="1:31" x14ac:dyDescent="0.35">
      <c r="A568" s="56" t="s">
        <v>633</v>
      </c>
      <c r="B568" s="58">
        <v>14800</v>
      </c>
      <c r="C568" s="58" t="s">
        <v>2068</v>
      </c>
      <c r="D568" s="58">
        <v>908</v>
      </c>
      <c r="E568" s="58">
        <v>321</v>
      </c>
      <c r="F568" s="58">
        <v>54.684838160136287</v>
      </c>
      <c r="G568" s="58">
        <v>532</v>
      </c>
      <c r="H568" s="58">
        <v>22.84</v>
      </c>
      <c r="I568" s="58">
        <v>278</v>
      </c>
      <c r="J568" s="58">
        <v>-31.600000000000023</v>
      </c>
      <c r="K568" s="58">
        <v>-10.206718346253236</v>
      </c>
      <c r="L568" s="58">
        <v>10500</v>
      </c>
      <c r="M568" s="58">
        <v>10425</v>
      </c>
      <c r="N568" s="58">
        <v>15139.55</v>
      </c>
      <c r="O568" s="58">
        <v>14800</v>
      </c>
      <c r="P568" s="58" t="s">
        <v>2068</v>
      </c>
      <c r="Q568" s="58">
        <v>243</v>
      </c>
      <c r="R568" s="58">
        <v>-7</v>
      </c>
      <c r="S568" s="58">
        <v>-2.8</v>
      </c>
      <c r="T568" s="58">
        <v>32</v>
      </c>
      <c r="U568" s="58">
        <v>17.87</v>
      </c>
      <c r="V568" s="58">
        <v>705</v>
      </c>
      <c r="W568" s="58">
        <v>-13.799999999999956</v>
      </c>
      <c r="X568" s="58">
        <v>-1.9198664440734496</v>
      </c>
      <c r="Y568" s="58">
        <v>7125</v>
      </c>
      <c r="Z568" s="58">
        <v>11175</v>
      </c>
      <c r="AA568" s="58">
        <v>15143.3</v>
      </c>
      <c r="AE568" s="57"/>
    </row>
    <row r="569" spans="1:31" x14ac:dyDescent="0.35">
      <c r="A569" s="56" t="s">
        <v>634</v>
      </c>
      <c r="B569" s="58">
        <v>14850</v>
      </c>
      <c r="C569" s="58" t="s">
        <v>26</v>
      </c>
      <c r="D569" s="58">
        <v>695</v>
      </c>
      <c r="E569" s="58">
        <v>10</v>
      </c>
      <c r="F569" s="58">
        <v>1.4598540145985399</v>
      </c>
      <c r="G569" s="58">
        <v>522</v>
      </c>
      <c r="H569" s="58">
        <v>24.07</v>
      </c>
      <c r="I569" s="58">
        <v>149.30000000000001</v>
      </c>
      <c r="J569" s="58">
        <v>-31.549999999999983</v>
      </c>
      <c r="K569" s="58">
        <v>-17.44539673762786</v>
      </c>
      <c r="L569" s="58">
        <v>29025</v>
      </c>
      <c r="M569" s="58">
        <v>27300</v>
      </c>
      <c r="N569" s="58">
        <v>15143.3</v>
      </c>
      <c r="O569" s="58">
        <v>14850</v>
      </c>
      <c r="P569" s="58" t="s">
        <v>26</v>
      </c>
      <c r="Q569" s="58">
        <v>281</v>
      </c>
      <c r="R569" s="58">
        <v>5</v>
      </c>
      <c r="S569" s="58">
        <v>1.8115942028985508</v>
      </c>
      <c r="T569" s="58">
        <v>218</v>
      </c>
      <c r="U569" s="58">
        <v>21.47</v>
      </c>
      <c r="V569" s="58">
        <v>466.2</v>
      </c>
      <c r="W569" s="58">
        <v>5.3999999999999773</v>
      </c>
      <c r="X569" s="58">
        <v>1.1718749999999949</v>
      </c>
      <c r="Y569" s="58">
        <v>30075</v>
      </c>
      <c r="Z569" s="58">
        <v>19350</v>
      </c>
      <c r="AA569" s="58">
        <v>15139.55</v>
      </c>
      <c r="AE569" s="57"/>
    </row>
    <row r="570" spans="1:31" x14ac:dyDescent="0.35">
      <c r="A570" s="56" t="s">
        <v>635</v>
      </c>
      <c r="B570" s="58">
        <v>14850</v>
      </c>
      <c r="C570" s="58" t="s">
        <v>64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6300</v>
      </c>
      <c r="M570" s="58">
        <v>12000</v>
      </c>
      <c r="N570" s="58">
        <v>15143.3</v>
      </c>
      <c r="O570" s="58">
        <v>14850</v>
      </c>
      <c r="P570" s="58" t="s">
        <v>64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4650</v>
      </c>
      <c r="Z570" s="58">
        <v>5700</v>
      </c>
      <c r="AA570" s="58">
        <v>15139.55</v>
      </c>
      <c r="AE570" s="57"/>
    </row>
    <row r="571" spans="1:31" x14ac:dyDescent="0.35">
      <c r="A571" s="56" t="s">
        <v>636</v>
      </c>
      <c r="B571" s="58">
        <v>14850</v>
      </c>
      <c r="C571" s="58" t="s">
        <v>2071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2775</v>
      </c>
      <c r="M571" s="58">
        <v>9750</v>
      </c>
      <c r="N571" s="58">
        <v>15143.3</v>
      </c>
      <c r="O571" s="58">
        <v>14850</v>
      </c>
      <c r="P571" s="58" t="s">
        <v>2071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4050</v>
      </c>
      <c r="Z571" s="58">
        <v>4875</v>
      </c>
      <c r="AA571" s="58">
        <v>15139.55</v>
      </c>
      <c r="AE571" s="57"/>
    </row>
    <row r="572" spans="1:31" x14ac:dyDescent="0.35">
      <c r="A572" s="56" t="s">
        <v>637</v>
      </c>
      <c r="B572" s="58">
        <v>14850</v>
      </c>
      <c r="C572" s="58" t="s">
        <v>2073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2775</v>
      </c>
      <c r="M572" s="58">
        <v>9750</v>
      </c>
      <c r="N572" s="58">
        <v>15143.3</v>
      </c>
      <c r="O572" s="58">
        <v>14850</v>
      </c>
      <c r="P572" s="58" t="s">
        <v>2073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675</v>
      </c>
      <c r="Z572" s="58">
        <v>4875</v>
      </c>
      <c r="AA572" s="58">
        <v>15139.55</v>
      </c>
      <c r="AE572" s="57"/>
    </row>
    <row r="573" spans="1:31" x14ac:dyDescent="0.35">
      <c r="A573" s="56" t="s">
        <v>638</v>
      </c>
      <c r="B573" s="58">
        <v>14850</v>
      </c>
      <c r="C573" s="58" t="s">
        <v>2074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15143.3</v>
      </c>
      <c r="O573" s="58">
        <v>14850</v>
      </c>
      <c r="P573" s="58" t="s">
        <v>2074</v>
      </c>
      <c r="Q573" s="58">
        <v>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0</v>
      </c>
      <c r="Z573" s="58">
        <v>4875</v>
      </c>
      <c r="AA573" s="58">
        <v>15139.55</v>
      </c>
      <c r="AE573" s="57"/>
    </row>
    <row r="574" spans="1:31" x14ac:dyDescent="0.35">
      <c r="A574" s="56" t="s">
        <v>639</v>
      </c>
      <c r="B574" s="58">
        <v>14850</v>
      </c>
      <c r="C574" s="58" t="s">
        <v>2068</v>
      </c>
      <c r="D574" s="58">
        <v>38</v>
      </c>
      <c r="E574" s="58">
        <v>0</v>
      </c>
      <c r="F574" s="58">
        <v>0</v>
      </c>
      <c r="G574" s="58">
        <v>1</v>
      </c>
      <c r="H574" s="58">
        <v>22.42</v>
      </c>
      <c r="I574" s="58">
        <v>286.75</v>
      </c>
      <c r="J574" s="58">
        <v>-39.600000000000023</v>
      </c>
      <c r="K574" s="58">
        <v>-12.134211735866408</v>
      </c>
      <c r="L574" s="58">
        <v>5400</v>
      </c>
      <c r="M574" s="58">
        <v>4950</v>
      </c>
      <c r="N574" s="58">
        <v>15143.3</v>
      </c>
      <c r="O574" s="58">
        <v>14850</v>
      </c>
      <c r="P574" s="58" t="s">
        <v>2068</v>
      </c>
      <c r="Q574" s="58">
        <v>6</v>
      </c>
      <c r="R574" s="58">
        <v>0</v>
      </c>
      <c r="S574" s="58">
        <v>0</v>
      </c>
      <c r="T574" s="58">
        <v>0</v>
      </c>
      <c r="U574" s="58">
        <v>0</v>
      </c>
      <c r="V574" s="58">
        <v>0</v>
      </c>
      <c r="W574" s="58">
        <v>0</v>
      </c>
      <c r="X574" s="58">
        <v>0</v>
      </c>
      <c r="Y574" s="58">
        <v>3375</v>
      </c>
      <c r="Z574" s="58">
        <v>9300</v>
      </c>
      <c r="AA574" s="58">
        <v>15139.55</v>
      </c>
      <c r="AE574" s="57"/>
    </row>
    <row r="575" spans="1:31" x14ac:dyDescent="0.35">
      <c r="A575" s="56" t="s">
        <v>640</v>
      </c>
      <c r="B575" s="58">
        <v>14850</v>
      </c>
      <c r="C575" s="58" t="s">
        <v>2076</v>
      </c>
      <c r="D575" s="58">
        <v>0</v>
      </c>
      <c r="E575" s="58">
        <v>0</v>
      </c>
      <c r="F575" s="58">
        <v>0</v>
      </c>
      <c r="G575" s="58">
        <v>0</v>
      </c>
      <c r="H575" s="58">
        <v>0</v>
      </c>
      <c r="I575" s="58">
        <v>0</v>
      </c>
      <c r="J575" s="58">
        <v>0</v>
      </c>
      <c r="K575" s="58">
        <v>0</v>
      </c>
      <c r="L575" s="58">
        <v>0</v>
      </c>
      <c r="M575" s="58">
        <v>4875</v>
      </c>
      <c r="N575" s="58">
        <v>15139.55</v>
      </c>
      <c r="O575" s="58">
        <v>14850</v>
      </c>
      <c r="P575" s="58" t="s">
        <v>2076</v>
      </c>
      <c r="Q575" s="58">
        <v>0</v>
      </c>
      <c r="R575" s="58">
        <v>0</v>
      </c>
      <c r="S575" s="58">
        <v>0</v>
      </c>
      <c r="T575" s="58">
        <v>0</v>
      </c>
      <c r="U575" s="58">
        <v>0</v>
      </c>
      <c r="V575" s="58">
        <v>0</v>
      </c>
      <c r="W575" s="58">
        <v>0</v>
      </c>
      <c r="X575" s="58">
        <v>0</v>
      </c>
      <c r="Y575" s="58">
        <v>0</v>
      </c>
      <c r="Z575" s="58">
        <v>4875</v>
      </c>
      <c r="AA575" s="58">
        <v>15139.55</v>
      </c>
      <c r="AE575" s="57"/>
    </row>
    <row r="576" spans="1:31" x14ac:dyDescent="0.35">
      <c r="A576" s="56" t="s">
        <v>641</v>
      </c>
      <c r="B576" s="58">
        <v>14850</v>
      </c>
      <c r="C576" s="58" t="s">
        <v>2075</v>
      </c>
      <c r="D576" s="58">
        <v>0</v>
      </c>
      <c r="E576" s="58">
        <v>0</v>
      </c>
      <c r="F576" s="58">
        <v>0</v>
      </c>
      <c r="G576" s="58">
        <v>0</v>
      </c>
      <c r="H576" s="58">
        <v>0</v>
      </c>
      <c r="I576" s="58">
        <v>0</v>
      </c>
      <c r="J576" s="58">
        <v>0</v>
      </c>
      <c r="K576" s="58">
        <v>0</v>
      </c>
      <c r="L576" s="58">
        <v>0</v>
      </c>
      <c r="M576" s="58">
        <v>4875</v>
      </c>
      <c r="N576" s="58">
        <v>15143.3</v>
      </c>
      <c r="O576" s="58">
        <v>14850</v>
      </c>
      <c r="P576" s="58" t="s">
        <v>2075</v>
      </c>
      <c r="Q576" s="58">
        <v>0</v>
      </c>
      <c r="R576" s="58">
        <v>0</v>
      </c>
      <c r="S576" s="58">
        <v>0</v>
      </c>
      <c r="T576" s="58">
        <v>0</v>
      </c>
      <c r="U576" s="58">
        <v>0</v>
      </c>
      <c r="V576" s="58">
        <v>0</v>
      </c>
      <c r="W576" s="58">
        <v>0</v>
      </c>
      <c r="X576" s="58">
        <v>0</v>
      </c>
      <c r="Y576" s="58">
        <v>0</v>
      </c>
      <c r="Z576" s="58">
        <v>4875</v>
      </c>
      <c r="AA576" s="58">
        <v>15139.55</v>
      </c>
      <c r="AE576" s="57"/>
    </row>
    <row r="577" spans="1:31" x14ac:dyDescent="0.35">
      <c r="A577" s="56" t="s">
        <v>642</v>
      </c>
      <c r="B577" s="58">
        <v>14850</v>
      </c>
      <c r="C577" s="58" t="s">
        <v>33</v>
      </c>
      <c r="D577" s="58">
        <v>13328</v>
      </c>
      <c r="E577" s="58">
        <v>-1302</v>
      </c>
      <c r="F577" s="58">
        <v>-8.8995215311004792</v>
      </c>
      <c r="G577" s="58">
        <v>94168</v>
      </c>
      <c r="H577" s="58">
        <v>19.18</v>
      </c>
      <c r="I577" s="58">
        <v>1.5</v>
      </c>
      <c r="J577" s="58">
        <v>-10.7</v>
      </c>
      <c r="K577" s="58">
        <v>-87.704918032786878</v>
      </c>
      <c r="L577" s="58">
        <v>2308500</v>
      </c>
      <c r="M577" s="58">
        <v>324150</v>
      </c>
      <c r="N577" s="58">
        <v>15143.3</v>
      </c>
      <c r="O577" s="58">
        <v>14850</v>
      </c>
      <c r="P577" s="58" t="s">
        <v>33</v>
      </c>
      <c r="Q577" s="58">
        <v>733</v>
      </c>
      <c r="R577" s="58">
        <v>21</v>
      </c>
      <c r="S577" s="58">
        <v>2.9494382022471912</v>
      </c>
      <c r="T577" s="58">
        <v>514</v>
      </c>
      <c r="U577" s="58">
        <v>24.51</v>
      </c>
      <c r="V577" s="58">
        <v>298.25</v>
      </c>
      <c r="W577" s="58">
        <v>40.699999999999989</v>
      </c>
      <c r="X577" s="58">
        <v>15.802756746262856</v>
      </c>
      <c r="Y577" s="58">
        <v>160050</v>
      </c>
      <c r="Z577" s="58">
        <v>28200</v>
      </c>
      <c r="AA577" s="58">
        <v>15143.3</v>
      </c>
      <c r="AE577" s="57"/>
    </row>
    <row r="578" spans="1:31" x14ac:dyDescent="0.35">
      <c r="A578" s="56" t="s">
        <v>643</v>
      </c>
      <c r="B578" s="58">
        <v>14850</v>
      </c>
      <c r="C578" s="58" t="s">
        <v>34</v>
      </c>
      <c r="D578" s="58">
        <v>696</v>
      </c>
      <c r="E578" s="58">
        <v>358</v>
      </c>
      <c r="F578" s="58">
        <v>105.91715976331361</v>
      </c>
      <c r="G578" s="58">
        <v>2711</v>
      </c>
      <c r="H578" s="58">
        <v>22.03</v>
      </c>
      <c r="I578" s="58">
        <v>74.349999999999994</v>
      </c>
      <c r="J578" s="58">
        <v>-22.950000000000003</v>
      </c>
      <c r="K578" s="58">
        <v>-23.586844809866399</v>
      </c>
      <c r="L578" s="58">
        <v>40875</v>
      </c>
      <c r="M578" s="58">
        <v>33750</v>
      </c>
      <c r="N578" s="58">
        <v>15139.55</v>
      </c>
      <c r="O578" s="58">
        <v>14850</v>
      </c>
      <c r="P578" s="58" t="s">
        <v>34</v>
      </c>
      <c r="Q578" s="58">
        <v>62</v>
      </c>
      <c r="R578" s="58">
        <v>11</v>
      </c>
      <c r="S578" s="58">
        <v>21.568627450980394</v>
      </c>
      <c r="T578" s="58">
        <v>315</v>
      </c>
      <c r="U578" s="58">
        <v>19.12</v>
      </c>
      <c r="V578" s="58">
        <v>378.25</v>
      </c>
      <c r="W578" s="58">
        <v>27.300000000000011</v>
      </c>
      <c r="X578" s="58">
        <v>7.7788858811796588</v>
      </c>
      <c r="Y578" s="58">
        <v>18675</v>
      </c>
      <c r="Z578" s="58">
        <v>11175</v>
      </c>
      <c r="AA578" s="58">
        <v>15139.55</v>
      </c>
      <c r="AE578" s="57"/>
    </row>
    <row r="579" spans="1:31" x14ac:dyDescent="0.35">
      <c r="A579" s="56" t="s">
        <v>644</v>
      </c>
      <c r="B579" s="58">
        <v>14900</v>
      </c>
      <c r="C579" s="58" t="s">
        <v>26</v>
      </c>
      <c r="D579" s="58">
        <v>7724</v>
      </c>
      <c r="E579" s="58">
        <v>280</v>
      </c>
      <c r="F579" s="58">
        <v>3.7614185921547554</v>
      </c>
      <c r="G579" s="58">
        <v>5516</v>
      </c>
      <c r="H579" s="58">
        <v>23.95</v>
      </c>
      <c r="I579" s="58">
        <v>163.35</v>
      </c>
      <c r="J579" s="58">
        <v>-33.300000000000011</v>
      </c>
      <c r="K579" s="58">
        <v>-16.933638443935934</v>
      </c>
      <c r="L579" s="58">
        <v>54975</v>
      </c>
      <c r="M579" s="58">
        <v>52500</v>
      </c>
      <c r="N579" s="58">
        <v>15139.55</v>
      </c>
      <c r="O579" s="58">
        <v>14900</v>
      </c>
      <c r="P579" s="58" t="s">
        <v>26</v>
      </c>
      <c r="Q579" s="58">
        <v>5946</v>
      </c>
      <c r="R579" s="58">
        <v>-409</v>
      </c>
      <c r="S579" s="58">
        <v>-6.4358772619984261</v>
      </c>
      <c r="T579" s="58">
        <v>1154</v>
      </c>
      <c r="U579" s="58">
        <v>21.14</v>
      </c>
      <c r="V579" s="58">
        <v>426.3</v>
      </c>
      <c r="W579" s="58">
        <v>1.9000000000000341</v>
      </c>
      <c r="X579" s="58">
        <v>0.44769085768144068</v>
      </c>
      <c r="Y579" s="58">
        <v>59775</v>
      </c>
      <c r="Z579" s="58">
        <v>42825</v>
      </c>
      <c r="AA579" s="58">
        <v>15139.55</v>
      </c>
      <c r="AE579" s="57"/>
    </row>
    <row r="580" spans="1:31" x14ac:dyDescent="0.35">
      <c r="A580" s="56" t="s">
        <v>645</v>
      </c>
      <c r="B580" s="58">
        <v>14900</v>
      </c>
      <c r="C580" s="58" t="s">
        <v>33</v>
      </c>
      <c r="D580" s="58">
        <v>39845</v>
      </c>
      <c r="E580" s="58">
        <v>9003</v>
      </c>
      <c r="F580" s="58">
        <v>29.190713961481094</v>
      </c>
      <c r="G580" s="58">
        <v>333108</v>
      </c>
      <c r="H580" s="58">
        <v>17.43</v>
      </c>
      <c r="I580" s="58">
        <v>2.1</v>
      </c>
      <c r="J580" s="58">
        <v>-16.2</v>
      </c>
      <c r="K580" s="58">
        <v>-88.52459016393442</v>
      </c>
      <c r="L580" s="58">
        <v>4126800</v>
      </c>
      <c r="M580" s="58">
        <v>626625</v>
      </c>
      <c r="N580" s="58">
        <v>15139.55</v>
      </c>
      <c r="O580" s="58">
        <v>14900</v>
      </c>
      <c r="P580" s="58" t="s">
        <v>33</v>
      </c>
      <c r="Q580" s="58">
        <v>8175</v>
      </c>
      <c r="R580" s="58">
        <v>-1798</v>
      </c>
      <c r="S580" s="58">
        <v>-18.028677429058455</v>
      </c>
      <c r="T580" s="58">
        <v>12674</v>
      </c>
      <c r="U580" s="58">
        <v>19.18</v>
      </c>
      <c r="V580" s="58">
        <v>247.45</v>
      </c>
      <c r="W580" s="58">
        <v>35.349999999999994</v>
      </c>
      <c r="X580" s="58">
        <v>16.666666666666664</v>
      </c>
      <c r="Y580" s="58">
        <v>470400</v>
      </c>
      <c r="Z580" s="58">
        <v>68400</v>
      </c>
      <c r="AA580" s="58">
        <v>15139.55</v>
      </c>
      <c r="AE580" s="57"/>
    </row>
    <row r="581" spans="1:31" x14ac:dyDescent="0.35">
      <c r="A581" s="56" t="s">
        <v>646</v>
      </c>
      <c r="B581" s="58">
        <v>14900</v>
      </c>
      <c r="C581" s="58" t="s">
        <v>2071</v>
      </c>
      <c r="D581" s="58">
        <v>0</v>
      </c>
      <c r="E581" s="58">
        <v>0</v>
      </c>
      <c r="F581" s="58">
        <v>0</v>
      </c>
      <c r="G581" s="58">
        <v>0</v>
      </c>
      <c r="H581" s="58">
        <v>0</v>
      </c>
      <c r="I581" s="58">
        <v>0</v>
      </c>
      <c r="J581" s="58">
        <v>0</v>
      </c>
      <c r="K581" s="58">
        <v>0</v>
      </c>
      <c r="L581" s="58">
        <v>2775</v>
      </c>
      <c r="M581" s="58">
        <v>10575</v>
      </c>
      <c r="N581" s="58">
        <v>15139.55</v>
      </c>
      <c r="O581" s="58">
        <v>14900</v>
      </c>
      <c r="P581" s="58" t="s">
        <v>2071</v>
      </c>
      <c r="Q581" s="58">
        <v>0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4050</v>
      </c>
      <c r="Z581" s="58">
        <v>4875</v>
      </c>
      <c r="AA581" s="58">
        <v>15143.3</v>
      </c>
      <c r="AE581" s="57"/>
    </row>
    <row r="582" spans="1:31" x14ac:dyDescent="0.35">
      <c r="A582" s="56" t="s">
        <v>647</v>
      </c>
      <c r="B582" s="58">
        <v>14900</v>
      </c>
      <c r="C582" s="58" t="s">
        <v>2073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2775</v>
      </c>
      <c r="M582" s="58">
        <v>9750</v>
      </c>
      <c r="N582" s="58">
        <v>15143.3</v>
      </c>
      <c r="O582" s="58">
        <v>14900</v>
      </c>
      <c r="P582" s="58" t="s">
        <v>2073</v>
      </c>
      <c r="Q582" s="58">
        <v>0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1200</v>
      </c>
      <c r="Z582" s="58">
        <v>4875</v>
      </c>
      <c r="AA582" s="58">
        <v>15143.3</v>
      </c>
      <c r="AE582" s="57"/>
    </row>
    <row r="583" spans="1:31" x14ac:dyDescent="0.35">
      <c r="A583" s="56" t="s">
        <v>648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14900</v>
      </c>
      <c r="P583" s="58" t="s">
        <v>2074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0</v>
      </c>
      <c r="Z583" s="58">
        <v>4875</v>
      </c>
      <c r="AA583" s="58">
        <v>15143.3</v>
      </c>
      <c r="AE583" s="57"/>
    </row>
    <row r="584" spans="1:31" x14ac:dyDescent="0.35">
      <c r="A584" s="56" t="s">
        <v>649</v>
      </c>
      <c r="B584" s="58">
        <v>14900</v>
      </c>
      <c r="C584" s="58" t="s">
        <v>2068</v>
      </c>
      <c r="D584" s="58">
        <v>398</v>
      </c>
      <c r="E584" s="58">
        <v>102</v>
      </c>
      <c r="F584" s="58">
        <v>34.45945945945946</v>
      </c>
      <c r="G584" s="58">
        <v>285</v>
      </c>
      <c r="H584" s="58">
        <v>22.6</v>
      </c>
      <c r="I584" s="58">
        <v>310</v>
      </c>
      <c r="J584" s="58">
        <v>-33.899999999999977</v>
      </c>
      <c r="K584" s="58">
        <v>-9.8575167199767328</v>
      </c>
      <c r="L584" s="58">
        <v>10500</v>
      </c>
      <c r="M584" s="58">
        <v>10350</v>
      </c>
      <c r="N584" s="58">
        <v>15139.55</v>
      </c>
      <c r="O584" s="58">
        <v>14900</v>
      </c>
      <c r="P584" s="58" t="s">
        <v>2068</v>
      </c>
      <c r="Q584" s="58">
        <v>226</v>
      </c>
      <c r="R584" s="58">
        <v>-1</v>
      </c>
      <c r="S584" s="58">
        <v>-0.44052863436123346</v>
      </c>
      <c r="T584" s="58">
        <v>22</v>
      </c>
      <c r="U584" s="58">
        <v>17.239999999999998</v>
      </c>
      <c r="V584" s="58">
        <v>638.54999999999995</v>
      </c>
      <c r="W584" s="58">
        <v>0.25</v>
      </c>
      <c r="X584" s="58">
        <v>3.9166536111546295E-2</v>
      </c>
      <c r="Y584" s="58">
        <v>6600</v>
      </c>
      <c r="Z584" s="58">
        <v>11700</v>
      </c>
      <c r="AA584" s="58">
        <v>15139.55</v>
      </c>
      <c r="AE584" s="57"/>
    </row>
    <row r="585" spans="1:31" x14ac:dyDescent="0.35">
      <c r="A585" s="56" t="s">
        <v>650</v>
      </c>
      <c r="B585" s="58">
        <v>14900</v>
      </c>
      <c r="C585" s="58" t="s">
        <v>2076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4875</v>
      </c>
      <c r="N585" s="58">
        <v>15139.55</v>
      </c>
      <c r="O585" s="58">
        <v>14900</v>
      </c>
      <c r="P585" s="58" t="s">
        <v>2076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0</v>
      </c>
      <c r="Z585" s="58">
        <v>4875</v>
      </c>
      <c r="AA585" s="58">
        <v>15143.3</v>
      </c>
      <c r="AE585" s="57"/>
    </row>
    <row r="586" spans="1:31" x14ac:dyDescent="0.35">
      <c r="A586" s="56" t="s">
        <v>651</v>
      </c>
      <c r="B586" s="58">
        <v>14900</v>
      </c>
      <c r="C586" s="58" t="s">
        <v>2075</v>
      </c>
      <c r="D586" s="58">
        <v>1</v>
      </c>
      <c r="E586" s="58">
        <v>0</v>
      </c>
      <c r="F586" s="58">
        <v>0</v>
      </c>
      <c r="G586" s="58">
        <v>1</v>
      </c>
      <c r="H586" s="58">
        <v>23.05</v>
      </c>
      <c r="I586" s="58">
        <v>393.8</v>
      </c>
      <c r="J586" s="58">
        <v>-101.2</v>
      </c>
      <c r="K586" s="58">
        <v>-20.444444444444443</v>
      </c>
      <c r="L586" s="58">
        <v>7050</v>
      </c>
      <c r="M586" s="58">
        <v>12900</v>
      </c>
      <c r="N586" s="58">
        <v>15143.3</v>
      </c>
      <c r="O586" s="58">
        <v>14900</v>
      </c>
      <c r="P586" s="58" t="s">
        <v>2075</v>
      </c>
      <c r="Q586" s="58">
        <v>2</v>
      </c>
      <c r="R586" s="58">
        <v>0</v>
      </c>
      <c r="S586" s="58">
        <v>0</v>
      </c>
      <c r="T586" s="58">
        <v>0</v>
      </c>
      <c r="U586" s="58">
        <v>0</v>
      </c>
      <c r="V586" s="58">
        <v>0</v>
      </c>
      <c r="W586" s="58">
        <v>0</v>
      </c>
      <c r="X586" s="58">
        <v>0</v>
      </c>
      <c r="Y586" s="58">
        <v>1125</v>
      </c>
      <c r="Z586" s="58">
        <v>10800</v>
      </c>
      <c r="AA586" s="58">
        <v>15139.55</v>
      </c>
      <c r="AE586" s="57"/>
    </row>
    <row r="587" spans="1:31" x14ac:dyDescent="0.35">
      <c r="A587" s="56" t="s">
        <v>652</v>
      </c>
      <c r="B587" s="58">
        <v>14900</v>
      </c>
      <c r="C587" s="58" t="s">
        <v>34</v>
      </c>
      <c r="D587" s="58">
        <v>6329</v>
      </c>
      <c r="E587" s="58">
        <v>2299</v>
      </c>
      <c r="F587" s="58">
        <v>57.04714640198511</v>
      </c>
      <c r="G587" s="58">
        <v>19974</v>
      </c>
      <c r="H587" s="58">
        <v>21.96</v>
      </c>
      <c r="I587" s="58">
        <v>86.25</v>
      </c>
      <c r="J587" s="58">
        <v>-25.950000000000003</v>
      </c>
      <c r="K587" s="58">
        <v>-23.128342245989305</v>
      </c>
      <c r="L587" s="58">
        <v>82650</v>
      </c>
      <c r="M587" s="58">
        <v>90300</v>
      </c>
      <c r="N587" s="58">
        <v>15139.55</v>
      </c>
      <c r="O587" s="58">
        <v>14900</v>
      </c>
      <c r="P587" s="58" t="s">
        <v>34</v>
      </c>
      <c r="Q587" s="58">
        <v>1198</v>
      </c>
      <c r="R587" s="58">
        <v>451</v>
      </c>
      <c r="S587" s="58">
        <v>60.374832663989288</v>
      </c>
      <c r="T587" s="58">
        <v>1554</v>
      </c>
      <c r="U587" s="58">
        <v>19.059999999999999</v>
      </c>
      <c r="V587" s="58">
        <v>337.3</v>
      </c>
      <c r="W587" s="58">
        <v>8.6999999999999886</v>
      </c>
      <c r="X587" s="58">
        <v>2.6475958612294548</v>
      </c>
      <c r="Y587" s="58">
        <v>25575</v>
      </c>
      <c r="Z587" s="58">
        <v>19425</v>
      </c>
      <c r="AA587" s="58">
        <v>15139.55</v>
      </c>
      <c r="AE587" s="57"/>
    </row>
    <row r="588" spans="1:31" x14ac:dyDescent="0.35">
      <c r="A588" s="56" t="s">
        <v>653</v>
      </c>
      <c r="B588" s="58">
        <v>14900</v>
      </c>
      <c r="C588" s="58" t="s">
        <v>64</v>
      </c>
      <c r="D588" s="58">
        <v>1988</v>
      </c>
      <c r="E588" s="58">
        <v>1</v>
      </c>
      <c r="F588" s="58">
        <v>5.0327126321087066E-2</v>
      </c>
      <c r="G588" s="58">
        <v>5</v>
      </c>
      <c r="H588" s="58">
        <v>23.43</v>
      </c>
      <c r="I588" s="58">
        <v>205</v>
      </c>
      <c r="J588" s="58">
        <v>-58.899999999999977</v>
      </c>
      <c r="K588" s="58">
        <v>-22.319060250094729</v>
      </c>
      <c r="L588" s="58">
        <v>12375</v>
      </c>
      <c r="M588" s="58">
        <v>13800</v>
      </c>
      <c r="N588" s="58">
        <v>15143.3</v>
      </c>
      <c r="O588" s="58">
        <v>14900</v>
      </c>
      <c r="P588" s="58" t="s">
        <v>64</v>
      </c>
      <c r="Q588" s="58">
        <v>1986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5625</v>
      </c>
      <c r="Z588" s="58">
        <v>6600</v>
      </c>
      <c r="AA588" s="58">
        <v>15139.55</v>
      </c>
      <c r="AE588" s="57"/>
    </row>
    <row r="589" spans="1:31" x14ac:dyDescent="0.35">
      <c r="A589" s="56" t="s">
        <v>654</v>
      </c>
      <c r="B589" s="58">
        <v>14950</v>
      </c>
      <c r="C589" s="58" t="s">
        <v>26</v>
      </c>
      <c r="D589" s="58">
        <v>796</v>
      </c>
      <c r="E589" s="58">
        <v>35</v>
      </c>
      <c r="F589" s="58">
        <v>4.5992115637319317</v>
      </c>
      <c r="G589" s="58">
        <v>612</v>
      </c>
      <c r="H589" s="58">
        <v>23.64</v>
      </c>
      <c r="I589" s="58">
        <v>181.15</v>
      </c>
      <c r="J589" s="58">
        <v>-35.400000000000006</v>
      </c>
      <c r="K589" s="58">
        <v>-16.347263911336878</v>
      </c>
      <c r="L589" s="58">
        <v>25500</v>
      </c>
      <c r="M589" s="58">
        <v>24075</v>
      </c>
      <c r="N589" s="58">
        <v>15139.55</v>
      </c>
      <c r="O589" s="58">
        <v>14950</v>
      </c>
      <c r="P589" s="58" t="s">
        <v>26</v>
      </c>
      <c r="Q589" s="58">
        <v>552</v>
      </c>
      <c r="R589" s="58">
        <v>14</v>
      </c>
      <c r="S589" s="58">
        <v>2.6022304832713754</v>
      </c>
      <c r="T589" s="58">
        <v>83</v>
      </c>
      <c r="U589" s="58">
        <v>20.72</v>
      </c>
      <c r="V589" s="58">
        <v>394.25</v>
      </c>
      <c r="W589" s="58">
        <v>4.5</v>
      </c>
      <c r="X589" s="58">
        <v>1.1545862732520846</v>
      </c>
      <c r="Y589" s="58">
        <v>19350</v>
      </c>
      <c r="Z589" s="58">
        <v>17175</v>
      </c>
      <c r="AA589" s="58">
        <v>15139.55</v>
      </c>
      <c r="AE589" s="57"/>
    </row>
    <row r="590" spans="1:31" x14ac:dyDescent="0.35">
      <c r="A590" s="56" t="s">
        <v>655</v>
      </c>
      <c r="B590" s="58">
        <v>14950</v>
      </c>
      <c r="C590" s="58" t="s">
        <v>2071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2775</v>
      </c>
      <c r="M590" s="58">
        <v>9750</v>
      </c>
      <c r="N590" s="58">
        <v>15143.3</v>
      </c>
      <c r="O590" s="58">
        <v>14950</v>
      </c>
      <c r="P590" s="58" t="s">
        <v>2071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4050</v>
      </c>
      <c r="Z590" s="58">
        <v>4875</v>
      </c>
      <c r="AA590" s="58">
        <v>15139.55</v>
      </c>
      <c r="AE590" s="57"/>
    </row>
    <row r="591" spans="1:31" x14ac:dyDescent="0.35">
      <c r="A591" s="56" t="s">
        <v>656</v>
      </c>
      <c r="B591" s="58">
        <v>14950</v>
      </c>
      <c r="C591" s="58" t="s">
        <v>2073</v>
      </c>
      <c r="D591" s="58">
        <v>0</v>
      </c>
      <c r="E591" s="58">
        <v>0</v>
      </c>
      <c r="F591" s="58">
        <v>0</v>
      </c>
      <c r="G591" s="58">
        <v>0</v>
      </c>
      <c r="H591" s="58">
        <v>0</v>
      </c>
      <c r="I591" s="58">
        <v>0</v>
      </c>
      <c r="J591" s="58">
        <v>0</v>
      </c>
      <c r="K591" s="58">
        <v>0</v>
      </c>
      <c r="L591" s="58">
        <v>2775</v>
      </c>
      <c r="M591" s="58">
        <v>9750</v>
      </c>
      <c r="N591" s="58">
        <v>15139.55</v>
      </c>
      <c r="O591" s="58">
        <v>14950</v>
      </c>
      <c r="P591" s="58" t="s">
        <v>2073</v>
      </c>
      <c r="Q591" s="58">
        <v>0</v>
      </c>
      <c r="R591" s="58">
        <v>0</v>
      </c>
      <c r="S591" s="58">
        <v>0</v>
      </c>
      <c r="T591" s="58">
        <v>0</v>
      </c>
      <c r="U591" s="58">
        <v>0</v>
      </c>
      <c r="V591" s="58">
        <v>0</v>
      </c>
      <c r="W591" s="58">
        <v>0</v>
      </c>
      <c r="X591" s="58">
        <v>0</v>
      </c>
      <c r="Y591" s="58">
        <v>3750</v>
      </c>
      <c r="Z591" s="58">
        <v>4875</v>
      </c>
      <c r="AA591" s="58">
        <v>15143.3</v>
      </c>
      <c r="AE591" s="57"/>
    </row>
    <row r="592" spans="1:31" x14ac:dyDescent="0.35">
      <c r="A592" s="56" t="s">
        <v>657</v>
      </c>
      <c r="B592" s="58">
        <v>14950</v>
      </c>
      <c r="C592" s="58" t="s">
        <v>2074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15139.55</v>
      </c>
      <c r="O592" s="58">
        <v>14950</v>
      </c>
      <c r="P592" s="58" t="s">
        <v>2074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0</v>
      </c>
      <c r="Z592" s="58">
        <v>4875</v>
      </c>
      <c r="AA592" s="58">
        <v>15143.3</v>
      </c>
      <c r="AE592" s="57"/>
    </row>
    <row r="593" spans="1:31" x14ac:dyDescent="0.35">
      <c r="A593" s="56" t="s">
        <v>658</v>
      </c>
      <c r="B593" s="58">
        <v>14950</v>
      </c>
      <c r="C593" s="58" t="s">
        <v>2068</v>
      </c>
      <c r="D593" s="58">
        <v>56</v>
      </c>
      <c r="E593" s="58">
        <v>1</v>
      </c>
      <c r="F593" s="58">
        <v>1.8181818181818179</v>
      </c>
      <c r="G593" s="58">
        <v>14</v>
      </c>
      <c r="H593" s="58">
        <v>22.78</v>
      </c>
      <c r="I593" s="58">
        <v>331.45</v>
      </c>
      <c r="J593" s="58">
        <v>-39.350000000000023</v>
      </c>
      <c r="K593" s="58">
        <v>-10.61218985976268</v>
      </c>
      <c r="L593" s="58">
        <v>5400</v>
      </c>
      <c r="M593" s="58">
        <v>5250</v>
      </c>
      <c r="N593" s="58">
        <v>15139.55</v>
      </c>
      <c r="O593" s="58">
        <v>14950</v>
      </c>
      <c r="P593" s="58" t="s">
        <v>2068</v>
      </c>
      <c r="Q593" s="58">
        <v>11</v>
      </c>
      <c r="R593" s="58">
        <v>0</v>
      </c>
      <c r="S593" s="58">
        <v>0</v>
      </c>
      <c r="T593" s="58">
        <v>3</v>
      </c>
      <c r="U593" s="58">
        <v>18.649999999999999</v>
      </c>
      <c r="V593" s="58">
        <v>634.95000000000005</v>
      </c>
      <c r="W593" s="58">
        <v>74.950000000000045</v>
      </c>
      <c r="X593" s="58">
        <v>13.38392857142858</v>
      </c>
      <c r="Y593" s="58">
        <v>1050</v>
      </c>
      <c r="Z593" s="58">
        <v>5250</v>
      </c>
      <c r="AA593" s="58">
        <v>15143.3</v>
      </c>
      <c r="AE593" s="57"/>
    </row>
    <row r="594" spans="1:31" x14ac:dyDescent="0.35">
      <c r="A594" s="56" t="s">
        <v>659</v>
      </c>
      <c r="B594" s="58">
        <v>14950</v>
      </c>
      <c r="C594" s="58" t="s">
        <v>2076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0</v>
      </c>
      <c r="M594" s="58">
        <v>4875</v>
      </c>
      <c r="N594" s="58">
        <v>15139.55</v>
      </c>
      <c r="O594" s="58">
        <v>14950</v>
      </c>
      <c r="P594" s="58" t="s">
        <v>2076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15139.55</v>
      </c>
      <c r="AE594" s="57"/>
    </row>
    <row r="595" spans="1:31" x14ac:dyDescent="0.35">
      <c r="A595" s="56" t="s">
        <v>660</v>
      </c>
      <c r="B595" s="58">
        <v>14950</v>
      </c>
      <c r="C595" s="58" t="s">
        <v>2075</v>
      </c>
      <c r="D595" s="58">
        <v>0</v>
      </c>
      <c r="E595" s="58">
        <v>0</v>
      </c>
      <c r="F595" s="58">
        <v>0</v>
      </c>
      <c r="G595" s="58">
        <v>0</v>
      </c>
      <c r="H595" s="58">
        <v>0</v>
      </c>
      <c r="I595" s="58">
        <v>0</v>
      </c>
      <c r="J595" s="58">
        <v>0</v>
      </c>
      <c r="K595" s="58">
        <v>0</v>
      </c>
      <c r="L595" s="58">
        <v>0</v>
      </c>
      <c r="M595" s="58">
        <v>4875</v>
      </c>
      <c r="N595" s="58">
        <v>15139.55</v>
      </c>
      <c r="O595" s="58">
        <v>14950</v>
      </c>
      <c r="P595" s="58" t="s">
        <v>2075</v>
      </c>
      <c r="Q595" s="58">
        <v>0</v>
      </c>
      <c r="R595" s="58">
        <v>0</v>
      </c>
      <c r="S595" s="58">
        <v>0</v>
      </c>
      <c r="T595" s="58">
        <v>0</v>
      </c>
      <c r="U595" s="58">
        <v>0</v>
      </c>
      <c r="V595" s="58">
        <v>0</v>
      </c>
      <c r="W595" s="58">
        <v>0</v>
      </c>
      <c r="X595" s="58">
        <v>0</v>
      </c>
      <c r="Y595" s="58">
        <v>0</v>
      </c>
      <c r="Z595" s="58">
        <v>4875</v>
      </c>
      <c r="AA595" s="58">
        <v>15139.55</v>
      </c>
      <c r="AE595" s="57"/>
    </row>
    <row r="596" spans="1:31" x14ac:dyDescent="0.35">
      <c r="A596" s="56" t="s">
        <v>661</v>
      </c>
      <c r="B596" s="58">
        <v>14950</v>
      </c>
      <c r="C596" s="58" t="s">
        <v>34</v>
      </c>
      <c r="D596" s="58">
        <v>835</v>
      </c>
      <c r="E596" s="58">
        <v>257</v>
      </c>
      <c r="F596" s="58">
        <v>44.463667820069205</v>
      </c>
      <c r="G596" s="58">
        <v>3763</v>
      </c>
      <c r="H596" s="58">
        <v>21.37</v>
      </c>
      <c r="I596" s="58">
        <v>101.3</v>
      </c>
      <c r="J596" s="58">
        <v>-26.650000000000009</v>
      </c>
      <c r="K596" s="58">
        <v>-20.828448612739351</v>
      </c>
      <c r="L596" s="58">
        <v>42375</v>
      </c>
      <c r="M596" s="58">
        <v>30525</v>
      </c>
      <c r="N596" s="58">
        <v>15139.55</v>
      </c>
      <c r="O596" s="58">
        <v>14950</v>
      </c>
      <c r="P596" s="58" t="s">
        <v>34</v>
      </c>
      <c r="Q596" s="58">
        <v>183</v>
      </c>
      <c r="R596" s="58">
        <v>15</v>
      </c>
      <c r="S596" s="58">
        <v>8.9285714285714288</v>
      </c>
      <c r="T596" s="58">
        <v>275</v>
      </c>
      <c r="U596" s="58">
        <v>18.41</v>
      </c>
      <c r="V596" s="58">
        <v>301.2</v>
      </c>
      <c r="W596" s="58">
        <v>4.3499999999999659</v>
      </c>
      <c r="X596" s="58">
        <v>1.4653865588681037</v>
      </c>
      <c r="Y596" s="58">
        <v>22800</v>
      </c>
      <c r="Z596" s="58">
        <v>18075</v>
      </c>
      <c r="AA596" s="58">
        <v>15139.55</v>
      </c>
      <c r="AE596" s="57"/>
    </row>
    <row r="597" spans="1:31" x14ac:dyDescent="0.35">
      <c r="A597" s="56" t="s">
        <v>662</v>
      </c>
      <c r="B597" s="58">
        <v>14950</v>
      </c>
      <c r="C597" s="58" t="s">
        <v>64</v>
      </c>
      <c r="D597" s="58">
        <v>1</v>
      </c>
      <c r="E597" s="58">
        <v>1</v>
      </c>
      <c r="F597" s="58">
        <v>0</v>
      </c>
      <c r="G597" s="58">
        <v>2</v>
      </c>
      <c r="H597" s="58">
        <v>24.19</v>
      </c>
      <c r="I597" s="58">
        <v>234.2</v>
      </c>
      <c r="J597" s="58">
        <v>-633.15000000000009</v>
      </c>
      <c r="K597" s="58">
        <v>-72.998212947483722</v>
      </c>
      <c r="L597" s="58">
        <v>11475</v>
      </c>
      <c r="M597" s="58">
        <v>7500</v>
      </c>
      <c r="N597" s="58">
        <v>15139.55</v>
      </c>
      <c r="O597" s="58">
        <v>14950</v>
      </c>
      <c r="P597" s="58" t="s">
        <v>64</v>
      </c>
      <c r="Q597" s="58">
        <v>0</v>
      </c>
      <c r="R597" s="58">
        <v>0</v>
      </c>
      <c r="S597" s="58">
        <v>0</v>
      </c>
      <c r="T597" s="58">
        <v>0</v>
      </c>
      <c r="U597" s="58">
        <v>0</v>
      </c>
      <c r="V597" s="58">
        <v>0</v>
      </c>
      <c r="W597" s="58">
        <v>0</v>
      </c>
      <c r="X597" s="58">
        <v>0</v>
      </c>
      <c r="Y597" s="58">
        <v>5400</v>
      </c>
      <c r="Z597" s="58">
        <v>5700</v>
      </c>
      <c r="AA597" s="58">
        <v>15139.55</v>
      </c>
      <c r="AE597" s="57"/>
    </row>
    <row r="598" spans="1:31" x14ac:dyDescent="0.35">
      <c r="A598" s="56" t="s">
        <v>663</v>
      </c>
      <c r="B598" s="58">
        <v>14950</v>
      </c>
      <c r="C598" s="58" t="s">
        <v>33</v>
      </c>
      <c r="D598" s="58">
        <v>23778</v>
      </c>
      <c r="E598" s="58">
        <v>11122</v>
      </c>
      <c r="F598" s="58">
        <v>87.879266750948162</v>
      </c>
      <c r="G598" s="58">
        <v>195973</v>
      </c>
      <c r="H598" s="58">
        <v>16.28</v>
      </c>
      <c r="I598" s="58">
        <v>3.75</v>
      </c>
      <c r="J598" s="58">
        <v>-22.9</v>
      </c>
      <c r="K598" s="58">
        <v>-85.928705440900572</v>
      </c>
      <c r="L598" s="58">
        <v>2372925</v>
      </c>
      <c r="M598" s="58">
        <v>377100</v>
      </c>
      <c r="N598" s="58">
        <v>15139.55</v>
      </c>
      <c r="O598" s="58">
        <v>14950</v>
      </c>
      <c r="P598" s="58" t="s">
        <v>33</v>
      </c>
      <c r="Q598" s="58">
        <v>3968</v>
      </c>
      <c r="R598" s="58">
        <v>-444</v>
      </c>
      <c r="S598" s="58">
        <v>-10.063463281958295</v>
      </c>
      <c r="T598" s="58">
        <v>5769</v>
      </c>
      <c r="U598" s="58">
        <v>18.39</v>
      </c>
      <c r="V598" s="58">
        <v>199.55</v>
      </c>
      <c r="W598" s="58">
        <v>30.450000000000017</v>
      </c>
      <c r="X598" s="58">
        <v>18.007096392667073</v>
      </c>
      <c r="Y598" s="58">
        <v>645825</v>
      </c>
      <c r="Z598" s="58">
        <v>41550</v>
      </c>
      <c r="AA598" s="58">
        <v>15139.55</v>
      </c>
      <c r="AE598" s="57"/>
    </row>
    <row r="599" spans="1:31" x14ac:dyDescent="0.35">
      <c r="A599" s="56" t="s">
        <v>664</v>
      </c>
      <c r="B599" s="58">
        <v>15000</v>
      </c>
      <c r="C599" s="58" t="s">
        <v>26</v>
      </c>
      <c r="D599" s="58">
        <v>28689</v>
      </c>
      <c r="E599" s="58">
        <v>-229</v>
      </c>
      <c r="F599" s="58">
        <v>-0.79189432187564834</v>
      </c>
      <c r="G599" s="58">
        <v>19939</v>
      </c>
      <c r="H599" s="58">
        <v>23.66</v>
      </c>
      <c r="I599" s="58">
        <v>197.65</v>
      </c>
      <c r="J599" s="58">
        <v>-35.949999999999989</v>
      </c>
      <c r="K599" s="58">
        <v>-15.389554794520544</v>
      </c>
      <c r="L599" s="58">
        <v>106500</v>
      </c>
      <c r="M599" s="58">
        <v>129300</v>
      </c>
      <c r="N599" s="58">
        <v>15139.55</v>
      </c>
      <c r="O599" s="58">
        <v>15000</v>
      </c>
      <c r="P599" s="58" t="s">
        <v>26</v>
      </c>
      <c r="Q599" s="58">
        <v>23624</v>
      </c>
      <c r="R599" s="58">
        <v>-571</v>
      </c>
      <c r="S599" s="58">
        <v>-2.3599917338293035</v>
      </c>
      <c r="T599" s="58">
        <v>9546</v>
      </c>
      <c r="U599" s="58">
        <v>20.68</v>
      </c>
      <c r="V599" s="58">
        <v>366.2</v>
      </c>
      <c r="W599" s="58">
        <v>3.8000000000000114</v>
      </c>
      <c r="X599" s="58">
        <v>1.0485651214128069</v>
      </c>
      <c r="Y599" s="58">
        <v>100875</v>
      </c>
      <c r="Z599" s="58">
        <v>113400</v>
      </c>
      <c r="AA599" s="58">
        <v>15143.3</v>
      </c>
      <c r="AE599" s="57"/>
    </row>
    <row r="600" spans="1:31" x14ac:dyDescent="0.35">
      <c r="A600" s="56" t="s">
        <v>665</v>
      </c>
      <c r="B600" s="58">
        <v>15000</v>
      </c>
      <c r="C600" s="58" t="s">
        <v>64</v>
      </c>
      <c r="D600" s="58">
        <v>661</v>
      </c>
      <c r="E600" s="58">
        <v>-11</v>
      </c>
      <c r="F600" s="58">
        <v>-1.6369047619047621</v>
      </c>
      <c r="G600" s="58">
        <v>82</v>
      </c>
      <c r="H600" s="58">
        <v>23.75</v>
      </c>
      <c r="I600" s="58">
        <v>247.85</v>
      </c>
      <c r="J600" s="58">
        <v>-32.150000000000006</v>
      </c>
      <c r="K600" s="58">
        <v>-11.482142857142859</v>
      </c>
      <c r="L600" s="58">
        <v>13800</v>
      </c>
      <c r="M600" s="58">
        <v>9825</v>
      </c>
      <c r="N600" s="58">
        <v>15139.55</v>
      </c>
      <c r="O600" s="58">
        <v>15000</v>
      </c>
      <c r="P600" s="58" t="s">
        <v>64</v>
      </c>
      <c r="Q600" s="58">
        <v>622</v>
      </c>
      <c r="R600" s="58">
        <v>-2</v>
      </c>
      <c r="S600" s="58">
        <v>-0.32051282051282054</v>
      </c>
      <c r="T600" s="58">
        <v>44</v>
      </c>
      <c r="U600" s="58">
        <v>20.8</v>
      </c>
      <c r="V600" s="58">
        <v>432.3</v>
      </c>
      <c r="W600" s="58">
        <v>10.300000000000011</v>
      </c>
      <c r="X600" s="58">
        <v>2.440758293838865</v>
      </c>
      <c r="Y600" s="58">
        <v>7950</v>
      </c>
      <c r="Z600" s="58">
        <v>7575</v>
      </c>
      <c r="AA600" s="58">
        <v>15139.55</v>
      </c>
      <c r="AE600" s="57"/>
    </row>
    <row r="601" spans="1:31" x14ac:dyDescent="0.35">
      <c r="A601" s="56" t="s">
        <v>666</v>
      </c>
      <c r="B601" s="58">
        <v>15000</v>
      </c>
      <c r="C601" s="58" t="s">
        <v>2071</v>
      </c>
      <c r="D601" s="58">
        <v>0</v>
      </c>
      <c r="E601" s="58">
        <v>0</v>
      </c>
      <c r="F601" s="58">
        <v>0</v>
      </c>
      <c r="G601" s="58">
        <v>0</v>
      </c>
      <c r="H601" s="58">
        <v>0</v>
      </c>
      <c r="I601" s="58">
        <v>0</v>
      </c>
      <c r="J601" s="58">
        <v>0</v>
      </c>
      <c r="K601" s="58">
        <v>0</v>
      </c>
      <c r="L601" s="58">
        <v>3900</v>
      </c>
      <c r="M601" s="58">
        <v>10875</v>
      </c>
      <c r="N601" s="58">
        <v>15139.55</v>
      </c>
      <c r="O601" s="58">
        <v>15000</v>
      </c>
      <c r="P601" s="58" t="s">
        <v>2071</v>
      </c>
      <c r="Q601" s="58">
        <v>3</v>
      </c>
      <c r="R601" s="58">
        <v>0</v>
      </c>
      <c r="S601" s="58">
        <v>0</v>
      </c>
      <c r="T601" s="58">
        <v>2</v>
      </c>
      <c r="U601" s="58">
        <v>25.22</v>
      </c>
      <c r="V601" s="58">
        <v>565</v>
      </c>
      <c r="W601" s="58">
        <v>35</v>
      </c>
      <c r="X601" s="58">
        <v>6.6037735849056602</v>
      </c>
      <c r="Y601" s="58">
        <v>5475</v>
      </c>
      <c r="Z601" s="58">
        <v>6075</v>
      </c>
      <c r="AA601" s="58">
        <v>15143.3</v>
      </c>
      <c r="AE601" s="57"/>
    </row>
    <row r="602" spans="1:31" x14ac:dyDescent="0.35">
      <c r="A602" s="56" t="s">
        <v>667</v>
      </c>
      <c r="B602" s="58">
        <v>15000</v>
      </c>
      <c r="C602" s="58" t="s">
        <v>2073</v>
      </c>
      <c r="D602" s="58">
        <v>1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3600</v>
      </c>
      <c r="M602" s="58">
        <v>9750</v>
      </c>
      <c r="N602" s="58">
        <v>15139.55</v>
      </c>
      <c r="O602" s="58">
        <v>15000</v>
      </c>
      <c r="P602" s="58" t="s">
        <v>2073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9675</v>
      </c>
      <c r="Z602" s="58">
        <v>4875</v>
      </c>
      <c r="AA602" s="58">
        <v>15143.3</v>
      </c>
      <c r="AE602" s="57"/>
    </row>
    <row r="603" spans="1:31" x14ac:dyDescent="0.35">
      <c r="A603" s="56" t="s">
        <v>668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15000</v>
      </c>
      <c r="P603" s="58" t="s">
        <v>2074</v>
      </c>
      <c r="Q603" s="58">
        <v>1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150</v>
      </c>
      <c r="Z603" s="58">
        <v>4950</v>
      </c>
      <c r="AA603" s="58">
        <v>15143.3</v>
      </c>
      <c r="AE603" s="57"/>
    </row>
    <row r="604" spans="1:31" x14ac:dyDescent="0.35">
      <c r="A604" s="56" t="s">
        <v>669</v>
      </c>
      <c r="B604" s="58">
        <v>15000</v>
      </c>
      <c r="C604" s="58" t="s">
        <v>2068</v>
      </c>
      <c r="D604" s="58">
        <v>5979</v>
      </c>
      <c r="E604" s="58">
        <v>61</v>
      </c>
      <c r="F604" s="58">
        <v>1.0307536329841165</v>
      </c>
      <c r="G604" s="58">
        <v>1500</v>
      </c>
      <c r="H604" s="58">
        <v>22.61</v>
      </c>
      <c r="I604" s="58">
        <v>346.65</v>
      </c>
      <c r="J604" s="58">
        <v>-37.050000000000011</v>
      </c>
      <c r="K604" s="58">
        <v>-9.6559812353401124</v>
      </c>
      <c r="L604" s="58">
        <v>30675</v>
      </c>
      <c r="M604" s="58">
        <v>23625</v>
      </c>
      <c r="N604" s="58">
        <v>15139.55</v>
      </c>
      <c r="O604" s="58">
        <v>15000</v>
      </c>
      <c r="P604" s="58" t="s">
        <v>2068</v>
      </c>
      <c r="Q604" s="58">
        <v>4047</v>
      </c>
      <c r="R604" s="58">
        <v>-79</v>
      </c>
      <c r="S604" s="58">
        <v>-1.9146873485215703</v>
      </c>
      <c r="T604" s="58">
        <v>842</v>
      </c>
      <c r="U604" s="58">
        <v>17.68</v>
      </c>
      <c r="V604" s="58">
        <v>586.75</v>
      </c>
      <c r="W604" s="58">
        <v>1.5</v>
      </c>
      <c r="X604" s="58">
        <v>0.25630072618539085</v>
      </c>
      <c r="Y604" s="58">
        <v>12675</v>
      </c>
      <c r="Z604" s="58">
        <v>21375</v>
      </c>
      <c r="AA604" s="58">
        <v>15139.55</v>
      </c>
      <c r="AE604" s="57"/>
    </row>
    <row r="605" spans="1:31" x14ac:dyDescent="0.35">
      <c r="A605" s="56" t="s">
        <v>670</v>
      </c>
      <c r="B605" s="58">
        <v>15000</v>
      </c>
      <c r="C605" s="58" t="s">
        <v>2076</v>
      </c>
      <c r="D605" s="58">
        <v>0</v>
      </c>
      <c r="E605" s="58">
        <v>0</v>
      </c>
      <c r="F605" s="58">
        <v>0</v>
      </c>
      <c r="G605" s="58">
        <v>0</v>
      </c>
      <c r="H605" s="58">
        <v>0</v>
      </c>
      <c r="I605" s="58">
        <v>0</v>
      </c>
      <c r="J605" s="58">
        <v>0</v>
      </c>
      <c r="K605" s="58">
        <v>0</v>
      </c>
      <c r="L605" s="58">
        <v>0</v>
      </c>
      <c r="M605" s="58">
        <v>4875</v>
      </c>
      <c r="N605" s="58">
        <v>15139.55</v>
      </c>
      <c r="O605" s="58">
        <v>15000</v>
      </c>
      <c r="P605" s="58" t="s">
        <v>2076</v>
      </c>
      <c r="Q605" s="58">
        <v>0</v>
      </c>
      <c r="R605" s="58">
        <v>0</v>
      </c>
      <c r="S605" s="58">
        <v>0</v>
      </c>
      <c r="T605" s="58">
        <v>0</v>
      </c>
      <c r="U605" s="58">
        <v>0</v>
      </c>
      <c r="V605" s="58">
        <v>0</v>
      </c>
      <c r="W605" s="58">
        <v>0</v>
      </c>
      <c r="X605" s="58">
        <v>0</v>
      </c>
      <c r="Y605" s="58">
        <v>75</v>
      </c>
      <c r="Z605" s="58">
        <v>4875</v>
      </c>
      <c r="AA605" s="58">
        <v>15139.55</v>
      </c>
      <c r="AE605" s="57"/>
    </row>
    <row r="606" spans="1:31" x14ac:dyDescent="0.35">
      <c r="A606" s="56" t="s">
        <v>671</v>
      </c>
      <c r="B606" s="58">
        <v>15000</v>
      </c>
      <c r="C606" s="58" t="s">
        <v>2075</v>
      </c>
      <c r="D606" s="58">
        <v>812</v>
      </c>
      <c r="E606" s="58">
        <v>77</v>
      </c>
      <c r="F606" s="58">
        <v>10.476190476190476</v>
      </c>
      <c r="G606" s="58">
        <v>209</v>
      </c>
      <c r="H606" s="58">
        <v>23.71</v>
      </c>
      <c r="I606" s="58">
        <v>450</v>
      </c>
      <c r="J606" s="58">
        <v>-42.149999999999977</v>
      </c>
      <c r="K606" s="58">
        <v>-8.5644620542517487</v>
      </c>
      <c r="L606" s="58">
        <v>12675</v>
      </c>
      <c r="M606" s="58">
        <v>11850</v>
      </c>
      <c r="N606" s="58">
        <v>15139.55</v>
      </c>
      <c r="O606" s="58">
        <v>15000</v>
      </c>
      <c r="P606" s="58" t="s">
        <v>2075</v>
      </c>
      <c r="Q606" s="58">
        <v>394</v>
      </c>
      <c r="R606" s="58">
        <v>49</v>
      </c>
      <c r="S606" s="58">
        <v>14.202898550724637</v>
      </c>
      <c r="T606" s="58">
        <v>67</v>
      </c>
      <c r="U606" s="58">
        <v>17.3</v>
      </c>
      <c r="V606" s="58">
        <v>736.05</v>
      </c>
      <c r="W606" s="58">
        <v>0.25</v>
      </c>
      <c r="X606" s="58">
        <v>3.3976624082631149E-2</v>
      </c>
      <c r="Y606" s="58">
        <v>11775</v>
      </c>
      <c r="Z606" s="58">
        <v>13950</v>
      </c>
      <c r="AA606" s="58">
        <v>15143.3</v>
      </c>
      <c r="AE606" s="57"/>
    </row>
    <row r="607" spans="1:31" x14ac:dyDescent="0.35">
      <c r="A607" s="56" t="s">
        <v>672</v>
      </c>
      <c r="B607" s="58">
        <v>15000</v>
      </c>
      <c r="C607" s="58" t="s">
        <v>33</v>
      </c>
      <c r="D607" s="58">
        <v>61412</v>
      </c>
      <c r="E607" s="58">
        <v>20101</v>
      </c>
      <c r="F607" s="58">
        <v>48.657742489893735</v>
      </c>
      <c r="G607" s="58">
        <v>664501</v>
      </c>
      <c r="H607" s="58">
        <v>15.38</v>
      </c>
      <c r="I607" s="58">
        <v>7.1</v>
      </c>
      <c r="J607" s="58">
        <v>-31.199999999999996</v>
      </c>
      <c r="K607" s="58">
        <v>-81.462140992167093</v>
      </c>
      <c r="L607" s="58">
        <v>5024400</v>
      </c>
      <c r="M607" s="58">
        <v>1228800</v>
      </c>
      <c r="N607" s="58">
        <v>15139.55</v>
      </c>
      <c r="O607" s="58">
        <v>15000</v>
      </c>
      <c r="P607" s="58" t="s">
        <v>33</v>
      </c>
      <c r="Q607" s="58">
        <v>21195</v>
      </c>
      <c r="R607" s="58">
        <v>-7666</v>
      </c>
      <c r="S607" s="58">
        <v>-26.561796195558021</v>
      </c>
      <c r="T607" s="58">
        <v>89333</v>
      </c>
      <c r="U607" s="58">
        <v>14.99</v>
      </c>
      <c r="V607" s="58">
        <v>151</v>
      </c>
      <c r="W607" s="58">
        <v>16.25</v>
      </c>
      <c r="X607" s="58">
        <v>12.059369202226346</v>
      </c>
      <c r="Y607" s="58">
        <v>2097150</v>
      </c>
      <c r="Z607" s="58">
        <v>230850</v>
      </c>
      <c r="AA607" s="58">
        <v>15143.3</v>
      </c>
      <c r="AE607" s="57"/>
    </row>
    <row r="608" spans="1:31" x14ac:dyDescent="0.35">
      <c r="A608" s="56" t="s">
        <v>673</v>
      </c>
      <c r="B608" s="58">
        <v>15000</v>
      </c>
      <c r="C608" s="58" t="s">
        <v>31</v>
      </c>
      <c r="D608" s="58">
        <v>0</v>
      </c>
      <c r="E608" s="58">
        <v>0</v>
      </c>
      <c r="F608" s="58">
        <v>0</v>
      </c>
      <c r="G608" s="58">
        <v>0</v>
      </c>
      <c r="H608" s="58">
        <v>0</v>
      </c>
      <c r="I608" s="58">
        <v>0</v>
      </c>
      <c r="J608" s="58">
        <v>0</v>
      </c>
      <c r="K608" s="58">
        <v>0</v>
      </c>
      <c r="L608" s="58">
        <v>1200</v>
      </c>
      <c r="M608" s="58">
        <v>0</v>
      </c>
      <c r="N608" s="58">
        <v>15143.3</v>
      </c>
      <c r="O608" s="58">
        <v>15000</v>
      </c>
      <c r="P608" s="58" t="s">
        <v>31</v>
      </c>
      <c r="Q608" s="58">
        <v>0</v>
      </c>
      <c r="R608" s="58">
        <v>0</v>
      </c>
      <c r="S608" s="58">
        <v>0</v>
      </c>
      <c r="T608" s="58">
        <v>0</v>
      </c>
      <c r="U608" s="58">
        <v>0</v>
      </c>
      <c r="V608" s="58">
        <v>0</v>
      </c>
      <c r="W608" s="58">
        <v>0</v>
      </c>
      <c r="X608" s="58">
        <v>0</v>
      </c>
      <c r="Y608" s="58">
        <v>1650</v>
      </c>
      <c r="Z608" s="58">
        <v>0</v>
      </c>
      <c r="AA608" s="58">
        <v>15139.55</v>
      </c>
      <c r="AE608" s="57"/>
    </row>
    <row r="609" spans="1:31" x14ac:dyDescent="0.35">
      <c r="A609" s="56" t="s">
        <v>674</v>
      </c>
      <c r="B609" s="58">
        <v>15000</v>
      </c>
      <c r="C609" s="58" t="s">
        <v>29</v>
      </c>
      <c r="D609" s="58">
        <v>1063</v>
      </c>
      <c r="E609" s="58">
        <v>1</v>
      </c>
      <c r="F609" s="58">
        <v>9.4161958568738241E-2</v>
      </c>
      <c r="G609" s="58">
        <v>15</v>
      </c>
      <c r="H609" s="58">
        <v>27.8</v>
      </c>
      <c r="I609" s="58">
        <v>881.95</v>
      </c>
      <c r="J609" s="58">
        <v>-35</v>
      </c>
      <c r="K609" s="58">
        <v>-3.8170020175582091</v>
      </c>
      <c r="L609" s="58">
        <v>4725</v>
      </c>
      <c r="M609" s="58">
        <v>3825</v>
      </c>
      <c r="N609" s="58">
        <v>15139.55</v>
      </c>
      <c r="O609" s="58">
        <v>15000</v>
      </c>
      <c r="P609" s="58" t="s">
        <v>29</v>
      </c>
      <c r="Q609" s="58">
        <v>790</v>
      </c>
      <c r="R609" s="58">
        <v>0</v>
      </c>
      <c r="S609" s="58">
        <v>0</v>
      </c>
      <c r="T609" s="58">
        <v>1</v>
      </c>
      <c r="U609" s="58">
        <v>10.76</v>
      </c>
      <c r="V609" s="58">
        <v>1434</v>
      </c>
      <c r="W609" s="58">
        <v>58.349999999999909</v>
      </c>
      <c r="X609" s="58">
        <v>4.2416312288736169</v>
      </c>
      <c r="Y609" s="58">
        <v>4800</v>
      </c>
      <c r="Z609" s="58">
        <v>3825</v>
      </c>
      <c r="AA609" s="58">
        <v>15139.55</v>
      </c>
      <c r="AE609" s="57"/>
    </row>
    <row r="610" spans="1:31" x14ac:dyDescent="0.35">
      <c r="A610" s="56" t="s">
        <v>675</v>
      </c>
      <c r="B610" s="58">
        <v>0</v>
      </c>
      <c r="C610" s="58">
        <v>0</v>
      </c>
      <c r="D610" s="58">
        <v>0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0</v>
      </c>
      <c r="M610" s="58">
        <v>0</v>
      </c>
      <c r="N610" s="58">
        <v>0</v>
      </c>
      <c r="O610" s="58">
        <v>15000</v>
      </c>
      <c r="P610" s="58" t="s">
        <v>28</v>
      </c>
      <c r="Q610" s="58">
        <v>13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0</v>
      </c>
      <c r="Z610" s="58">
        <v>600</v>
      </c>
      <c r="AA610" s="58">
        <v>15139.55</v>
      </c>
      <c r="AE610" s="57"/>
    </row>
    <row r="611" spans="1:31" x14ac:dyDescent="0.35">
      <c r="A611" s="56" t="s">
        <v>676</v>
      </c>
      <c r="B611" s="58">
        <v>0</v>
      </c>
      <c r="C611" s="58">
        <v>0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0</v>
      </c>
      <c r="O611" s="58">
        <v>15000</v>
      </c>
      <c r="P611" s="58" t="s">
        <v>2077</v>
      </c>
      <c r="Q611" s="58">
        <v>6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0</v>
      </c>
      <c r="Z611" s="58">
        <v>0</v>
      </c>
      <c r="AA611" s="58">
        <v>15143.3</v>
      </c>
      <c r="AE611" s="57"/>
    </row>
    <row r="612" spans="1:31" x14ac:dyDescent="0.35">
      <c r="A612" s="56" t="s">
        <v>677</v>
      </c>
      <c r="B612" s="58">
        <v>15000</v>
      </c>
      <c r="C612" s="58" t="s">
        <v>35</v>
      </c>
      <c r="D612" s="58">
        <v>9</v>
      </c>
      <c r="E612" s="58">
        <v>0</v>
      </c>
      <c r="F612" s="58">
        <v>0</v>
      </c>
      <c r="G612" s="58">
        <v>0</v>
      </c>
      <c r="H612" s="58">
        <v>0</v>
      </c>
      <c r="I612" s="58">
        <v>0</v>
      </c>
      <c r="J612" s="58">
        <v>0</v>
      </c>
      <c r="K612" s="58">
        <v>0</v>
      </c>
      <c r="L612" s="58">
        <v>0</v>
      </c>
      <c r="M612" s="58">
        <v>150</v>
      </c>
      <c r="N612" s="58">
        <v>15139.55</v>
      </c>
      <c r="O612" s="58">
        <v>0</v>
      </c>
      <c r="P612" s="58">
        <v>0</v>
      </c>
      <c r="Q612" s="58">
        <v>0</v>
      </c>
      <c r="R612" s="58">
        <v>0</v>
      </c>
      <c r="S612" s="58">
        <v>0</v>
      </c>
      <c r="T612" s="58">
        <v>0</v>
      </c>
      <c r="U612" s="58">
        <v>0</v>
      </c>
      <c r="V612" s="58">
        <v>0</v>
      </c>
      <c r="W612" s="58">
        <v>0</v>
      </c>
      <c r="X612" s="58">
        <v>0</v>
      </c>
      <c r="Y612" s="58">
        <v>0</v>
      </c>
      <c r="Z612" s="58">
        <v>0</v>
      </c>
      <c r="AA612" s="58">
        <v>0</v>
      </c>
      <c r="AE612" s="57"/>
    </row>
    <row r="613" spans="1:31" x14ac:dyDescent="0.35">
      <c r="A613" s="56" t="s">
        <v>678</v>
      </c>
      <c r="B613" s="58">
        <v>15000</v>
      </c>
      <c r="C613" s="58" t="s">
        <v>34</v>
      </c>
      <c r="D613" s="58">
        <v>9405</v>
      </c>
      <c r="E613" s="58">
        <v>2022</v>
      </c>
      <c r="F613" s="58">
        <v>27.387240958959772</v>
      </c>
      <c r="G613" s="58">
        <v>33496</v>
      </c>
      <c r="H613" s="58">
        <v>21.64</v>
      </c>
      <c r="I613" s="58">
        <v>115.85</v>
      </c>
      <c r="J613" s="58">
        <v>-30.75</v>
      </c>
      <c r="K613" s="58">
        <v>-20.975443383356073</v>
      </c>
      <c r="L613" s="58">
        <v>131550</v>
      </c>
      <c r="M613" s="58">
        <v>145275</v>
      </c>
      <c r="N613" s="58">
        <v>15143.3</v>
      </c>
      <c r="O613" s="58">
        <v>15000</v>
      </c>
      <c r="P613" s="58" t="s">
        <v>34</v>
      </c>
      <c r="Q613" s="58">
        <v>4974</v>
      </c>
      <c r="R613" s="58">
        <v>-374</v>
      </c>
      <c r="S613" s="58">
        <v>-6.9932685115931186</v>
      </c>
      <c r="T613" s="58">
        <v>8698</v>
      </c>
      <c r="U613" s="58">
        <v>18.61</v>
      </c>
      <c r="V613" s="58">
        <v>268.7</v>
      </c>
      <c r="W613" s="58">
        <v>10.599999999999966</v>
      </c>
      <c r="X613" s="58">
        <v>4.106935296396732</v>
      </c>
      <c r="Y613" s="58">
        <v>44700</v>
      </c>
      <c r="Z613" s="58">
        <v>59250</v>
      </c>
      <c r="AA613" s="58">
        <v>15139.55</v>
      </c>
      <c r="AE613" s="57"/>
    </row>
    <row r="614" spans="1:31" x14ac:dyDescent="0.35">
      <c r="A614" s="56" t="s">
        <v>679</v>
      </c>
      <c r="B614" s="58">
        <v>15000</v>
      </c>
      <c r="C614" s="58" t="s">
        <v>27</v>
      </c>
      <c r="D614" s="58">
        <v>248</v>
      </c>
      <c r="E614" s="58">
        <v>120</v>
      </c>
      <c r="F614" s="58">
        <v>93.75</v>
      </c>
      <c r="G614" s="58">
        <v>169</v>
      </c>
      <c r="H614" s="58">
        <v>24.16</v>
      </c>
      <c r="I614" s="58">
        <v>520</v>
      </c>
      <c r="J614" s="58">
        <v>-96.049999999999955</v>
      </c>
      <c r="K614" s="58">
        <v>-15.591266942618288</v>
      </c>
      <c r="L614" s="58">
        <v>10875</v>
      </c>
      <c r="M614" s="58">
        <v>9225</v>
      </c>
      <c r="N614" s="58">
        <v>15139.55</v>
      </c>
      <c r="O614" s="58">
        <v>15000</v>
      </c>
      <c r="P614" s="58" t="s">
        <v>27</v>
      </c>
      <c r="Q614" s="58">
        <v>137</v>
      </c>
      <c r="R614" s="58">
        <v>1</v>
      </c>
      <c r="S614" s="58">
        <v>0.73529411764705888</v>
      </c>
      <c r="T614" s="58">
        <v>2</v>
      </c>
      <c r="U614" s="58">
        <v>15.77</v>
      </c>
      <c r="V614" s="58">
        <v>835.85</v>
      </c>
      <c r="W614" s="58">
        <v>20.200000000000045</v>
      </c>
      <c r="X614" s="58">
        <v>2.4765524428370069</v>
      </c>
      <c r="Y614" s="58">
        <v>4125</v>
      </c>
      <c r="Z614" s="58">
        <v>1875</v>
      </c>
      <c r="AA614" s="58">
        <v>15143.3</v>
      </c>
      <c r="AE614" s="57"/>
    </row>
    <row r="615" spans="1:31" x14ac:dyDescent="0.35">
      <c r="A615" s="56" t="s">
        <v>680</v>
      </c>
      <c r="B615" s="58">
        <v>15050</v>
      </c>
      <c r="C615" s="58" t="s">
        <v>34</v>
      </c>
      <c r="D615" s="58">
        <v>660</v>
      </c>
      <c r="E615" s="58">
        <v>236</v>
      </c>
      <c r="F615" s="58">
        <v>55.660377358490557</v>
      </c>
      <c r="G615" s="58">
        <v>4443</v>
      </c>
      <c r="H615" s="58">
        <v>21.24</v>
      </c>
      <c r="I615" s="58">
        <v>135</v>
      </c>
      <c r="J615" s="58">
        <v>-34.25</v>
      </c>
      <c r="K615" s="58">
        <v>-20.236336779911372</v>
      </c>
      <c r="L615" s="58">
        <v>43725</v>
      </c>
      <c r="M615" s="58">
        <v>40125</v>
      </c>
      <c r="N615" s="58">
        <v>15143.3</v>
      </c>
      <c r="O615" s="58">
        <v>15050</v>
      </c>
      <c r="P615" s="58" t="s">
        <v>34</v>
      </c>
      <c r="Q615" s="58">
        <v>582</v>
      </c>
      <c r="R615" s="58">
        <v>-41</v>
      </c>
      <c r="S615" s="58">
        <v>-6.5810593900481544</v>
      </c>
      <c r="T615" s="58">
        <v>1430</v>
      </c>
      <c r="U615" s="58">
        <v>18.93</v>
      </c>
      <c r="V615" s="58">
        <v>237.1</v>
      </c>
      <c r="W615" s="58">
        <v>9.4499999999999886</v>
      </c>
      <c r="X615" s="58">
        <v>4.1511091587963929</v>
      </c>
      <c r="Y615" s="58">
        <v>25875</v>
      </c>
      <c r="Z615" s="58">
        <v>28425</v>
      </c>
      <c r="AA615" s="58">
        <v>15143.3</v>
      </c>
      <c r="AE615" s="57"/>
    </row>
    <row r="616" spans="1:31" x14ac:dyDescent="0.35">
      <c r="A616" s="56" t="s">
        <v>681</v>
      </c>
      <c r="B616" s="58">
        <v>15050</v>
      </c>
      <c r="C616" s="58" t="s">
        <v>64</v>
      </c>
      <c r="D616" s="58">
        <v>0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10950</v>
      </c>
      <c r="M616" s="58">
        <v>7350</v>
      </c>
      <c r="N616" s="58">
        <v>15143.3</v>
      </c>
      <c r="O616" s="58">
        <v>15050</v>
      </c>
      <c r="P616" s="58" t="s">
        <v>64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6225</v>
      </c>
      <c r="Z616" s="58">
        <v>6675</v>
      </c>
      <c r="AA616" s="58">
        <v>15139.55</v>
      </c>
      <c r="AE616" s="57"/>
    </row>
    <row r="617" spans="1:31" x14ac:dyDescent="0.35">
      <c r="A617" s="56" t="s">
        <v>682</v>
      </c>
      <c r="B617" s="58">
        <v>15050</v>
      </c>
      <c r="C617" s="58" t="s">
        <v>2071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2775</v>
      </c>
      <c r="M617" s="58">
        <v>9750</v>
      </c>
      <c r="N617" s="58">
        <v>15143.3</v>
      </c>
      <c r="O617" s="58">
        <v>15050</v>
      </c>
      <c r="P617" s="58" t="s">
        <v>2071</v>
      </c>
      <c r="Q617" s="58">
        <v>0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4050</v>
      </c>
      <c r="Z617" s="58">
        <v>4875</v>
      </c>
      <c r="AA617" s="58">
        <v>15139.55</v>
      </c>
      <c r="AE617" s="57"/>
    </row>
    <row r="618" spans="1:31" x14ac:dyDescent="0.35">
      <c r="A618" s="56" t="s">
        <v>683</v>
      </c>
      <c r="B618" s="58">
        <v>15050</v>
      </c>
      <c r="C618" s="58" t="s">
        <v>2073</v>
      </c>
      <c r="D618" s="58">
        <v>0</v>
      </c>
      <c r="E618" s="58">
        <v>0</v>
      </c>
      <c r="F618" s="58">
        <v>0</v>
      </c>
      <c r="G618" s="58">
        <v>0</v>
      </c>
      <c r="H618" s="58">
        <v>0</v>
      </c>
      <c r="I618" s="58">
        <v>0</v>
      </c>
      <c r="J618" s="58">
        <v>0</v>
      </c>
      <c r="K618" s="58">
        <v>0</v>
      </c>
      <c r="L618" s="58">
        <v>2775</v>
      </c>
      <c r="M618" s="58">
        <v>9750</v>
      </c>
      <c r="N618" s="58">
        <v>15143.3</v>
      </c>
      <c r="O618" s="58">
        <v>15050</v>
      </c>
      <c r="P618" s="58" t="s">
        <v>2073</v>
      </c>
      <c r="Q618" s="58">
        <v>0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4125</v>
      </c>
      <c r="Z618" s="58">
        <v>4875</v>
      </c>
      <c r="AA618" s="58">
        <v>15139.55</v>
      </c>
      <c r="AE618" s="57"/>
    </row>
    <row r="619" spans="1:31" x14ac:dyDescent="0.35">
      <c r="A619" s="56" t="s">
        <v>684</v>
      </c>
      <c r="B619" s="58">
        <v>15050</v>
      </c>
      <c r="C619" s="58" t="s">
        <v>26</v>
      </c>
      <c r="D619" s="58">
        <v>498</v>
      </c>
      <c r="E619" s="58">
        <v>17</v>
      </c>
      <c r="F619" s="58">
        <v>3.5343035343035343</v>
      </c>
      <c r="G619" s="58">
        <v>469</v>
      </c>
      <c r="H619" s="58">
        <v>23.18</v>
      </c>
      <c r="I619" s="58">
        <v>215.9</v>
      </c>
      <c r="J619" s="58">
        <v>-38.949999999999989</v>
      </c>
      <c r="K619" s="58">
        <v>-15.283500098096916</v>
      </c>
      <c r="L619" s="58">
        <v>31950</v>
      </c>
      <c r="M619" s="58">
        <v>24750</v>
      </c>
      <c r="N619" s="58">
        <v>15139.55</v>
      </c>
      <c r="O619" s="58">
        <v>15050</v>
      </c>
      <c r="P619" s="58" t="s">
        <v>26</v>
      </c>
      <c r="Q619" s="58">
        <v>588</v>
      </c>
      <c r="R619" s="58">
        <v>-28</v>
      </c>
      <c r="S619" s="58">
        <v>-4.5454545454545459</v>
      </c>
      <c r="T619" s="58">
        <v>238</v>
      </c>
      <c r="U619" s="58">
        <v>20.46</v>
      </c>
      <c r="V619" s="58">
        <v>328.1</v>
      </c>
      <c r="W619" s="58">
        <v>-2.1499999999999773</v>
      </c>
      <c r="X619" s="58">
        <v>-0.65102195306585231</v>
      </c>
      <c r="Y619" s="58">
        <v>22500</v>
      </c>
      <c r="Z619" s="58">
        <v>22425</v>
      </c>
      <c r="AA619" s="58">
        <v>15143.3</v>
      </c>
      <c r="AE619" s="57"/>
    </row>
    <row r="620" spans="1:31" x14ac:dyDescent="0.35">
      <c r="A620" s="56" t="s">
        <v>685</v>
      </c>
      <c r="B620" s="58">
        <v>15050</v>
      </c>
      <c r="C620" s="58" t="s">
        <v>2068</v>
      </c>
      <c r="D620" s="58">
        <v>88</v>
      </c>
      <c r="E620" s="58">
        <v>2</v>
      </c>
      <c r="F620" s="58">
        <v>2.3255813953488373</v>
      </c>
      <c r="G620" s="58">
        <v>9</v>
      </c>
      <c r="H620" s="58">
        <v>22.22</v>
      </c>
      <c r="I620" s="58">
        <v>359.9</v>
      </c>
      <c r="J620" s="58">
        <v>-31.300000000000011</v>
      </c>
      <c r="K620" s="58">
        <v>-8.001022494887529</v>
      </c>
      <c r="L620" s="58">
        <v>5850</v>
      </c>
      <c r="M620" s="58">
        <v>5625</v>
      </c>
      <c r="N620" s="58">
        <v>15143.3</v>
      </c>
      <c r="O620" s="58">
        <v>15050</v>
      </c>
      <c r="P620" s="58" t="s">
        <v>2068</v>
      </c>
      <c r="Q620" s="58">
        <v>12</v>
      </c>
      <c r="R620" s="58">
        <v>0</v>
      </c>
      <c r="S620" s="58">
        <v>0</v>
      </c>
      <c r="T620" s="58">
        <v>0</v>
      </c>
      <c r="U620" s="58">
        <v>0</v>
      </c>
      <c r="V620" s="58">
        <v>0</v>
      </c>
      <c r="W620" s="58">
        <v>0</v>
      </c>
      <c r="X620" s="58">
        <v>0</v>
      </c>
      <c r="Y620" s="58">
        <v>5775</v>
      </c>
      <c r="Z620" s="58">
        <v>9975</v>
      </c>
      <c r="AA620" s="58">
        <v>15139.55</v>
      </c>
      <c r="AE620" s="57"/>
    </row>
    <row r="621" spans="1:31" x14ac:dyDescent="0.35">
      <c r="A621" s="56" t="s">
        <v>686</v>
      </c>
      <c r="B621" s="58">
        <v>15050</v>
      </c>
      <c r="C621" s="58" t="s">
        <v>2076</v>
      </c>
      <c r="D621" s="58">
        <v>1</v>
      </c>
      <c r="E621" s="58">
        <v>0</v>
      </c>
      <c r="F621" s="58">
        <v>0</v>
      </c>
      <c r="G621" s="58">
        <v>0</v>
      </c>
      <c r="H621" s="58">
        <v>0</v>
      </c>
      <c r="I621" s="58">
        <v>0</v>
      </c>
      <c r="J621" s="58">
        <v>0</v>
      </c>
      <c r="K621" s="58">
        <v>0</v>
      </c>
      <c r="L621" s="58">
        <v>0</v>
      </c>
      <c r="M621" s="58">
        <v>5025</v>
      </c>
      <c r="N621" s="58">
        <v>15139.55</v>
      </c>
      <c r="O621" s="58">
        <v>15050</v>
      </c>
      <c r="P621" s="58" t="s">
        <v>2076</v>
      </c>
      <c r="Q621" s="58">
        <v>0</v>
      </c>
      <c r="R621" s="58">
        <v>0</v>
      </c>
      <c r="S621" s="58">
        <v>0</v>
      </c>
      <c r="T621" s="58">
        <v>0</v>
      </c>
      <c r="U621" s="58">
        <v>0</v>
      </c>
      <c r="V621" s="58">
        <v>0</v>
      </c>
      <c r="W621" s="58">
        <v>0</v>
      </c>
      <c r="X621" s="58">
        <v>0</v>
      </c>
      <c r="Y621" s="58">
        <v>0</v>
      </c>
      <c r="Z621" s="58">
        <v>4875</v>
      </c>
      <c r="AA621" s="58">
        <v>15139.55</v>
      </c>
      <c r="AE621" s="57"/>
    </row>
    <row r="622" spans="1:31" x14ac:dyDescent="0.35">
      <c r="A622" s="56" t="s">
        <v>687</v>
      </c>
      <c r="B622" s="58">
        <v>15050</v>
      </c>
      <c r="C622" s="58" t="s">
        <v>2075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0</v>
      </c>
      <c r="M622" s="58">
        <v>4875</v>
      </c>
      <c r="N622" s="58">
        <v>15139.55</v>
      </c>
      <c r="O622" s="58">
        <v>15050</v>
      </c>
      <c r="P622" s="58" t="s">
        <v>2075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0</v>
      </c>
      <c r="Z622" s="58">
        <v>4875</v>
      </c>
      <c r="AA622" s="58">
        <v>15139.55</v>
      </c>
      <c r="AE622" s="57"/>
    </row>
    <row r="623" spans="1:31" x14ac:dyDescent="0.35">
      <c r="A623" s="56" t="s">
        <v>688</v>
      </c>
      <c r="B623" s="58">
        <v>15050</v>
      </c>
      <c r="C623" s="58" t="s">
        <v>33</v>
      </c>
      <c r="D623" s="58">
        <v>22850</v>
      </c>
      <c r="E623" s="58">
        <v>14601</v>
      </c>
      <c r="F623" s="58">
        <v>177.00327312401504</v>
      </c>
      <c r="G623" s="58">
        <v>256583</v>
      </c>
      <c r="H623" s="58">
        <v>14.35</v>
      </c>
      <c r="I623" s="58">
        <v>13.4</v>
      </c>
      <c r="J623" s="58">
        <v>-40.9</v>
      </c>
      <c r="K623" s="58">
        <v>-75.322283609576431</v>
      </c>
      <c r="L623" s="58">
        <v>2392575</v>
      </c>
      <c r="M623" s="58">
        <v>390750</v>
      </c>
      <c r="N623" s="58">
        <v>15143.3</v>
      </c>
      <c r="O623" s="58">
        <v>15050</v>
      </c>
      <c r="P623" s="58" t="s">
        <v>33</v>
      </c>
      <c r="Q623" s="58">
        <v>6686</v>
      </c>
      <c r="R623" s="58">
        <v>-1496</v>
      </c>
      <c r="S623" s="58">
        <v>-18.284038132485943</v>
      </c>
      <c r="T623" s="58">
        <v>45299</v>
      </c>
      <c r="U623" s="58">
        <v>14.75</v>
      </c>
      <c r="V623" s="58">
        <v>106.85</v>
      </c>
      <c r="W623" s="58">
        <v>7.1999999999999886</v>
      </c>
      <c r="X623" s="58">
        <v>7.2252885097842334</v>
      </c>
      <c r="Y623" s="58">
        <v>1728900</v>
      </c>
      <c r="Z623" s="58">
        <v>159675</v>
      </c>
      <c r="AA623" s="58">
        <v>15139.55</v>
      </c>
      <c r="AE623" s="57"/>
    </row>
    <row r="624" spans="1:31" x14ac:dyDescent="0.35">
      <c r="A624" s="56" t="s">
        <v>689</v>
      </c>
      <c r="B624" s="58">
        <v>0</v>
      </c>
      <c r="C624" s="58">
        <v>0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0</v>
      </c>
      <c r="O624" s="58">
        <v>15050</v>
      </c>
      <c r="P624" s="58" t="s">
        <v>2074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0</v>
      </c>
      <c r="Z624" s="58">
        <v>4875</v>
      </c>
      <c r="AA624" s="58">
        <v>15143.3</v>
      </c>
      <c r="AE624" s="57"/>
    </row>
    <row r="625" spans="1:31" x14ac:dyDescent="0.35">
      <c r="A625" s="56" t="s">
        <v>690</v>
      </c>
      <c r="B625" s="58">
        <v>15100</v>
      </c>
      <c r="C625" s="58" t="s">
        <v>34</v>
      </c>
      <c r="D625" s="58">
        <v>6569</v>
      </c>
      <c r="E625" s="58">
        <v>3662</v>
      </c>
      <c r="F625" s="58">
        <v>125.9717922256622</v>
      </c>
      <c r="G625" s="58">
        <v>26747</v>
      </c>
      <c r="H625" s="58">
        <v>21.36</v>
      </c>
      <c r="I625" s="58">
        <v>153.9</v>
      </c>
      <c r="J625" s="58">
        <v>-30.900000000000009</v>
      </c>
      <c r="K625" s="58">
        <v>-16.720779220779221</v>
      </c>
      <c r="L625" s="58">
        <v>94050</v>
      </c>
      <c r="M625" s="58">
        <v>98850</v>
      </c>
      <c r="N625" s="58">
        <v>15143.3</v>
      </c>
      <c r="O625" s="58">
        <v>15100</v>
      </c>
      <c r="P625" s="58" t="s">
        <v>34</v>
      </c>
      <c r="Q625" s="58">
        <v>8003</v>
      </c>
      <c r="R625" s="58">
        <v>2665</v>
      </c>
      <c r="S625" s="58">
        <v>49.925065567628323</v>
      </c>
      <c r="T625" s="58">
        <v>16721</v>
      </c>
      <c r="U625" s="58">
        <v>18.59</v>
      </c>
      <c r="V625" s="58">
        <v>205</v>
      </c>
      <c r="W625" s="58">
        <v>1.9499999999999889</v>
      </c>
      <c r="X625" s="58">
        <v>0.9603545924649044</v>
      </c>
      <c r="Y625" s="58">
        <v>63150</v>
      </c>
      <c r="Z625" s="58">
        <v>99975</v>
      </c>
      <c r="AA625" s="58">
        <v>15139.55</v>
      </c>
      <c r="AE625" s="57"/>
    </row>
    <row r="626" spans="1:31" x14ac:dyDescent="0.35">
      <c r="A626" s="56" t="s">
        <v>691</v>
      </c>
      <c r="B626" s="58">
        <v>15100</v>
      </c>
      <c r="C626" s="58" t="s">
        <v>26</v>
      </c>
      <c r="D626" s="58">
        <v>6272</v>
      </c>
      <c r="E626" s="58">
        <v>836</v>
      </c>
      <c r="F626" s="58">
        <v>15.378955114054452</v>
      </c>
      <c r="G626" s="58">
        <v>8246</v>
      </c>
      <c r="H626" s="58">
        <v>23.23</v>
      </c>
      <c r="I626" s="58">
        <v>233.9</v>
      </c>
      <c r="J626" s="58">
        <v>-39.650000000000006</v>
      </c>
      <c r="K626" s="58">
        <v>-14.494607932736248</v>
      </c>
      <c r="L626" s="58">
        <v>62775</v>
      </c>
      <c r="M626" s="58">
        <v>64950</v>
      </c>
      <c r="N626" s="58">
        <v>15139.55</v>
      </c>
      <c r="O626" s="58">
        <v>15100</v>
      </c>
      <c r="P626" s="58" t="s">
        <v>26</v>
      </c>
      <c r="Q626" s="58">
        <v>8218</v>
      </c>
      <c r="R626" s="58">
        <v>-174</v>
      </c>
      <c r="S626" s="58">
        <v>-2.0734032411820782</v>
      </c>
      <c r="T626" s="58">
        <v>6790</v>
      </c>
      <c r="U626" s="58">
        <v>20.399999999999999</v>
      </c>
      <c r="V626" s="58">
        <v>305</v>
      </c>
      <c r="W626" s="58">
        <v>2.1999999999999886</v>
      </c>
      <c r="X626" s="58">
        <v>0.72655217965653518</v>
      </c>
      <c r="Y626" s="58">
        <v>62550</v>
      </c>
      <c r="Z626" s="58">
        <v>92475</v>
      </c>
      <c r="AA626" s="58">
        <v>15139.55</v>
      </c>
      <c r="AE626" s="57"/>
    </row>
    <row r="627" spans="1:31" x14ac:dyDescent="0.35">
      <c r="A627" s="56" t="s">
        <v>692</v>
      </c>
      <c r="B627" s="58">
        <v>15100</v>
      </c>
      <c r="C627" s="58" t="s">
        <v>64</v>
      </c>
      <c r="D627" s="58">
        <v>2983</v>
      </c>
      <c r="E627" s="58">
        <v>73</v>
      </c>
      <c r="F627" s="58">
        <v>2.5085910652920962</v>
      </c>
      <c r="G627" s="58">
        <v>147</v>
      </c>
      <c r="H627" s="58">
        <v>23.83</v>
      </c>
      <c r="I627" s="58">
        <v>292</v>
      </c>
      <c r="J627" s="58">
        <v>-33.300000000000011</v>
      </c>
      <c r="K627" s="58">
        <v>-10.236704580387338</v>
      </c>
      <c r="L627" s="58">
        <v>10125</v>
      </c>
      <c r="M627" s="58">
        <v>8625</v>
      </c>
      <c r="N627" s="58">
        <v>15143.3</v>
      </c>
      <c r="O627" s="58">
        <v>15100</v>
      </c>
      <c r="P627" s="58" t="s">
        <v>64</v>
      </c>
      <c r="Q627" s="58">
        <v>2928</v>
      </c>
      <c r="R627" s="58">
        <v>-3</v>
      </c>
      <c r="S627" s="58">
        <v>-0.10235414534288639</v>
      </c>
      <c r="T627" s="58">
        <v>9</v>
      </c>
      <c r="U627" s="58">
        <v>20.85</v>
      </c>
      <c r="V627" s="58">
        <v>375.25</v>
      </c>
      <c r="W627" s="58">
        <v>-0.75</v>
      </c>
      <c r="X627" s="58">
        <v>-0.19946808510638295</v>
      </c>
      <c r="Y627" s="58">
        <v>9375</v>
      </c>
      <c r="Z627" s="58">
        <v>9900</v>
      </c>
      <c r="AA627" s="58">
        <v>15139.55</v>
      </c>
      <c r="AE627" s="57"/>
    </row>
    <row r="628" spans="1:31" x14ac:dyDescent="0.35">
      <c r="A628" s="56" t="s">
        <v>693</v>
      </c>
      <c r="B628" s="58">
        <v>15100</v>
      </c>
      <c r="C628" s="58" t="s">
        <v>2071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3300</v>
      </c>
      <c r="M628" s="58">
        <v>10575</v>
      </c>
      <c r="N628" s="58">
        <v>15143.3</v>
      </c>
      <c r="O628" s="58">
        <v>15100</v>
      </c>
      <c r="P628" s="58" t="s">
        <v>2071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4725</v>
      </c>
      <c r="Z628" s="58">
        <v>5925</v>
      </c>
      <c r="AA628" s="58">
        <v>15143.3</v>
      </c>
      <c r="AE628" s="57"/>
    </row>
    <row r="629" spans="1:31" x14ac:dyDescent="0.35">
      <c r="A629" s="56" t="s">
        <v>694</v>
      </c>
      <c r="B629" s="58">
        <v>15100</v>
      </c>
      <c r="C629" s="58" t="s">
        <v>2073</v>
      </c>
      <c r="D629" s="58">
        <v>0</v>
      </c>
      <c r="E629" s="58">
        <v>0</v>
      </c>
      <c r="F629" s="58">
        <v>0</v>
      </c>
      <c r="G629" s="58">
        <v>0</v>
      </c>
      <c r="H629" s="58">
        <v>0</v>
      </c>
      <c r="I629" s="58">
        <v>0</v>
      </c>
      <c r="J629" s="58">
        <v>0</v>
      </c>
      <c r="K629" s="58">
        <v>0</v>
      </c>
      <c r="L629" s="58">
        <v>2775</v>
      </c>
      <c r="M629" s="58">
        <v>9750</v>
      </c>
      <c r="N629" s="58">
        <v>15139.55</v>
      </c>
      <c r="O629" s="58">
        <v>15100</v>
      </c>
      <c r="P629" s="58" t="s">
        <v>2073</v>
      </c>
      <c r="Q629" s="58">
        <v>0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4275</v>
      </c>
      <c r="Z629" s="58">
        <v>4875</v>
      </c>
      <c r="AA629" s="58">
        <v>15139.55</v>
      </c>
      <c r="AE629" s="57"/>
    </row>
    <row r="630" spans="1:31" x14ac:dyDescent="0.35">
      <c r="A630" s="56" t="s">
        <v>695</v>
      </c>
      <c r="B630" s="58">
        <v>0</v>
      </c>
      <c r="C630" s="58">
        <v>0</v>
      </c>
      <c r="D630" s="58">
        <v>0</v>
      </c>
      <c r="E630" s="58">
        <v>0</v>
      </c>
      <c r="F630" s="58">
        <v>0</v>
      </c>
      <c r="G630" s="58">
        <v>0</v>
      </c>
      <c r="H630" s="58">
        <v>0</v>
      </c>
      <c r="I630" s="58">
        <v>0</v>
      </c>
      <c r="J630" s="58">
        <v>0</v>
      </c>
      <c r="K630" s="58">
        <v>0</v>
      </c>
      <c r="L630" s="58">
        <v>0</v>
      </c>
      <c r="M630" s="58">
        <v>0</v>
      </c>
      <c r="N630" s="58">
        <v>0</v>
      </c>
      <c r="O630" s="58">
        <v>15100</v>
      </c>
      <c r="P630" s="58" t="s">
        <v>2074</v>
      </c>
      <c r="Q630" s="58">
        <v>0</v>
      </c>
      <c r="R630" s="58">
        <v>0</v>
      </c>
      <c r="S630" s="58">
        <v>0</v>
      </c>
      <c r="T630" s="58">
        <v>0</v>
      </c>
      <c r="U630" s="58">
        <v>0</v>
      </c>
      <c r="V630" s="58">
        <v>0</v>
      </c>
      <c r="W630" s="58">
        <v>0</v>
      </c>
      <c r="X630" s="58">
        <v>0</v>
      </c>
      <c r="Y630" s="58">
        <v>150</v>
      </c>
      <c r="Z630" s="58">
        <v>4875</v>
      </c>
      <c r="AA630" s="58">
        <v>15139.55</v>
      </c>
      <c r="AE630" s="57"/>
    </row>
    <row r="631" spans="1:31" x14ac:dyDescent="0.35">
      <c r="A631" s="56" t="s">
        <v>696</v>
      </c>
      <c r="B631" s="58">
        <v>15100</v>
      </c>
      <c r="C631" s="58" t="s">
        <v>2068</v>
      </c>
      <c r="D631" s="58">
        <v>550</v>
      </c>
      <c r="E631" s="58">
        <v>93</v>
      </c>
      <c r="F631" s="58">
        <v>20.35010940919037</v>
      </c>
      <c r="G631" s="58">
        <v>201</v>
      </c>
      <c r="H631" s="58">
        <v>22.4</v>
      </c>
      <c r="I631" s="58">
        <v>383.6</v>
      </c>
      <c r="J631" s="58">
        <v>-37.949999999999989</v>
      </c>
      <c r="K631" s="58">
        <v>-9.0024908077333627</v>
      </c>
      <c r="L631" s="58">
        <v>11325</v>
      </c>
      <c r="M631" s="58">
        <v>11250</v>
      </c>
      <c r="N631" s="58">
        <v>15139.55</v>
      </c>
      <c r="O631" s="58">
        <v>15100</v>
      </c>
      <c r="P631" s="58" t="s">
        <v>2068</v>
      </c>
      <c r="Q631" s="58">
        <v>949</v>
      </c>
      <c r="R631" s="58">
        <v>278</v>
      </c>
      <c r="S631" s="58">
        <v>41.430700447093891</v>
      </c>
      <c r="T631" s="58">
        <v>622</v>
      </c>
      <c r="U631" s="58">
        <v>17.510000000000002</v>
      </c>
      <c r="V631" s="58">
        <v>526.54999999999995</v>
      </c>
      <c r="W631" s="58">
        <v>-1.3000000000000682</v>
      </c>
      <c r="X631" s="58">
        <v>-0.24628208771432569</v>
      </c>
      <c r="Y631" s="58">
        <v>132150</v>
      </c>
      <c r="Z631" s="58">
        <v>16725</v>
      </c>
      <c r="AA631" s="58">
        <v>15139.55</v>
      </c>
      <c r="AE631" s="57"/>
    </row>
    <row r="632" spans="1:31" x14ac:dyDescent="0.35">
      <c r="A632" s="56" t="s">
        <v>697</v>
      </c>
      <c r="B632" s="58">
        <v>15100</v>
      </c>
      <c r="C632" s="58" t="s">
        <v>2076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0</v>
      </c>
      <c r="M632" s="58">
        <v>4875</v>
      </c>
      <c r="N632" s="58">
        <v>15139.55</v>
      </c>
      <c r="O632" s="58">
        <v>15100</v>
      </c>
      <c r="P632" s="58" t="s">
        <v>2076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0</v>
      </c>
      <c r="Z632" s="58">
        <v>4875</v>
      </c>
      <c r="AA632" s="58">
        <v>15139.55</v>
      </c>
      <c r="AE632" s="57"/>
    </row>
    <row r="633" spans="1:31" x14ac:dyDescent="0.35">
      <c r="A633" s="56" t="s">
        <v>698</v>
      </c>
      <c r="B633" s="58">
        <v>15100</v>
      </c>
      <c r="C633" s="58" t="s">
        <v>33</v>
      </c>
      <c r="D633" s="58">
        <v>57019</v>
      </c>
      <c r="E633" s="58">
        <v>32761</v>
      </c>
      <c r="F633" s="58">
        <v>135.05235386264326</v>
      </c>
      <c r="G633" s="58">
        <v>747327</v>
      </c>
      <c r="H633" s="58">
        <v>13.63</v>
      </c>
      <c r="I633" s="58">
        <v>24.4</v>
      </c>
      <c r="J633" s="58">
        <v>-47.000000000000007</v>
      </c>
      <c r="K633" s="58">
        <v>-65.826330532212879</v>
      </c>
      <c r="L633" s="58">
        <v>3787575</v>
      </c>
      <c r="M633" s="58">
        <v>771600</v>
      </c>
      <c r="N633" s="58">
        <v>15139.55</v>
      </c>
      <c r="O633" s="58">
        <v>15100</v>
      </c>
      <c r="P633" s="58" t="s">
        <v>33</v>
      </c>
      <c r="Q633" s="58">
        <v>51668</v>
      </c>
      <c r="R633" s="58">
        <v>4231</v>
      </c>
      <c r="S633" s="58">
        <v>8.9191980943145648</v>
      </c>
      <c r="T633" s="58">
        <v>276510</v>
      </c>
      <c r="U633" s="58">
        <v>13.55</v>
      </c>
      <c r="V633" s="58">
        <v>69.2</v>
      </c>
      <c r="W633" s="58">
        <v>-3.7999999999999972</v>
      </c>
      <c r="X633" s="58">
        <v>-5.2054794520547905</v>
      </c>
      <c r="Y633" s="58">
        <v>3252375</v>
      </c>
      <c r="Z633" s="58">
        <v>699825</v>
      </c>
      <c r="AA633" s="58">
        <v>15139.55</v>
      </c>
      <c r="AE633" s="57"/>
    </row>
    <row r="634" spans="1:31" x14ac:dyDescent="0.35">
      <c r="A634" s="56" t="s">
        <v>699</v>
      </c>
      <c r="B634" s="58">
        <v>15100</v>
      </c>
      <c r="C634" s="58" t="s">
        <v>2075</v>
      </c>
      <c r="D634" s="58">
        <v>0</v>
      </c>
      <c r="E634" s="58">
        <v>0</v>
      </c>
      <c r="F634" s="58">
        <v>0</v>
      </c>
      <c r="G634" s="58">
        <v>0</v>
      </c>
      <c r="H634" s="58">
        <v>0</v>
      </c>
      <c r="I634" s="58">
        <v>0</v>
      </c>
      <c r="J634" s="58">
        <v>0</v>
      </c>
      <c r="K634" s="58">
        <v>0</v>
      </c>
      <c r="L634" s="58">
        <v>2175</v>
      </c>
      <c r="M634" s="58">
        <v>12300</v>
      </c>
      <c r="N634" s="58">
        <v>15143.3</v>
      </c>
      <c r="O634" s="58">
        <v>15100</v>
      </c>
      <c r="P634" s="58" t="s">
        <v>2075</v>
      </c>
      <c r="Q634" s="58">
        <v>0</v>
      </c>
      <c r="R634" s="58">
        <v>0</v>
      </c>
      <c r="S634" s="58">
        <v>0</v>
      </c>
      <c r="T634" s="58">
        <v>0</v>
      </c>
      <c r="U634" s="58">
        <v>0</v>
      </c>
      <c r="V634" s="58">
        <v>0</v>
      </c>
      <c r="W634" s="58">
        <v>0</v>
      </c>
      <c r="X634" s="58">
        <v>0</v>
      </c>
      <c r="Y634" s="58">
        <v>7050</v>
      </c>
      <c r="Z634" s="58">
        <v>12600</v>
      </c>
      <c r="AA634" s="58">
        <v>15139.55</v>
      </c>
      <c r="AE634" s="57"/>
    </row>
    <row r="635" spans="1:31" x14ac:dyDescent="0.35">
      <c r="A635" s="56" t="s">
        <v>700</v>
      </c>
      <c r="B635" s="58">
        <v>15150</v>
      </c>
      <c r="C635" s="58" t="s">
        <v>33</v>
      </c>
      <c r="D635" s="58">
        <v>24710</v>
      </c>
      <c r="E635" s="58">
        <v>22274</v>
      </c>
      <c r="F635" s="58">
        <v>914.36781609195396</v>
      </c>
      <c r="G635" s="58">
        <v>470229</v>
      </c>
      <c r="H635" s="58">
        <v>13.25</v>
      </c>
      <c r="I635" s="58">
        <v>44.5</v>
      </c>
      <c r="J635" s="58">
        <v>-53.150000000000006</v>
      </c>
      <c r="K635" s="58">
        <v>-54.429083461341534</v>
      </c>
      <c r="L635" s="58">
        <v>2084100</v>
      </c>
      <c r="M635" s="58">
        <v>389400</v>
      </c>
      <c r="N635" s="58">
        <v>15143.3</v>
      </c>
      <c r="O635" s="58">
        <v>15150</v>
      </c>
      <c r="P635" s="58" t="s">
        <v>33</v>
      </c>
      <c r="Q635" s="58">
        <v>35663</v>
      </c>
      <c r="R635" s="58">
        <v>17454</v>
      </c>
      <c r="S635" s="58">
        <v>95.853698720412979</v>
      </c>
      <c r="T635" s="58">
        <v>303774</v>
      </c>
      <c r="U635" s="58">
        <v>13.31</v>
      </c>
      <c r="V635" s="58">
        <v>39.549999999999997</v>
      </c>
      <c r="W635" s="58">
        <v>-10.700000000000005</v>
      </c>
      <c r="X635" s="58">
        <v>-21.293532338308463</v>
      </c>
      <c r="Y635" s="58">
        <v>3733425</v>
      </c>
      <c r="Z635" s="58">
        <v>698775</v>
      </c>
      <c r="AA635" s="58">
        <v>15139.55</v>
      </c>
      <c r="AE635" s="57"/>
    </row>
    <row r="636" spans="1:31" x14ac:dyDescent="0.35">
      <c r="A636" s="56" t="s">
        <v>701</v>
      </c>
      <c r="B636" s="58">
        <v>15150</v>
      </c>
      <c r="C636" s="58" t="s">
        <v>26</v>
      </c>
      <c r="D636" s="58">
        <v>712</v>
      </c>
      <c r="E636" s="58">
        <v>24</v>
      </c>
      <c r="F636" s="58">
        <v>3.4883720930232558</v>
      </c>
      <c r="G636" s="58">
        <v>1074</v>
      </c>
      <c r="H636" s="58">
        <v>22.82</v>
      </c>
      <c r="I636" s="58">
        <v>255.7</v>
      </c>
      <c r="J636" s="58">
        <v>-36.949999999999989</v>
      </c>
      <c r="K636" s="58">
        <v>-12.626003758756193</v>
      </c>
      <c r="L636" s="58">
        <v>40650</v>
      </c>
      <c r="M636" s="58">
        <v>30675</v>
      </c>
      <c r="N636" s="58">
        <v>15143.3</v>
      </c>
      <c r="O636" s="58">
        <v>15150</v>
      </c>
      <c r="P636" s="58" t="s">
        <v>26</v>
      </c>
      <c r="Q636" s="58">
        <v>972</v>
      </c>
      <c r="R636" s="58">
        <v>118</v>
      </c>
      <c r="S636" s="58">
        <v>13.817330210772834</v>
      </c>
      <c r="T636" s="58">
        <v>1192</v>
      </c>
      <c r="U636" s="58">
        <v>20.309999999999999</v>
      </c>
      <c r="V636" s="58">
        <v>275</v>
      </c>
      <c r="W636" s="58">
        <v>1.4499999999999886</v>
      </c>
      <c r="X636" s="58">
        <v>0.53006762931821916</v>
      </c>
      <c r="Y636" s="58">
        <v>43125</v>
      </c>
      <c r="Z636" s="58">
        <v>43500</v>
      </c>
      <c r="AA636" s="58">
        <v>15139.55</v>
      </c>
      <c r="AE636" s="57"/>
    </row>
    <row r="637" spans="1:31" x14ac:dyDescent="0.35">
      <c r="A637" s="56" t="s">
        <v>702</v>
      </c>
      <c r="B637" s="58">
        <v>15150</v>
      </c>
      <c r="C637" s="58" t="s">
        <v>64</v>
      </c>
      <c r="D637" s="58">
        <v>0</v>
      </c>
      <c r="E637" s="58">
        <v>0</v>
      </c>
      <c r="F637" s="58">
        <v>0</v>
      </c>
      <c r="G637" s="58">
        <v>0</v>
      </c>
      <c r="H637" s="58">
        <v>0</v>
      </c>
      <c r="I637" s="58">
        <v>0</v>
      </c>
      <c r="J637" s="58">
        <v>0</v>
      </c>
      <c r="K637" s="58">
        <v>0</v>
      </c>
      <c r="L637" s="58">
        <v>15150</v>
      </c>
      <c r="M637" s="58">
        <v>11925</v>
      </c>
      <c r="N637" s="58">
        <v>15143.3</v>
      </c>
      <c r="O637" s="58">
        <v>15150</v>
      </c>
      <c r="P637" s="58" t="s">
        <v>64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7650</v>
      </c>
      <c r="Z637" s="58">
        <v>7050</v>
      </c>
      <c r="AA637" s="58">
        <v>15139.55</v>
      </c>
      <c r="AE637" s="57"/>
    </row>
    <row r="638" spans="1:31" x14ac:dyDescent="0.35">
      <c r="A638" s="56" t="s">
        <v>703</v>
      </c>
      <c r="B638" s="58">
        <v>15150</v>
      </c>
      <c r="C638" s="58" t="s">
        <v>2071</v>
      </c>
      <c r="D638" s="58">
        <v>0</v>
      </c>
      <c r="E638" s="58">
        <v>0</v>
      </c>
      <c r="F638" s="58">
        <v>0</v>
      </c>
      <c r="G638" s="58">
        <v>0</v>
      </c>
      <c r="H638" s="58">
        <v>0</v>
      </c>
      <c r="I638" s="58">
        <v>0</v>
      </c>
      <c r="J638" s="58">
        <v>0</v>
      </c>
      <c r="K638" s="58">
        <v>0</v>
      </c>
      <c r="L638" s="58">
        <v>2775</v>
      </c>
      <c r="M638" s="58">
        <v>4875</v>
      </c>
      <c r="N638" s="58">
        <v>15139.55</v>
      </c>
      <c r="O638" s="58">
        <v>15150</v>
      </c>
      <c r="P638" s="58" t="s">
        <v>2071</v>
      </c>
      <c r="Q638" s="58">
        <v>0</v>
      </c>
      <c r="R638" s="58">
        <v>0</v>
      </c>
      <c r="S638" s="58">
        <v>0</v>
      </c>
      <c r="T638" s="58">
        <v>0</v>
      </c>
      <c r="U638" s="58">
        <v>0</v>
      </c>
      <c r="V638" s="58">
        <v>0</v>
      </c>
      <c r="W638" s="58">
        <v>0</v>
      </c>
      <c r="X638" s="58">
        <v>0</v>
      </c>
      <c r="Y638" s="58">
        <v>8925</v>
      </c>
      <c r="Z638" s="58">
        <v>4875</v>
      </c>
      <c r="AA638" s="58">
        <v>15139.55</v>
      </c>
      <c r="AE638" s="57"/>
    </row>
    <row r="639" spans="1:31" x14ac:dyDescent="0.35">
      <c r="A639" s="56" t="s">
        <v>704</v>
      </c>
      <c r="B639" s="58">
        <v>15150</v>
      </c>
      <c r="C639" s="58" t="s">
        <v>2073</v>
      </c>
      <c r="D639" s="58">
        <v>0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1125</v>
      </c>
      <c r="M639" s="58">
        <v>4875</v>
      </c>
      <c r="N639" s="58">
        <v>15139.55</v>
      </c>
      <c r="O639" s="58">
        <v>15150</v>
      </c>
      <c r="P639" s="58" t="s">
        <v>2073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8925</v>
      </c>
      <c r="Z639" s="58">
        <v>4875</v>
      </c>
      <c r="AA639" s="58">
        <v>15139.55</v>
      </c>
      <c r="AE639" s="57"/>
    </row>
    <row r="640" spans="1:31" x14ac:dyDescent="0.35">
      <c r="A640" s="56" t="s">
        <v>705</v>
      </c>
      <c r="B640" s="58">
        <v>15150</v>
      </c>
      <c r="C640" s="58" t="s">
        <v>2074</v>
      </c>
      <c r="D640" s="58">
        <v>0</v>
      </c>
      <c r="E640" s="58">
        <v>0</v>
      </c>
      <c r="F640" s="58">
        <v>0</v>
      </c>
      <c r="G640" s="58">
        <v>0</v>
      </c>
      <c r="H640" s="58">
        <v>0</v>
      </c>
      <c r="I640" s="58">
        <v>0</v>
      </c>
      <c r="J640" s="58">
        <v>0</v>
      </c>
      <c r="K640" s="58">
        <v>0</v>
      </c>
      <c r="L640" s="58">
        <v>0</v>
      </c>
      <c r="M640" s="58">
        <v>0</v>
      </c>
      <c r="N640" s="58">
        <v>15143.3</v>
      </c>
      <c r="O640" s="58">
        <v>15150</v>
      </c>
      <c r="P640" s="58" t="s">
        <v>2074</v>
      </c>
      <c r="Q640" s="58">
        <v>0</v>
      </c>
      <c r="R640" s="58">
        <v>0</v>
      </c>
      <c r="S640" s="58">
        <v>0</v>
      </c>
      <c r="T640" s="58">
        <v>0</v>
      </c>
      <c r="U640" s="58">
        <v>0</v>
      </c>
      <c r="V640" s="58">
        <v>0</v>
      </c>
      <c r="W640" s="58">
        <v>0</v>
      </c>
      <c r="X640" s="58">
        <v>0</v>
      </c>
      <c r="Y640" s="58">
        <v>0</v>
      </c>
      <c r="Z640" s="58">
        <v>4875</v>
      </c>
      <c r="AA640" s="58">
        <v>15143.3</v>
      </c>
      <c r="AE640" s="57"/>
    </row>
    <row r="641" spans="1:31" x14ac:dyDescent="0.35">
      <c r="A641" s="56" t="s">
        <v>706</v>
      </c>
      <c r="B641" s="58">
        <v>15150</v>
      </c>
      <c r="C641" s="58" t="s">
        <v>2068</v>
      </c>
      <c r="D641" s="58">
        <v>28</v>
      </c>
      <c r="E641" s="58">
        <v>-1</v>
      </c>
      <c r="F641" s="58">
        <v>-3.4482758620689653</v>
      </c>
      <c r="G641" s="58">
        <v>5</v>
      </c>
      <c r="H641" s="58">
        <v>22.51</v>
      </c>
      <c r="I641" s="58">
        <v>409.6</v>
      </c>
      <c r="J641" s="58">
        <v>-96</v>
      </c>
      <c r="K641" s="58">
        <v>-18.987341772151897</v>
      </c>
      <c r="L641" s="58">
        <v>5700</v>
      </c>
      <c r="M641" s="58">
        <v>450</v>
      </c>
      <c r="N641" s="58">
        <v>15139.55</v>
      </c>
      <c r="O641" s="58">
        <v>15150</v>
      </c>
      <c r="P641" s="58" t="s">
        <v>2068</v>
      </c>
      <c r="Q641" s="58">
        <v>26</v>
      </c>
      <c r="R641" s="58">
        <v>-1</v>
      </c>
      <c r="S641" s="58">
        <v>-3.7037037037037042</v>
      </c>
      <c r="T641" s="58">
        <v>4</v>
      </c>
      <c r="U641" s="58">
        <v>17.59</v>
      </c>
      <c r="V641" s="58">
        <v>494.15</v>
      </c>
      <c r="W641" s="58">
        <v>-6</v>
      </c>
      <c r="X641" s="58">
        <v>-1.1996401079676098</v>
      </c>
      <c r="Y641" s="58">
        <v>11325</v>
      </c>
      <c r="Z641" s="58">
        <v>5850</v>
      </c>
      <c r="AA641" s="58">
        <v>15143.3</v>
      </c>
      <c r="AE641" s="57"/>
    </row>
    <row r="642" spans="1:31" x14ac:dyDescent="0.35">
      <c r="A642" s="56" t="s">
        <v>707</v>
      </c>
      <c r="B642" s="58">
        <v>15150</v>
      </c>
      <c r="C642" s="58" t="s">
        <v>2076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15139.55</v>
      </c>
      <c r="O642" s="58">
        <v>15150</v>
      </c>
      <c r="P642" s="58" t="s">
        <v>2076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15139.55</v>
      </c>
      <c r="AE642" s="57"/>
    </row>
    <row r="643" spans="1:31" x14ac:dyDescent="0.35">
      <c r="A643" s="56" t="s">
        <v>708</v>
      </c>
      <c r="B643" s="58">
        <v>15150</v>
      </c>
      <c r="C643" s="58" t="s">
        <v>2075</v>
      </c>
      <c r="D643" s="58">
        <v>0</v>
      </c>
      <c r="E643" s="58">
        <v>0</v>
      </c>
      <c r="F643" s="58">
        <v>0</v>
      </c>
      <c r="G643" s="58">
        <v>0</v>
      </c>
      <c r="H643" s="58">
        <v>0</v>
      </c>
      <c r="I643" s="58">
        <v>0</v>
      </c>
      <c r="J643" s="58">
        <v>0</v>
      </c>
      <c r="K643" s="58">
        <v>0</v>
      </c>
      <c r="L643" s="58">
        <v>0</v>
      </c>
      <c r="M643" s="58">
        <v>5025</v>
      </c>
      <c r="N643" s="58">
        <v>15139.55</v>
      </c>
      <c r="O643" s="58">
        <v>15150</v>
      </c>
      <c r="P643" s="58" t="s">
        <v>2075</v>
      </c>
      <c r="Q643" s="58">
        <v>0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4875</v>
      </c>
      <c r="Z643" s="58">
        <v>4875</v>
      </c>
      <c r="AA643" s="58">
        <v>15139.55</v>
      </c>
      <c r="AE643" s="57"/>
    </row>
    <row r="644" spans="1:31" x14ac:dyDescent="0.35">
      <c r="A644" s="56" t="s">
        <v>709</v>
      </c>
      <c r="B644" s="58">
        <v>15150</v>
      </c>
      <c r="C644" s="58" t="s">
        <v>34</v>
      </c>
      <c r="D644" s="58">
        <v>1738</v>
      </c>
      <c r="E644" s="58">
        <v>1511</v>
      </c>
      <c r="F644" s="58">
        <v>665.63876651982378</v>
      </c>
      <c r="G644" s="58">
        <v>8007</v>
      </c>
      <c r="H644" s="58">
        <v>21.32</v>
      </c>
      <c r="I644" s="58">
        <v>177.7</v>
      </c>
      <c r="J644" s="58">
        <v>-30.900000000000009</v>
      </c>
      <c r="K644" s="58">
        <v>-14.81303930968361</v>
      </c>
      <c r="L644" s="58">
        <v>64425</v>
      </c>
      <c r="M644" s="58">
        <v>52875</v>
      </c>
      <c r="N644" s="58">
        <v>15139.55</v>
      </c>
      <c r="O644" s="58">
        <v>15150</v>
      </c>
      <c r="P644" s="58" t="s">
        <v>34</v>
      </c>
      <c r="Q644" s="58">
        <v>2876</v>
      </c>
      <c r="R644" s="58">
        <v>931</v>
      </c>
      <c r="S644" s="58">
        <v>47.866323907455012</v>
      </c>
      <c r="T644" s="58">
        <v>7813</v>
      </c>
      <c r="U644" s="58">
        <v>18.61</v>
      </c>
      <c r="V644" s="58">
        <v>179</v>
      </c>
      <c r="W644" s="58">
        <v>-3.8499999999999943</v>
      </c>
      <c r="X644" s="58">
        <v>-2.1055509980858602</v>
      </c>
      <c r="Y644" s="58">
        <v>59175</v>
      </c>
      <c r="Z644" s="58">
        <v>65625</v>
      </c>
      <c r="AA644" s="58">
        <v>15143.3</v>
      </c>
      <c r="AE644" s="57"/>
    </row>
    <row r="645" spans="1:31" x14ac:dyDescent="0.35">
      <c r="A645" s="56" t="s">
        <v>710</v>
      </c>
      <c r="B645" s="58">
        <v>15200</v>
      </c>
      <c r="C645" s="58" t="s">
        <v>34</v>
      </c>
      <c r="D645" s="58">
        <v>6306</v>
      </c>
      <c r="E645" s="58">
        <v>5435</v>
      </c>
      <c r="F645" s="58">
        <v>623.99540757749708</v>
      </c>
      <c r="G645" s="58">
        <v>30867</v>
      </c>
      <c r="H645" s="58">
        <v>21.08</v>
      </c>
      <c r="I645" s="58">
        <v>201.55</v>
      </c>
      <c r="J645" s="58">
        <v>-31.099999999999991</v>
      </c>
      <c r="K645" s="58">
        <v>-13.36771975069847</v>
      </c>
      <c r="L645" s="58">
        <v>131175</v>
      </c>
      <c r="M645" s="58">
        <v>84300</v>
      </c>
      <c r="N645" s="58">
        <v>15139.55</v>
      </c>
      <c r="O645" s="58">
        <v>15200</v>
      </c>
      <c r="P645" s="58" t="s">
        <v>34</v>
      </c>
      <c r="Q645" s="58">
        <v>14393</v>
      </c>
      <c r="R645" s="58">
        <v>8629</v>
      </c>
      <c r="S645" s="58">
        <v>149.70506592643997</v>
      </c>
      <c r="T645" s="58">
        <v>42709</v>
      </c>
      <c r="U645" s="58">
        <v>18.43</v>
      </c>
      <c r="V645" s="58">
        <v>152.69999999999999</v>
      </c>
      <c r="W645" s="58">
        <v>0.39999999999997726</v>
      </c>
      <c r="X645" s="58">
        <v>0.26263952724883599</v>
      </c>
      <c r="Y645" s="58">
        <v>169575</v>
      </c>
      <c r="Z645" s="58">
        <v>231900</v>
      </c>
      <c r="AA645" s="58">
        <v>15139.55</v>
      </c>
      <c r="AE645" s="57"/>
    </row>
    <row r="646" spans="1:31" x14ac:dyDescent="0.35">
      <c r="A646" s="56" t="s">
        <v>711</v>
      </c>
      <c r="B646" s="58">
        <v>15200</v>
      </c>
      <c r="C646" s="58" t="s">
        <v>26</v>
      </c>
      <c r="D646" s="58">
        <v>7377</v>
      </c>
      <c r="E646" s="58">
        <v>2511</v>
      </c>
      <c r="F646" s="58">
        <v>51.602959309494452</v>
      </c>
      <c r="G646" s="58">
        <v>11086</v>
      </c>
      <c r="H646" s="58">
        <v>22.91</v>
      </c>
      <c r="I646" s="58">
        <v>277.39999999999998</v>
      </c>
      <c r="J646" s="58">
        <v>-42</v>
      </c>
      <c r="K646" s="58">
        <v>-13.149655604257983</v>
      </c>
      <c r="L646" s="58">
        <v>95325</v>
      </c>
      <c r="M646" s="58">
        <v>63900</v>
      </c>
      <c r="N646" s="58">
        <v>15139.55</v>
      </c>
      <c r="O646" s="58">
        <v>15200</v>
      </c>
      <c r="P646" s="58" t="s">
        <v>26</v>
      </c>
      <c r="Q646" s="58">
        <v>11863</v>
      </c>
      <c r="R646" s="58">
        <v>2226</v>
      </c>
      <c r="S646" s="58">
        <v>23.09847462903393</v>
      </c>
      <c r="T646" s="58">
        <v>14647</v>
      </c>
      <c r="U646" s="58">
        <v>20.010000000000002</v>
      </c>
      <c r="V646" s="58">
        <v>247.5</v>
      </c>
      <c r="W646" s="58">
        <v>-1.5</v>
      </c>
      <c r="X646" s="58">
        <v>-0.60240963855421692</v>
      </c>
      <c r="Y646" s="58">
        <v>94875</v>
      </c>
      <c r="Z646" s="58">
        <v>126600</v>
      </c>
      <c r="AA646" s="58">
        <v>15139.55</v>
      </c>
      <c r="AE646" s="57"/>
    </row>
    <row r="647" spans="1:31" x14ac:dyDescent="0.35">
      <c r="A647" s="56" t="s">
        <v>712</v>
      </c>
      <c r="B647" s="58">
        <v>15200</v>
      </c>
      <c r="C647" s="58" t="s">
        <v>2071</v>
      </c>
      <c r="D647" s="58">
        <v>0</v>
      </c>
      <c r="E647" s="58">
        <v>0</v>
      </c>
      <c r="F647" s="58">
        <v>0</v>
      </c>
      <c r="G647" s="58">
        <v>0</v>
      </c>
      <c r="H647" s="58">
        <v>0</v>
      </c>
      <c r="I647" s="58">
        <v>0</v>
      </c>
      <c r="J647" s="58">
        <v>0</v>
      </c>
      <c r="K647" s="58">
        <v>0</v>
      </c>
      <c r="L647" s="58">
        <v>3600</v>
      </c>
      <c r="M647" s="58">
        <v>5100</v>
      </c>
      <c r="N647" s="58">
        <v>15143.3</v>
      </c>
      <c r="O647" s="58">
        <v>15200</v>
      </c>
      <c r="P647" s="58" t="s">
        <v>2071</v>
      </c>
      <c r="Q647" s="58">
        <v>1</v>
      </c>
      <c r="R647" s="58">
        <v>0</v>
      </c>
      <c r="S647" s="58">
        <v>0</v>
      </c>
      <c r="T647" s="58">
        <v>0</v>
      </c>
      <c r="U647" s="58">
        <v>0</v>
      </c>
      <c r="V647" s="58">
        <v>0</v>
      </c>
      <c r="W647" s="58">
        <v>0</v>
      </c>
      <c r="X647" s="58">
        <v>0</v>
      </c>
      <c r="Y647" s="58">
        <v>9450</v>
      </c>
      <c r="Z647" s="58">
        <v>6000</v>
      </c>
      <c r="AA647" s="58">
        <v>15139.55</v>
      </c>
      <c r="AE647" s="57"/>
    </row>
    <row r="648" spans="1:31" x14ac:dyDescent="0.35">
      <c r="A648" s="56" t="s">
        <v>713</v>
      </c>
      <c r="B648" s="58">
        <v>15200</v>
      </c>
      <c r="C648" s="58" t="s">
        <v>2073</v>
      </c>
      <c r="D648" s="58">
        <v>0</v>
      </c>
      <c r="E648" s="58">
        <v>0</v>
      </c>
      <c r="F648" s="58">
        <v>0</v>
      </c>
      <c r="G648" s="58">
        <v>0</v>
      </c>
      <c r="H648" s="58">
        <v>0</v>
      </c>
      <c r="I648" s="58">
        <v>0</v>
      </c>
      <c r="J648" s="58">
        <v>0</v>
      </c>
      <c r="K648" s="58">
        <v>0</v>
      </c>
      <c r="L648" s="58">
        <v>300</v>
      </c>
      <c r="M648" s="58">
        <v>4875</v>
      </c>
      <c r="N648" s="58">
        <v>15143.3</v>
      </c>
      <c r="O648" s="58">
        <v>15200</v>
      </c>
      <c r="P648" s="58" t="s">
        <v>2073</v>
      </c>
      <c r="Q648" s="58">
        <v>0</v>
      </c>
      <c r="R648" s="58">
        <v>0</v>
      </c>
      <c r="S648" s="58">
        <v>0</v>
      </c>
      <c r="T648" s="58">
        <v>0</v>
      </c>
      <c r="U648" s="58">
        <v>0</v>
      </c>
      <c r="V648" s="58">
        <v>0</v>
      </c>
      <c r="W648" s="58">
        <v>0</v>
      </c>
      <c r="X648" s="58">
        <v>0</v>
      </c>
      <c r="Y648" s="58">
        <v>9000</v>
      </c>
      <c r="Z648" s="58">
        <v>4950</v>
      </c>
      <c r="AA648" s="58">
        <v>15139.55</v>
      </c>
      <c r="AE648" s="57"/>
    </row>
    <row r="649" spans="1:31" x14ac:dyDescent="0.35">
      <c r="A649" s="56" t="s">
        <v>714</v>
      </c>
      <c r="B649" s="58">
        <v>15200</v>
      </c>
      <c r="C649" s="58" t="s">
        <v>2074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15139.55</v>
      </c>
      <c r="O649" s="58">
        <v>15200</v>
      </c>
      <c r="P649" s="58" t="s">
        <v>2074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75</v>
      </c>
      <c r="Z649" s="58">
        <v>4875</v>
      </c>
      <c r="AA649" s="58">
        <v>15143.3</v>
      </c>
      <c r="AE649" s="57"/>
    </row>
    <row r="650" spans="1:31" x14ac:dyDescent="0.35">
      <c r="A650" s="56" t="s">
        <v>715</v>
      </c>
      <c r="B650" s="58">
        <v>15200</v>
      </c>
      <c r="C650" s="58" t="s">
        <v>2068</v>
      </c>
      <c r="D650" s="58">
        <v>286</v>
      </c>
      <c r="E650" s="58">
        <v>22</v>
      </c>
      <c r="F650" s="58">
        <v>8.3333333333333339</v>
      </c>
      <c r="G650" s="58">
        <v>280</v>
      </c>
      <c r="H650" s="58">
        <v>22.22</v>
      </c>
      <c r="I650" s="58">
        <v>425</v>
      </c>
      <c r="J650" s="58">
        <v>-41</v>
      </c>
      <c r="K650" s="58">
        <v>-8.7982832618025757</v>
      </c>
      <c r="L650" s="58">
        <v>9375</v>
      </c>
      <c r="M650" s="58">
        <v>9450</v>
      </c>
      <c r="N650" s="58">
        <v>15139.55</v>
      </c>
      <c r="O650" s="58">
        <v>15200</v>
      </c>
      <c r="P650" s="58" t="s">
        <v>2068</v>
      </c>
      <c r="Q650" s="58">
        <v>741</v>
      </c>
      <c r="R650" s="58">
        <v>149</v>
      </c>
      <c r="S650" s="58">
        <v>25.168918918918919</v>
      </c>
      <c r="T650" s="58">
        <v>647</v>
      </c>
      <c r="U650" s="58">
        <v>17.45</v>
      </c>
      <c r="V650" s="58">
        <v>468.3</v>
      </c>
      <c r="W650" s="58">
        <v>1.8500000000000227</v>
      </c>
      <c r="X650" s="58">
        <v>0.39661271304534734</v>
      </c>
      <c r="Y650" s="58">
        <v>15975</v>
      </c>
      <c r="Z650" s="58">
        <v>13275</v>
      </c>
      <c r="AA650" s="58">
        <v>15143.3</v>
      </c>
      <c r="AE650" s="57"/>
    </row>
    <row r="651" spans="1:31" x14ac:dyDescent="0.35">
      <c r="A651" s="56" t="s">
        <v>716</v>
      </c>
      <c r="B651" s="58">
        <v>15200</v>
      </c>
      <c r="C651" s="58" t="s">
        <v>2076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15139.55</v>
      </c>
      <c r="O651" s="58">
        <v>15200</v>
      </c>
      <c r="P651" s="58" t="s">
        <v>2076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15139.55</v>
      </c>
      <c r="AE651" s="57"/>
    </row>
    <row r="652" spans="1:31" x14ac:dyDescent="0.35">
      <c r="A652" s="56" t="s">
        <v>717</v>
      </c>
      <c r="B652" s="58">
        <v>15200</v>
      </c>
      <c r="C652" s="58" t="s">
        <v>2075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1650</v>
      </c>
      <c r="M652" s="58">
        <v>7425</v>
      </c>
      <c r="N652" s="58">
        <v>15139.55</v>
      </c>
      <c r="O652" s="58">
        <v>15200</v>
      </c>
      <c r="P652" s="58" t="s">
        <v>2075</v>
      </c>
      <c r="Q652" s="58">
        <v>23</v>
      </c>
      <c r="R652" s="58">
        <v>1</v>
      </c>
      <c r="S652" s="58">
        <v>4.5454545454545459</v>
      </c>
      <c r="T652" s="58">
        <v>5</v>
      </c>
      <c r="U652" s="58">
        <v>17.55</v>
      </c>
      <c r="V652" s="58">
        <v>624.95000000000005</v>
      </c>
      <c r="W652" s="58">
        <v>8.7000000000000455</v>
      </c>
      <c r="X652" s="58">
        <v>1.4117647058823604</v>
      </c>
      <c r="Y652" s="58">
        <v>13500</v>
      </c>
      <c r="Z652" s="58">
        <v>12375</v>
      </c>
      <c r="AA652" s="58">
        <v>15139.55</v>
      </c>
      <c r="AE652" s="57"/>
    </row>
    <row r="653" spans="1:31" x14ac:dyDescent="0.35">
      <c r="A653" s="56" t="s">
        <v>718</v>
      </c>
      <c r="B653" s="58">
        <v>15200</v>
      </c>
      <c r="C653" s="58" t="s">
        <v>33</v>
      </c>
      <c r="D653" s="58">
        <v>23488</v>
      </c>
      <c r="E653" s="58">
        <v>19307</v>
      </c>
      <c r="F653" s="58">
        <v>461.77947859363786</v>
      </c>
      <c r="G653" s="58">
        <v>515451</v>
      </c>
      <c r="H653" s="58">
        <v>12.92</v>
      </c>
      <c r="I653" s="58">
        <v>73.7</v>
      </c>
      <c r="J653" s="58">
        <v>-57.8</v>
      </c>
      <c r="K653" s="58">
        <v>-43.954372623574145</v>
      </c>
      <c r="L653" s="58">
        <v>2826300</v>
      </c>
      <c r="M653" s="58">
        <v>304350</v>
      </c>
      <c r="N653" s="58">
        <v>15139.55</v>
      </c>
      <c r="O653" s="58">
        <v>15200</v>
      </c>
      <c r="P653" s="58" t="s">
        <v>33</v>
      </c>
      <c r="Q653" s="58">
        <v>94526</v>
      </c>
      <c r="R653" s="58">
        <v>49002</v>
      </c>
      <c r="S653" s="58">
        <v>107.63992619277744</v>
      </c>
      <c r="T653" s="58">
        <v>839287</v>
      </c>
      <c r="U653" s="58">
        <v>12.91</v>
      </c>
      <c r="V653" s="58">
        <v>18.100000000000001</v>
      </c>
      <c r="W653" s="58">
        <v>-14.299999999999995</v>
      </c>
      <c r="X653" s="58">
        <v>-44.13580246913579</v>
      </c>
      <c r="Y653" s="58">
        <v>6004725</v>
      </c>
      <c r="Z653" s="58">
        <v>2033550</v>
      </c>
      <c r="AA653" s="58">
        <v>15139.55</v>
      </c>
      <c r="AE653" s="57"/>
    </row>
    <row r="654" spans="1:31" x14ac:dyDescent="0.35">
      <c r="A654" s="56" t="s">
        <v>719</v>
      </c>
      <c r="B654" s="58">
        <v>15200</v>
      </c>
      <c r="C654" s="58" t="s">
        <v>64</v>
      </c>
      <c r="D654" s="58">
        <v>2328</v>
      </c>
      <c r="E654" s="58">
        <v>17</v>
      </c>
      <c r="F654" s="58">
        <v>0.73561228905235831</v>
      </c>
      <c r="G654" s="58">
        <v>25</v>
      </c>
      <c r="H654" s="58">
        <v>23.55</v>
      </c>
      <c r="I654" s="58">
        <v>335.25</v>
      </c>
      <c r="J654" s="58">
        <v>-56.75</v>
      </c>
      <c r="K654" s="58">
        <v>-14.477040816326531</v>
      </c>
      <c r="L654" s="58">
        <v>10125</v>
      </c>
      <c r="M654" s="58">
        <v>7200</v>
      </c>
      <c r="N654" s="58">
        <v>15139.55</v>
      </c>
      <c r="O654" s="58">
        <v>15200</v>
      </c>
      <c r="P654" s="58" t="s">
        <v>64</v>
      </c>
      <c r="Q654" s="58">
        <v>2344</v>
      </c>
      <c r="R654" s="58">
        <v>22</v>
      </c>
      <c r="S654" s="58">
        <v>0.94745908699397074</v>
      </c>
      <c r="T654" s="58">
        <v>46</v>
      </c>
      <c r="U654" s="58">
        <v>20.82</v>
      </c>
      <c r="V654" s="58">
        <v>322.75</v>
      </c>
      <c r="W654" s="58">
        <v>13.399999999999975</v>
      </c>
      <c r="X654" s="58">
        <v>4.3316631647001707</v>
      </c>
      <c r="Y654" s="58">
        <v>13350</v>
      </c>
      <c r="Z654" s="58">
        <v>10125</v>
      </c>
      <c r="AA654" s="58">
        <v>15143.3</v>
      </c>
      <c r="AE654" s="57"/>
    </row>
    <row r="655" spans="1:31" x14ac:dyDescent="0.35">
      <c r="A655" s="56" t="s">
        <v>720</v>
      </c>
      <c r="B655" s="58">
        <v>15250</v>
      </c>
      <c r="C655" s="58" t="s">
        <v>26</v>
      </c>
      <c r="D655" s="58">
        <v>204</v>
      </c>
      <c r="E655" s="58">
        <v>-11</v>
      </c>
      <c r="F655" s="58">
        <v>-5.1162790697674421</v>
      </c>
      <c r="G655" s="58">
        <v>375</v>
      </c>
      <c r="H655" s="58">
        <v>22.32</v>
      </c>
      <c r="I655" s="58">
        <v>301.39999999999998</v>
      </c>
      <c r="J655" s="58">
        <v>-36</v>
      </c>
      <c r="K655" s="58">
        <v>-10.669828097213991</v>
      </c>
      <c r="L655" s="58">
        <v>25200</v>
      </c>
      <c r="M655" s="58">
        <v>26175</v>
      </c>
      <c r="N655" s="58">
        <v>15143.3</v>
      </c>
      <c r="O655" s="58">
        <v>15250</v>
      </c>
      <c r="P655" s="58" t="s">
        <v>26</v>
      </c>
      <c r="Q655" s="58">
        <v>822</v>
      </c>
      <c r="R655" s="58">
        <v>154</v>
      </c>
      <c r="S655" s="58">
        <v>23.053892215568862</v>
      </c>
      <c r="T655" s="58">
        <v>722</v>
      </c>
      <c r="U655" s="58">
        <v>20.149999999999999</v>
      </c>
      <c r="V655" s="58">
        <v>221.05</v>
      </c>
      <c r="W655" s="58">
        <v>-3.75</v>
      </c>
      <c r="X655" s="58">
        <v>-1.6681494661921707</v>
      </c>
      <c r="Y655" s="58">
        <v>44250</v>
      </c>
      <c r="Z655" s="58">
        <v>44325</v>
      </c>
      <c r="AA655" s="58">
        <v>15139.55</v>
      </c>
      <c r="AE655" s="57"/>
    </row>
    <row r="656" spans="1:31" x14ac:dyDescent="0.35">
      <c r="A656" s="56" t="s">
        <v>721</v>
      </c>
      <c r="B656" s="58">
        <v>15250</v>
      </c>
      <c r="C656" s="58" t="s">
        <v>2071</v>
      </c>
      <c r="D656" s="58">
        <v>0</v>
      </c>
      <c r="E656" s="58">
        <v>0</v>
      </c>
      <c r="F656" s="58">
        <v>0</v>
      </c>
      <c r="G656" s="58">
        <v>0</v>
      </c>
      <c r="H656" s="58">
        <v>0</v>
      </c>
      <c r="I656" s="58">
        <v>0</v>
      </c>
      <c r="J656" s="58">
        <v>0</v>
      </c>
      <c r="K656" s="58">
        <v>0</v>
      </c>
      <c r="L656" s="58">
        <v>4050</v>
      </c>
      <c r="M656" s="58">
        <v>4875</v>
      </c>
      <c r="N656" s="58">
        <v>15139.55</v>
      </c>
      <c r="O656" s="58">
        <v>15250</v>
      </c>
      <c r="P656" s="58" t="s">
        <v>2071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2775</v>
      </c>
      <c r="Z656" s="58">
        <v>9750</v>
      </c>
      <c r="AA656" s="58">
        <v>15139.55</v>
      </c>
      <c r="AE656" s="57"/>
    </row>
    <row r="657" spans="1:31" x14ac:dyDescent="0.35">
      <c r="A657" s="56" t="s">
        <v>722</v>
      </c>
      <c r="B657" s="58">
        <v>15250</v>
      </c>
      <c r="C657" s="58" t="s">
        <v>2073</v>
      </c>
      <c r="D657" s="58">
        <v>0</v>
      </c>
      <c r="E657" s="58">
        <v>0</v>
      </c>
      <c r="F657" s="58">
        <v>0</v>
      </c>
      <c r="G657" s="58">
        <v>0</v>
      </c>
      <c r="H657" s="58">
        <v>0</v>
      </c>
      <c r="I657" s="58">
        <v>0</v>
      </c>
      <c r="J657" s="58">
        <v>0</v>
      </c>
      <c r="K657" s="58">
        <v>0</v>
      </c>
      <c r="L657" s="58">
        <v>750</v>
      </c>
      <c r="M657" s="58">
        <v>4875</v>
      </c>
      <c r="N657" s="58">
        <v>15139.55</v>
      </c>
      <c r="O657" s="58">
        <v>15250</v>
      </c>
      <c r="P657" s="58" t="s">
        <v>2073</v>
      </c>
      <c r="Q657" s="58">
        <v>0</v>
      </c>
      <c r="R657" s="58">
        <v>0</v>
      </c>
      <c r="S657" s="58">
        <v>0</v>
      </c>
      <c r="T657" s="58">
        <v>0</v>
      </c>
      <c r="U657" s="58">
        <v>0</v>
      </c>
      <c r="V657" s="58">
        <v>0</v>
      </c>
      <c r="W657" s="58">
        <v>0</v>
      </c>
      <c r="X657" s="58">
        <v>0</v>
      </c>
      <c r="Y657" s="58">
        <v>2775</v>
      </c>
      <c r="Z657" s="58">
        <v>9750</v>
      </c>
      <c r="AA657" s="58">
        <v>15143.3</v>
      </c>
      <c r="AE657" s="57"/>
    </row>
    <row r="658" spans="1:31" x14ac:dyDescent="0.35">
      <c r="A658" s="56" t="s">
        <v>723</v>
      </c>
      <c r="B658" s="58">
        <v>15250</v>
      </c>
      <c r="C658" s="58" t="s">
        <v>2074</v>
      </c>
      <c r="D658" s="58">
        <v>0</v>
      </c>
      <c r="E658" s="58">
        <v>0</v>
      </c>
      <c r="F658" s="58">
        <v>0</v>
      </c>
      <c r="G658" s="58">
        <v>0</v>
      </c>
      <c r="H658" s="58">
        <v>0</v>
      </c>
      <c r="I658" s="58">
        <v>0</v>
      </c>
      <c r="J658" s="58">
        <v>0</v>
      </c>
      <c r="K658" s="58">
        <v>0</v>
      </c>
      <c r="L658" s="58">
        <v>0</v>
      </c>
      <c r="M658" s="58">
        <v>4875</v>
      </c>
      <c r="N658" s="58">
        <v>15143.3</v>
      </c>
      <c r="O658" s="58">
        <v>15250</v>
      </c>
      <c r="P658" s="58" t="s">
        <v>2074</v>
      </c>
      <c r="Q658" s="58">
        <v>0</v>
      </c>
      <c r="R658" s="58">
        <v>0</v>
      </c>
      <c r="S658" s="58">
        <v>0</v>
      </c>
      <c r="T658" s="58">
        <v>0</v>
      </c>
      <c r="U658" s="58">
        <v>0</v>
      </c>
      <c r="V658" s="58">
        <v>0</v>
      </c>
      <c r="W658" s="58">
        <v>0</v>
      </c>
      <c r="X658" s="58">
        <v>0</v>
      </c>
      <c r="Y658" s="58">
        <v>0</v>
      </c>
      <c r="Z658" s="58">
        <v>4875</v>
      </c>
      <c r="AA658" s="58">
        <v>15139.55</v>
      </c>
      <c r="AE658" s="57"/>
    </row>
    <row r="659" spans="1:31" x14ac:dyDescent="0.35">
      <c r="A659" s="56" t="s">
        <v>724</v>
      </c>
      <c r="B659" s="58">
        <v>15250</v>
      </c>
      <c r="C659" s="58" t="s">
        <v>2068</v>
      </c>
      <c r="D659" s="58">
        <v>15</v>
      </c>
      <c r="E659" s="58">
        <v>2</v>
      </c>
      <c r="F659" s="58">
        <v>15.384615384615383</v>
      </c>
      <c r="G659" s="58">
        <v>3</v>
      </c>
      <c r="H659" s="58">
        <v>22.37</v>
      </c>
      <c r="I659" s="58">
        <v>452.9</v>
      </c>
      <c r="J659" s="58">
        <v>-36.600000000000023</v>
      </c>
      <c r="K659" s="58">
        <v>-7.4770173646578186</v>
      </c>
      <c r="L659" s="58">
        <v>5400</v>
      </c>
      <c r="M659" s="58">
        <v>10275</v>
      </c>
      <c r="N659" s="58">
        <v>15143.3</v>
      </c>
      <c r="O659" s="58">
        <v>15250</v>
      </c>
      <c r="P659" s="58" t="s">
        <v>2068</v>
      </c>
      <c r="Q659" s="58">
        <v>34</v>
      </c>
      <c r="R659" s="58">
        <v>0</v>
      </c>
      <c r="S659" s="58">
        <v>0</v>
      </c>
      <c r="T659" s="58">
        <v>12</v>
      </c>
      <c r="U659" s="58">
        <v>17.63</v>
      </c>
      <c r="V659" s="58">
        <v>411.3</v>
      </c>
      <c r="W659" s="58">
        <v>-11.699999999999989</v>
      </c>
      <c r="X659" s="58">
        <v>-2.7659574468085082</v>
      </c>
      <c r="Y659" s="58">
        <v>6600</v>
      </c>
      <c r="Z659" s="58">
        <v>6450</v>
      </c>
      <c r="AA659" s="58">
        <v>15139.55</v>
      </c>
      <c r="AE659" s="57"/>
    </row>
    <row r="660" spans="1:31" x14ac:dyDescent="0.35">
      <c r="A660" s="56" t="s">
        <v>725</v>
      </c>
      <c r="B660" s="58">
        <v>15250</v>
      </c>
      <c r="C660" s="58" t="s">
        <v>2076</v>
      </c>
      <c r="D660" s="58">
        <v>0</v>
      </c>
      <c r="E660" s="58">
        <v>0</v>
      </c>
      <c r="F660" s="58">
        <v>0</v>
      </c>
      <c r="G660" s="58">
        <v>0</v>
      </c>
      <c r="H660" s="58">
        <v>0</v>
      </c>
      <c r="I660" s="58">
        <v>0</v>
      </c>
      <c r="J660" s="58">
        <v>0</v>
      </c>
      <c r="K660" s="58">
        <v>0</v>
      </c>
      <c r="L660" s="58">
        <v>0</v>
      </c>
      <c r="M660" s="58">
        <v>0</v>
      </c>
      <c r="N660" s="58">
        <v>15139.55</v>
      </c>
      <c r="O660" s="58">
        <v>0</v>
      </c>
      <c r="P660" s="58">
        <v>0</v>
      </c>
      <c r="Q660" s="58">
        <v>0</v>
      </c>
      <c r="R660" s="58">
        <v>0</v>
      </c>
      <c r="S660" s="58">
        <v>0</v>
      </c>
      <c r="T660" s="58">
        <v>0</v>
      </c>
      <c r="U660" s="58">
        <v>0</v>
      </c>
      <c r="V660" s="58">
        <v>0</v>
      </c>
      <c r="W660" s="58">
        <v>0</v>
      </c>
      <c r="X660" s="58">
        <v>0</v>
      </c>
      <c r="Y660" s="58">
        <v>0</v>
      </c>
      <c r="Z660" s="58">
        <v>0</v>
      </c>
      <c r="AA660" s="58">
        <v>0</v>
      </c>
      <c r="AE660" s="57"/>
    </row>
    <row r="661" spans="1:31" x14ac:dyDescent="0.35">
      <c r="A661" s="56" t="s">
        <v>726</v>
      </c>
      <c r="B661" s="58">
        <v>15250</v>
      </c>
      <c r="C661" s="58" t="s">
        <v>2075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5025</v>
      </c>
      <c r="N661" s="58">
        <v>15143.3</v>
      </c>
      <c r="O661" s="58">
        <v>15250</v>
      </c>
      <c r="P661" s="58" t="s">
        <v>2075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4875</v>
      </c>
      <c r="Z661" s="58">
        <v>5025</v>
      </c>
      <c r="AA661" s="58">
        <v>15139.55</v>
      </c>
      <c r="AE661" s="57"/>
    </row>
    <row r="662" spans="1:31" x14ac:dyDescent="0.35">
      <c r="A662" s="56" t="s">
        <v>727</v>
      </c>
      <c r="B662" s="58">
        <v>15250</v>
      </c>
      <c r="C662" s="58" t="s">
        <v>34</v>
      </c>
      <c r="D662" s="58">
        <v>286</v>
      </c>
      <c r="E662" s="58">
        <v>273</v>
      </c>
      <c r="F662" s="58">
        <v>2100</v>
      </c>
      <c r="G662" s="58">
        <v>1959</v>
      </c>
      <c r="H662" s="58">
        <v>20.86</v>
      </c>
      <c r="I662" s="58">
        <v>228</v>
      </c>
      <c r="J662" s="58">
        <v>-34.25</v>
      </c>
      <c r="K662" s="58">
        <v>-13.06005719733079</v>
      </c>
      <c r="L662" s="58">
        <v>26400</v>
      </c>
      <c r="M662" s="58">
        <v>14775</v>
      </c>
      <c r="N662" s="58">
        <v>15143.3</v>
      </c>
      <c r="O662" s="58">
        <v>15250</v>
      </c>
      <c r="P662" s="58" t="s">
        <v>34</v>
      </c>
      <c r="Q662" s="58">
        <v>1872</v>
      </c>
      <c r="R662" s="58">
        <v>-45</v>
      </c>
      <c r="S662" s="58">
        <v>-2.347417840375587</v>
      </c>
      <c r="T662" s="58">
        <v>7503</v>
      </c>
      <c r="U662" s="58">
        <v>18.440000000000001</v>
      </c>
      <c r="V662" s="58">
        <v>128.85</v>
      </c>
      <c r="W662" s="58">
        <v>2</v>
      </c>
      <c r="X662" s="58">
        <v>1.5766653527788728</v>
      </c>
      <c r="Y662" s="58">
        <v>60975</v>
      </c>
      <c r="Z662" s="58">
        <v>69600</v>
      </c>
      <c r="AA662" s="58">
        <v>15143.3</v>
      </c>
      <c r="AE662" s="57"/>
    </row>
    <row r="663" spans="1:31" x14ac:dyDescent="0.35">
      <c r="A663" s="56" t="s">
        <v>728</v>
      </c>
      <c r="B663" s="58">
        <v>15250</v>
      </c>
      <c r="C663" s="58" t="s">
        <v>64</v>
      </c>
      <c r="D663" s="58">
        <v>0</v>
      </c>
      <c r="E663" s="58">
        <v>0</v>
      </c>
      <c r="F663" s="58">
        <v>0</v>
      </c>
      <c r="G663" s="58">
        <v>0</v>
      </c>
      <c r="H663" s="58">
        <v>0</v>
      </c>
      <c r="I663" s="58">
        <v>0</v>
      </c>
      <c r="J663" s="58">
        <v>0</v>
      </c>
      <c r="K663" s="58">
        <v>0</v>
      </c>
      <c r="L663" s="58">
        <v>5400</v>
      </c>
      <c r="M663" s="58">
        <v>5625</v>
      </c>
      <c r="N663" s="58">
        <v>15139.55</v>
      </c>
      <c r="O663" s="58">
        <v>15250</v>
      </c>
      <c r="P663" s="58" t="s">
        <v>64</v>
      </c>
      <c r="Q663" s="58">
        <v>0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12525</v>
      </c>
      <c r="Z663" s="58">
        <v>7050</v>
      </c>
      <c r="AA663" s="58">
        <v>15139.55</v>
      </c>
      <c r="AE663" s="57"/>
    </row>
    <row r="664" spans="1:31" x14ac:dyDescent="0.35">
      <c r="A664" s="56" t="s">
        <v>729</v>
      </c>
      <c r="B664" s="58">
        <v>15250</v>
      </c>
      <c r="C664" s="58" t="s">
        <v>33</v>
      </c>
      <c r="D664" s="58">
        <v>4152</v>
      </c>
      <c r="E664" s="58">
        <v>3603</v>
      </c>
      <c r="F664" s="58">
        <v>656.28415300546453</v>
      </c>
      <c r="G664" s="58">
        <v>114626</v>
      </c>
      <c r="H664" s="58">
        <v>12.16</v>
      </c>
      <c r="I664" s="58">
        <v>113.1</v>
      </c>
      <c r="J664" s="58">
        <v>-54.450000000000017</v>
      </c>
      <c r="K664" s="58">
        <v>-32.497761862130716</v>
      </c>
      <c r="L664" s="58">
        <v>1656450</v>
      </c>
      <c r="M664" s="58">
        <v>91650</v>
      </c>
      <c r="N664" s="58">
        <v>15139.55</v>
      </c>
      <c r="O664" s="58">
        <v>15250</v>
      </c>
      <c r="P664" s="58" t="s">
        <v>33</v>
      </c>
      <c r="Q664" s="58">
        <v>49659</v>
      </c>
      <c r="R664" s="58">
        <v>29269</v>
      </c>
      <c r="S664" s="58">
        <v>143.5458558116724</v>
      </c>
      <c r="T664" s="58">
        <v>546298</v>
      </c>
      <c r="U664" s="58">
        <v>12.56</v>
      </c>
      <c r="V664" s="58">
        <v>7.35</v>
      </c>
      <c r="W664" s="58">
        <v>-11.85</v>
      </c>
      <c r="X664" s="58">
        <v>-61.71875</v>
      </c>
      <c r="Y664" s="58">
        <v>5228925</v>
      </c>
      <c r="Z664" s="58">
        <v>835275</v>
      </c>
      <c r="AA664" s="58">
        <v>15143.3</v>
      </c>
      <c r="AE664" s="57"/>
    </row>
    <row r="665" spans="1:31" x14ac:dyDescent="0.35">
      <c r="A665" s="56" t="s">
        <v>730</v>
      </c>
      <c r="B665" s="58">
        <v>15300</v>
      </c>
      <c r="C665" s="58" t="s">
        <v>26</v>
      </c>
      <c r="D665" s="58">
        <v>2434</v>
      </c>
      <c r="E665" s="58">
        <v>423</v>
      </c>
      <c r="F665" s="58">
        <v>21.034311287916459</v>
      </c>
      <c r="G665" s="58">
        <v>3677</v>
      </c>
      <c r="H665" s="58">
        <v>22.41</v>
      </c>
      <c r="I665" s="58">
        <v>325</v>
      </c>
      <c r="J665" s="58">
        <v>-44.649999999999977</v>
      </c>
      <c r="K665" s="58">
        <v>-12.07899364263492</v>
      </c>
      <c r="L665" s="58">
        <v>52350</v>
      </c>
      <c r="M665" s="58">
        <v>44250</v>
      </c>
      <c r="N665" s="58">
        <v>15139.55</v>
      </c>
      <c r="O665" s="58">
        <v>15300</v>
      </c>
      <c r="P665" s="58" t="s">
        <v>26</v>
      </c>
      <c r="Q665" s="58">
        <v>10434</v>
      </c>
      <c r="R665" s="58">
        <v>881</v>
      </c>
      <c r="S665" s="58">
        <v>9.2222338532398194</v>
      </c>
      <c r="T665" s="58">
        <v>8657</v>
      </c>
      <c r="U665" s="58">
        <v>19.559999999999999</v>
      </c>
      <c r="V665" s="58">
        <v>196.6</v>
      </c>
      <c r="W665" s="58">
        <v>-3.25</v>
      </c>
      <c r="X665" s="58">
        <v>-1.6262196647485614</v>
      </c>
      <c r="Y665" s="58">
        <v>59250</v>
      </c>
      <c r="Z665" s="58">
        <v>95250</v>
      </c>
      <c r="AA665" s="58">
        <v>15139.55</v>
      </c>
      <c r="AE665" s="57"/>
    </row>
    <row r="666" spans="1:31" x14ac:dyDescent="0.35">
      <c r="A666" s="56" t="s">
        <v>731</v>
      </c>
      <c r="B666" s="58">
        <v>15300</v>
      </c>
      <c r="C666" s="58" t="s">
        <v>64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5400</v>
      </c>
      <c r="M666" s="58">
        <v>6375</v>
      </c>
      <c r="N666" s="58">
        <v>15143.3</v>
      </c>
      <c r="O666" s="58">
        <v>15300</v>
      </c>
      <c r="P666" s="58" t="s">
        <v>64</v>
      </c>
      <c r="Q666" s="58">
        <v>11</v>
      </c>
      <c r="R666" s="58">
        <v>2</v>
      </c>
      <c r="S666" s="58">
        <v>22.222222222222221</v>
      </c>
      <c r="T666" s="58">
        <v>14</v>
      </c>
      <c r="U666" s="58">
        <v>20.27</v>
      </c>
      <c r="V666" s="58">
        <v>266.55</v>
      </c>
      <c r="W666" s="58">
        <v>9.9499999999999886</v>
      </c>
      <c r="X666" s="58">
        <v>3.8776305533904862</v>
      </c>
      <c r="Y666" s="58">
        <v>12000</v>
      </c>
      <c r="Z666" s="58">
        <v>9375</v>
      </c>
      <c r="AA666" s="58">
        <v>15139.55</v>
      </c>
      <c r="AE666" s="57"/>
    </row>
    <row r="667" spans="1:31" x14ac:dyDescent="0.35">
      <c r="A667" s="56" t="s">
        <v>732</v>
      </c>
      <c r="B667" s="58">
        <v>15300</v>
      </c>
      <c r="C667" s="58" t="s">
        <v>2071</v>
      </c>
      <c r="D667" s="58">
        <v>0</v>
      </c>
      <c r="E667" s="58">
        <v>0</v>
      </c>
      <c r="F667" s="58">
        <v>0</v>
      </c>
      <c r="G667" s="58">
        <v>0</v>
      </c>
      <c r="H667" s="58">
        <v>0</v>
      </c>
      <c r="I667" s="58">
        <v>0</v>
      </c>
      <c r="J667" s="58">
        <v>0</v>
      </c>
      <c r="K667" s="58">
        <v>0</v>
      </c>
      <c r="L667" s="58">
        <v>4050</v>
      </c>
      <c r="M667" s="58">
        <v>4875</v>
      </c>
      <c r="N667" s="58">
        <v>15139.55</v>
      </c>
      <c r="O667" s="58">
        <v>15300</v>
      </c>
      <c r="P667" s="58" t="s">
        <v>2071</v>
      </c>
      <c r="Q667" s="58">
        <v>0</v>
      </c>
      <c r="R667" s="58">
        <v>0</v>
      </c>
      <c r="S667" s="58">
        <v>0</v>
      </c>
      <c r="T667" s="58">
        <v>0</v>
      </c>
      <c r="U667" s="58">
        <v>0</v>
      </c>
      <c r="V667" s="58">
        <v>0</v>
      </c>
      <c r="W667" s="58">
        <v>0</v>
      </c>
      <c r="X667" s="58">
        <v>0</v>
      </c>
      <c r="Y667" s="58">
        <v>3450</v>
      </c>
      <c r="Z667" s="58">
        <v>10575</v>
      </c>
      <c r="AA667" s="58">
        <v>15139.55</v>
      </c>
      <c r="AE667" s="57"/>
    </row>
    <row r="668" spans="1:31" x14ac:dyDescent="0.35">
      <c r="A668" s="56" t="s">
        <v>733</v>
      </c>
      <c r="B668" s="58">
        <v>15300</v>
      </c>
      <c r="C668" s="58" t="s">
        <v>2073</v>
      </c>
      <c r="D668" s="58">
        <v>0</v>
      </c>
      <c r="E668" s="58">
        <v>0</v>
      </c>
      <c r="F668" s="58">
        <v>0</v>
      </c>
      <c r="G668" s="58">
        <v>0</v>
      </c>
      <c r="H668" s="58">
        <v>0</v>
      </c>
      <c r="I668" s="58">
        <v>0</v>
      </c>
      <c r="J668" s="58">
        <v>0</v>
      </c>
      <c r="K668" s="58">
        <v>0</v>
      </c>
      <c r="L668" s="58">
        <v>0</v>
      </c>
      <c r="M668" s="58">
        <v>4875</v>
      </c>
      <c r="N668" s="58">
        <v>15139.55</v>
      </c>
      <c r="O668" s="58">
        <v>15300</v>
      </c>
      <c r="P668" s="58" t="s">
        <v>2073</v>
      </c>
      <c r="Q668" s="58">
        <v>0</v>
      </c>
      <c r="R668" s="58">
        <v>0</v>
      </c>
      <c r="S668" s="58">
        <v>0</v>
      </c>
      <c r="T668" s="58">
        <v>0</v>
      </c>
      <c r="U668" s="58">
        <v>0</v>
      </c>
      <c r="V668" s="58">
        <v>0</v>
      </c>
      <c r="W668" s="58">
        <v>0</v>
      </c>
      <c r="X668" s="58">
        <v>0</v>
      </c>
      <c r="Y668" s="58">
        <v>2775</v>
      </c>
      <c r="Z668" s="58">
        <v>9825</v>
      </c>
      <c r="AA668" s="58">
        <v>15143.3</v>
      </c>
      <c r="AE668" s="57"/>
    </row>
    <row r="669" spans="1:31" x14ac:dyDescent="0.35">
      <c r="A669" s="56" t="s">
        <v>734</v>
      </c>
      <c r="B669" s="58">
        <v>15300</v>
      </c>
      <c r="C669" s="58" t="s">
        <v>2074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0</v>
      </c>
      <c r="M669" s="58">
        <v>4875</v>
      </c>
      <c r="N669" s="58">
        <v>15143.3</v>
      </c>
      <c r="O669" s="58">
        <v>15300</v>
      </c>
      <c r="P669" s="58" t="s">
        <v>2074</v>
      </c>
      <c r="Q669" s="58">
        <v>0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4875</v>
      </c>
      <c r="AA669" s="58">
        <v>15139.55</v>
      </c>
      <c r="AE669" s="57"/>
    </row>
    <row r="670" spans="1:31" x14ac:dyDescent="0.35">
      <c r="A670" s="56" t="s">
        <v>735</v>
      </c>
      <c r="B670" s="58">
        <v>15300</v>
      </c>
      <c r="C670" s="58" t="s">
        <v>33</v>
      </c>
      <c r="D670" s="58">
        <v>3442</v>
      </c>
      <c r="E670" s="58">
        <v>2053</v>
      </c>
      <c r="F670" s="58">
        <v>147.80417566594673</v>
      </c>
      <c r="G670" s="58">
        <v>77690</v>
      </c>
      <c r="H670" s="58">
        <v>13.77</v>
      </c>
      <c r="I670" s="58">
        <v>159.65</v>
      </c>
      <c r="J670" s="58">
        <v>-51.799999999999983</v>
      </c>
      <c r="K670" s="58">
        <v>-24.497517143532743</v>
      </c>
      <c r="L670" s="58">
        <v>1708875</v>
      </c>
      <c r="M670" s="58">
        <v>109725</v>
      </c>
      <c r="N670" s="58">
        <v>15139.55</v>
      </c>
      <c r="O670" s="58">
        <v>15300</v>
      </c>
      <c r="P670" s="58" t="s">
        <v>33</v>
      </c>
      <c r="Q670" s="58">
        <v>77859</v>
      </c>
      <c r="R670" s="58">
        <v>32585</v>
      </c>
      <c r="S670" s="58">
        <v>71.972876264522682</v>
      </c>
      <c r="T670" s="58">
        <v>841295</v>
      </c>
      <c r="U670" s="58">
        <v>13.11</v>
      </c>
      <c r="V670" s="58">
        <v>3.1</v>
      </c>
      <c r="W670" s="58">
        <v>-7.6</v>
      </c>
      <c r="X670" s="58">
        <v>-71.028037383177562</v>
      </c>
      <c r="Y670" s="58">
        <v>7272225</v>
      </c>
      <c r="Z670" s="58">
        <v>1603275</v>
      </c>
      <c r="AA670" s="58">
        <v>15139.55</v>
      </c>
      <c r="AE670" s="57"/>
    </row>
    <row r="671" spans="1:31" x14ac:dyDescent="0.35">
      <c r="A671" s="56" t="s">
        <v>736</v>
      </c>
      <c r="B671" s="58">
        <v>15300</v>
      </c>
      <c r="C671" s="58" t="s">
        <v>2076</v>
      </c>
      <c r="D671" s="58">
        <v>0</v>
      </c>
      <c r="E671" s="58">
        <v>0</v>
      </c>
      <c r="F671" s="58">
        <v>0</v>
      </c>
      <c r="G671" s="58">
        <v>0</v>
      </c>
      <c r="H671" s="58">
        <v>0</v>
      </c>
      <c r="I671" s="58">
        <v>0</v>
      </c>
      <c r="J671" s="58">
        <v>0</v>
      </c>
      <c r="K671" s="58">
        <v>0</v>
      </c>
      <c r="L671" s="58">
        <v>0</v>
      </c>
      <c r="M671" s="58">
        <v>4875</v>
      </c>
      <c r="N671" s="58">
        <v>15139.55</v>
      </c>
      <c r="O671" s="58">
        <v>15300</v>
      </c>
      <c r="P671" s="58" t="s">
        <v>2076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4875</v>
      </c>
      <c r="AA671" s="58">
        <v>15139.55</v>
      </c>
      <c r="AE671" s="57"/>
    </row>
    <row r="672" spans="1:31" x14ac:dyDescent="0.35">
      <c r="A672" s="56" t="s">
        <v>737</v>
      </c>
      <c r="B672" s="58">
        <v>15300</v>
      </c>
      <c r="C672" s="58" t="s">
        <v>2075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0</v>
      </c>
      <c r="M672" s="58">
        <v>10500</v>
      </c>
      <c r="N672" s="58">
        <v>15143.3</v>
      </c>
      <c r="O672" s="58">
        <v>15300</v>
      </c>
      <c r="P672" s="58" t="s">
        <v>2075</v>
      </c>
      <c r="Q672" s="58">
        <v>1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7500</v>
      </c>
      <c r="Z672" s="58">
        <v>12825</v>
      </c>
      <c r="AA672" s="58">
        <v>15139.55</v>
      </c>
      <c r="AE672" s="57"/>
    </row>
    <row r="673" spans="1:31" x14ac:dyDescent="0.35">
      <c r="A673" s="56" t="s">
        <v>738</v>
      </c>
      <c r="B673" s="58">
        <v>15300</v>
      </c>
      <c r="C673" s="58" t="s">
        <v>34</v>
      </c>
      <c r="D673" s="58">
        <v>1281</v>
      </c>
      <c r="E673" s="58">
        <v>962</v>
      </c>
      <c r="F673" s="58">
        <v>301.56739811912223</v>
      </c>
      <c r="G673" s="58">
        <v>5446</v>
      </c>
      <c r="H673" s="58">
        <v>21</v>
      </c>
      <c r="I673" s="58">
        <v>255.4</v>
      </c>
      <c r="J673" s="58">
        <v>-32.499999999999972</v>
      </c>
      <c r="K673" s="58">
        <v>-11.288641889544971</v>
      </c>
      <c r="L673" s="58">
        <v>24750</v>
      </c>
      <c r="M673" s="58">
        <v>20700</v>
      </c>
      <c r="N673" s="58">
        <v>15139.55</v>
      </c>
      <c r="O673" s="58">
        <v>15300</v>
      </c>
      <c r="P673" s="58" t="s">
        <v>34</v>
      </c>
      <c r="Q673" s="58">
        <v>7097</v>
      </c>
      <c r="R673" s="58">
        <v>2547</v>
      </c>
      <c r="S673" s="58">
        <v>55.978021978021978</v>
      </c>
      <c r="T673" s="58">
        <v>19997</v>
      </c>
      <c r="U673" s="58">
        <v>18.18</v>
      </c>
      <c r="V673" s="58">
        <v>108</v>
      </c>
      <c r="W673" s="58">
        <v>-2.0499999999999972</v>
      </c>
      <c r="X673" s="58">
        <v>-1.8627896410722371</v>
      </c>
      <c r="Y673" s="58">
        <v>90975</v>
      </c>
      <c r="Z673" s="58">
        <v>140550</v>
      </c>
      <c r="AA673" s="58">
        <v>15143.3</v>
      </c>
      <c r="AE673" s="57"/>
    </row>
    <row r="674" spans="1:31" x14ac:dyDescent="0.35">
      <c r="A674" s="56" t="s">
        <v>739</v>
      </c>
      <c r="B674" s="58">
        <v>15300</v>
      </c>
      <c r="C674" s="58" t="s">
        <v>2068</v>
      </c>
      <c r="D674" s="58">
        <v>125</v>
      </c>
      <c r="E674" s="58">
        <v>25</v>
      </c>
      <c r="F674" s="58">
        <v>25</v>
      </c>
      <c r="G674" s="58">
        <v>82</v>
      </c>
      <c r="H674" s="58">
        <v>22.33</v>
      </c>
      <c r="I674" s="58">
        <v>476</v>
      </c>
      <c r="J674" s="58">
        <v>-31.5</v>
      </c>
      <c r="K674" s="58">
        <v>-6.2068965517241379</v>
      </c>
      <c r="L674" s="58">
        <v>7575</v>
      </c>
      <c r="M674" s="58">
        <v>11100</v>
      </c>
      <c r="N674" s="58">
        <v>15139.55</v>
      </c>
      <c r="O674" s="58">
        <v>15300</v>
      </c>
      <c r="P674" s="58" t="s">
        <v>2068</v>
      </c>
      <c r="Q674" s="58">
        <v>1123</v>
      </c>
      <c r="R674" s="58">
        <v>71</v>
      </c>
      <c r="S674" s="58">
        <v>6.749049429657795</v>
      </c>
      <c r="T674" s="58">
        <v>284</v>
      </c>
      <c r="U674" s="58">
        <v>17.37</v>
      </c>
      <c r="V674" s="58">
        <v>413.4</v>
      </c>
      <c r="W674" s="58">
        <v>3</v>
      </c>
      <c r="X674" s="58">
        <v>0.73099415204678364</v>
      </c>
      <c r="Y674" s="58">
        <v>10650</v>
      </c>
      <c r="Z674" s="58">
        <v>9600</v>
      </c>
      <c r="AA674" s="58">
        <v>15143.3</v>
      </c>
      <c r="AE674" s="57"/>
    </row>
    <row r="675" spans="1:31" x14ac:dyDescent="0.35">
      <c r="A675" s="56" t="s">
        <v>740</v>
      </c>
      <c r="B675" s="58">
        <v>15350</v>
      </c>
      <c r="C675" s="58" t="s">
        <v>34</v>
      </c>
      <c r="D675" s="58">
        <v>102</v>
      </c>
      <c r="E675" s="58">
        <v>82</v>
      </c>
      <c r="F675" s="58">
        <v>410</v>
      </c>
      <c r="G675" s="58">
        <v>743</v>
      </c>
      <c r="H675" s="58">
        <v>20.53</v>
      </c>
      <c r="I675" s="58">
        <v>285.55</v>
      </c>
      <c r="J675" s="58">
        <v>-40.25</v>
      </c>
      <c r="K675" s="58">
        <v>-12.354205033763044</v>
      </c>
      <c r="L675" s="58">
        <v>12975</v>
      </c>
      <c r="M675" s="58">
        <v>9075</v>
      </c>
      <c r="N675" s="58">
        <v>15143.3</v>
      </c>
      <c r="O675" s="58">
        <v>15350</v>
      </c>
      <c r="P675" s="58" t="s">
        <v>34</v>
      </c>
      <c r="Q675" s="58">
        <v>974</v>
      </c>
      <c r="R675" s="58">
        <v>462</v>
      </c>
      <c r="S675" s="58">
        <v>90.234375</v>
      </c>
      <c r="T675" s="58">
        <v>3123</v>
      </c>
      <c r="U675" s="58">
        <v>18.100000000000001</v>
      </c>
      <c r="V675" s="58">
        <v>89.9</v>
      </c>
      <c r="W675" s="58">
        <v>-0.14999999999999147</v>
      </c>
      <c r="X675" s="58">
        <v>-0.16657412548583173</v>
      </c>
      <c r="Y675" s="58">
        <v>60525</v>
      </c>
      <c r="Z675" s="58">
        <v>39600</v>
      </c>
      <c r="AA675" s="58">
        <v>15139.55</v>
      </c>
      <c r="AE675" s="57"/>
    </row>
    <row r="676" spans="1:31" x14ac:dyDescent="0.35">
      <c r="A676" s="56" t="s">
        <v>741</v>
      </c>
      <c r="B676" s="58">
        <v>15350</v>
      </c>
      <c r="C676" s="58" t="s">
        <v>64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4800</v>
      </c>
      <c r="M676" s="58">
        <v>5625</v>
      </c>
      <c r="N676" s="58">
        <v>15139.55</v>
      </c>
      <c r="O676" s="58">
        <v>15350</v>
      </c>
      <c r="P676" s="58" t="s">
        <v>64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6450</v>
      </c>
      <c r="Z676" s="58">
        <v>6600</v>
      </c>
      <c r="AA676" s="58">
        <v>15139.55</v>
      </c>
      <c r="AE676" s="57"/>
    </row>
    <row r="677" spans="1:31" x14ac:dyDescent="0.35">
      <c r="A677" s="56" t="s">
        <v>742</v>
      </c>
      <c r="B677" s="58">
        <v>15350</v>
      </c>
      <c r="C677" s="58" t="s">
        <v>2071</v>
      </c>
      <c r="D677" s="58">
        <v>0</v>
      </c>
      <c r="E677" s="58">
        <v>0</v>
      </c>
      <c r="F677" s="58">
        <v>0</v>
      </c>
      <c r="G677" s="58">
        <v>0</v>
      </c>
      <c r="H677" s="58">
        <v>0</v>
      </c>
      <c r="I677" s="58">
        <v>0</v>
      </c>
      <c r="J677" s="58">
        <v>0</v>
      </c>
      <c r="K677" s="58">
        <v>0</v>
      </c>
      <c r="L677" s="58">
        <v>4050</v>
      </c>
      <c r="M677" s="58">
        <v>4875</v>
      </c>
      <c r="N677" s="58">
        <v>15139.55</v>
      </c>
      <c r="O677" s="58">
        <v>15350</v>
      </c>
      <c r="P677" s="58" t="s">
        <v>2071</v>
      </c>
      <c r="Q677" s="58">
        <v>0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2775</v>
      </c>
      <c r="Z677" s="58">
        <v>9750</v>
      </c>
      <c r="AA677" s="58">
        <v>15139.55</v>
      </c>
      <c r="AE677" s="57"/>
    </row>
    <row r="678" spans="1:31" x14ac:dyDescent="0.35">
      <c r="A678" s="56" t="s">
        <v>743</v>
      </c>
      <c r="B678" s="58">
        <v>15350</v>
      </c>
      <c r="C678" s="58" t="s">
        <v>2073</v>
      </c>
      <c r="D678" s="58">
        <v>0</v>
      </c>
      <c r="E678" s="58">
        <v>0</v>
      </c>
      <c r="F678" s="58">
        <v>0</v>
      </c>
      <c r="G678" s="58">
        <v>0</v>
      </c>
      <c r="H678" s="58">
        <v>0</v>
      </c>
      <c r="I678" s="58">
        <v>0</v>
      </c>
      <c r="J678" s="58">
        <v>0</v>
      </c>
      <c r="K678" s="58">
        <v>0</v>
      </c>
      <c r="L678" s="58">
        <v>0</v>
      </c>
      <c r="M678" s="58">
        <v>4875</v>
      </c>
      <c r="N678" s="58">
        <v>15139.55</v>
      </c>
      <c r="O678" s="58">
        <v>15350</v>
      </c>
      <c r="P678" s="58" t="s">
        <v>2073</v>
      </c>
      <c r="Q678" s="58">
        <v>0</v>
      </c>
      <c r="R678" s="58">
        <v>0</v>
      </c>
      <c r="S678" s="58">
        <v>0</v>
      </c>
      <c r="T678" s="58">
        <v>0</v>
      </c>
      <c r="U678" s="58">
        <v>0</v>
      </c>
      <c r="V678" s="58">
        <v>0</v>
      </c>
      <c r="W678" s="58">
        <v>0</v>
      </c>
      <c r="X678" s="58">
        <v>0</v>
      </c>
      <c r="Y678" s="58">
        <v>2775</v>
      </c>
      <c r="Z678" s="58">
        <v>9750</v>
      </c>
      <c r="AA678" s="58">
        <v>15139.55</v>
      </c>
      <c r="AE678" s="57"/>
    </row>
    <row r="679" spans="1:31" x14ac:dyDescent="0.35">
      <c r="A679" s="56" t="s">
        <v>744</v>
      </c>
      <c r="B679" s="58">
        <v>15350</v>
      </c>
      <c r="C679" s="58" t="s">
        <v>26</v>
      </c>
      <c r="D679" s="58">
        <v>201</v>
      </c>
      <c r="E679" s="58">
        <v>41</v>
      </c>
      <c r="F679" s="58">
        <v>25.625</v>
      </c>
      <c r="G679" s="58">
        <v>94</v>
      </c>
      <c r="H679" s="58">
        <v>21.98</v>
      </c>
      <c r="I679" s="58">
        <v>357</v>
      </c>
      <c r="J679" s="58">
        <v>-35.75</v>
      </c>
      <c r="K679" s="58">
        <v>-9.1024824952259706</v>
      </c>
      <c r="L679" s="58">
        <v>15750</v>
      </c>
      <c r="M679" s="58">
        <v>13200</v>
      </c>
      <c r="N679" s="58">
        <v>15143.3</v>
      </c>
      <c r="O679" s="58">
        <v>15350</v>
      </c>
      <c r="P679" s="58" t="s">
        <v>26</v>
      </c>
      <c r="Q679" s="58">
        <v>704</v>
      </c>
      <c r="R679" s="58">
        <v>55</v>
      </c>
      <c r="S679" s="58">
        <v>8.4745762711864412</v>
      </c>
      <c r="T679" s="58">
        <v>308</v>
      </c>
      <c r="U679" s="58">
        <v>19.579999999999998</v>
      </c>
      <c r="V679" s="58">
        <v>175.1</v>
      </c>
      <c r="W679" s="58">
        <v>-3.3499999999999943</v>
      </c>
      <c r="X679" s="58">
        <v>-1.8772765480526727</v>
      </c>
      <c r="Y679" s="58">
        <v>25425</v>
      </c>
      <c r="Z679" s="58">
        <v>26325</v>
      </c>
      <c r="AA679" s="58">
        <v>15139.55</v>
      </c>
      <c r="AE679" s="57"/>
    </row>
    <row r="680" spans="1:31" x14ac:dyDescent="0.35">
      <c r="A680" s="56" t="s">
        <v>745</v>
      </c>
      <c r="B680" s="58">
        <v>15350</v>
      </c>
      <c r="C680" s="58" t="s">
        <v>2068</v>
      </c>
      <c r="D680" s="58">
        <v>2</v>
      </c>
      <c r="E680" s="58">
        <v>1</v>
      </c>
      <c r="F680" s="58">
        <v>100</v>
      </c>
      <c r="G680" s="58">
        <v>1</v>
      </c>
      <c r="H680" s="58">
        <v>22.06</v>
      </c>
      <c r="I680" s="58">
        <v>495.45</v>
      </c>
      <c r="J680" s="58">
        <v>-52.699999999999989</v>
      </c>
      <c r="K680" s="58">
        <v>-9.6141567089300359</v>
      </c>
      <c r="L680" s="58">
        <v>5175</v>
      </c>
      <c r="M680" s="58">
        <v>10050</v>
      </c>
      <c r="N680" s="58">
        <v>15139.55</v>
      </c>
      <c r="O680" s="58">
        <v>15350</v>
      </c>
      <c r="P680" s="58" t="s">
        <v>2068</v>
      </c>
      <c r="Q680" s="58">
        <v>15</v>
      </c>
      <c r="R680" s="58">
        <v>0</v>
      </c>
      <c r="S680" s="58">
        <v>0</v>
      </c>
      <c r="T680" s="58">
        <v>6</v>
      </c>
      <c r="U680" s="58">
        <v>17.59</v>
      </c>
      <c r="V680" s="58">
        <v>390.45</v>
      </c>
      <c r="W680" s="58">
        <v>10.349999999999966</v>
      </c>
      <c r="X680" s="58">
        <v>2.7229676400947027</v>
      </c>
      <c r="Y680" s="58">
        <v>5925</v>
      </c>
      <c r="Z680" s="58">
        <v>5325</v>
      </c>
      <c r="AA680" s="58">
        <v>15139.55</v>
      </c>
      <c r="AE680" s="57"/>
    </row>
    <row r="681" spans="1:31" x14ac:dyDescent="0.35">
      <c r="A681" s="56" t="s">
        <v>746</v>
      </c>
      <c r="B681" s="58">
        <v>15350</v>
      </c>
      <c r="C681" s="58" t="s">
        <v>2076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15143.3</v>
      </c>
      <c r="O681" s="58">
        <v>15350</v>
      </c>
      <c r="P681" s="58" t="s">
        <v>2076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15139.55</v>
      </c>
      <c r="AE681" s="57"/>
    </row>
    <row r="682" spans="1:31" x14ac:dyDescent="0.35">
      <c r="A682" s="56" t="s">
        <v>747</v>
      </c>
      <c r="B682" s="58">
        <v>15350</v>
      </c>
      <c r="C682" s="58" t="s">
        <v>2075</v>
      </c>
      <c r="D682" s="58">
        <v>0</v>
      </c>
      <c r="E682" s="58">
        <v>0</v>
      </c>
      <c r="F682" s="58">
        <v>0</v>
      </c>
      <c r="G682" s="58">
        <v>0</v>
      </c>
      <c r="H682" s="58">
        <v>0</v>
      </c>
      <c r="I682" s="58">
        <v>0</v>
      </c>
      <c r="J682" s="58">
        <v>0</v>
      </c>
      <c r="K682" s="58">
        <v>0</v>
      </c>
      <c r="L682" s="58">
        <v>0</v>
      </c>
      <c r="M682" s="58">
        <v>5025</v>
      </c>
      <c r="N682" s="58">
        <v>15143.3</v>
      </c>
      <c r="O682" s="58">
        <v>15350</v>
      </c>
      <c r="P682" s="58" t="s">
        <v>2075</v>
      </c>
      <c r="Q682" s="58">
        <v>0</v>
      </c>
      <c r="R682" s="58">
        <v>0</v>
      </c>
      <c r="S682" s="58">
        <v>0</v>
      </c>
      <c r="T682" s="58">
        <v>0</v>
      </c>
      <c r="U682" s="58">
        <v>0</v>
      </c>
      <c r="V682" s="58">
        <v>0</v>
      </c>
      <c r="W682" s="58">
        <v>0</v>
      </c>
      <c r="X682" s="58">
        <v>0</v>
      </c>
      <c r="Y682" s="58">
        <v>7875</v>
      </c>
      <c r="Z682" s="58">
        <v>9900</v>
      </c>
      <c r="AA682" s="58">
        <v>15139.55</v>
      </c>
      <c r="AE682" s="57"/>
    </row>
    <row r="683" spans="1:31" x14ac:dyDescent="0.35">
      <c r="A683" s="56" t="s">
        <v>748</v>
      </c>
      <c r="B683" s="58">
        <v>15350</v>
      </c>
      <c r="C683" s="58" t="s">
        <v>33</v>
      </c>
      <c r="D683" s="58">
        <v>710</v>
      </c>
      <c r="E683" s="58">
        <v>358</v>
      </c>
      <c r="F683" s="58">
        <v>101.70454545454544</v>
      </c>
      <c r="G683" s="58">
        <v>5342</v>
      </c>
      <c r="H683" s="58">
        <v>15.6</v>
      </c>
      <c r="I683" s="58">
        <v>208.15</v>
      </c>
      <c r="J683" s="58">
        <v>-51.749999999999972</v>
      </c>
      <c r="K683" s="58">
        <v>-19.911504424778752</v>
      </c>
      <c r="L683" s="58">
        <v>319725</v>
      </c>
      <c r="M683" s="58">
        <v>31725</v>
      </c>
      <c r="N683" s="58">
        <v>15139.55</v>
      </c>
      <c r="O683" s="58">
        <v>15350</v>
      </c>
      <c r="P683" s="58" t="s">
        <v>33</v>
      </c>
      <c r="Q683" s="58">
        <v>34488</v>
      </c>
      <c r="R683" s="58">
        <v>8222</v>
      </c>
      <c r="S683" s="58">
        <v>31.302824944795553</v>
      </c>
      <c r="T683" s="58">
        <v>289816</v>
      </c>
      <c r="U683" s="58">
        <v>14.34</v>
      </c>
      <c r="V683" s="58">
        <v>1.55</v>
      </c>
      <c r="W683" s="58">
        <v>-4.05</v>
      </c>
      <c r="X683" s="58">
        <v>-72.321428571428569</v>
      </c>
      <c r="Y683" s="58">
        <v>5190225</v>
      </c>
      <c r="Z683" s="58">
        <v>652425</v>
      </c>
      <c r="AA683" s="58">
        <v>15139.55</v>
      </c>
      <c r="AE683" s="57"/>
    </row>
    <row r="684" spans="1:31" x14ac:dyDescent="0.35">
      <c r="A684" s="56" t="s">
        <v>749</v>
      </c>
      <c r="B684" s="58">
        <v>15350</v>
      </c>
      <c r="C684" s="58" t="s">
        <v>2074</v>
      </c>
      <c r="D684" s="58">
        <v>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0</v>
      </c>
      <c r="M684" s="58">
        <v>4875</v>
      </c>
      <c r="N684" s="58">
        <v>15143.3</v>
      </c>
      <c r="O684" s="58">
        <v>15350</v>
      </c>
      <c r="P684" s="58" t="s">
        <v>2074</v>
      </c>
      <c r="Q684" s="58">
        <v>0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0</v>
      </c>
      <c r="Z684" s="58">
        <v>4875</v>
      </c>
      <c r="AA684" s="58">
        <v>15143.3</v>
      </c>
      <c r="AE684" s="57"/>
    </row>
    <row r="685" spans="1:31" x14ac:dyDescent="0.35">
      <c r="A685" s="56" t="s">
        <v>750</v>
      </c>
      <c r="B685" s="58">
        <v>15400</v>
      </c>
      <c r="C685" s="58" t="s">
        <v>34</v>
      </c>
      <c r="D685" s="58">
        <v>361</v>
      </c>
      <c r="E685" s="58">
        <v>101</v>
      </c>
      <c r="F685" s="58">
        <v>38.846153846153847</v>
      </c>
      <c r="G685" s="58">
        <v>862</v>
      </c>
      <c r="H685" s="58">
        <v>20.63</v>
      </c>
      <c r="I685" s="58">
        <v>319.45</v>
      </c>
      <c r="J685" s="58">
        <v>-41.25</v>
      </c>
      <c r="K685" s="58">
        <v>-11.436096479068478</v>
      </c>
      <c r="L685" s="58">
        <v>19125</v>
      </c>
      <c r="M685" s="58">
        <v>10950</v>
      </c>
      <c r="N685" s="58">
        <v>15143.3</v>
      </c>
      <c r="O685" s="58">
        <v>15400</v>
      </c>
      <c r="P685" s="58" t="s">
        <v>34</v>
      </c>
      <c r="Q685" s="58">
        <v>8109</v>
      </c>
      <c r="R685" s="58">
        <v>3414</v>
      </c>
      <c r="S685" s="58">
        <v>72.715654952076676</v>
      </c>
      <c r="T685" s="58">
        <v>18070</v>
      </c>
      <c r="U685" s="58">
        <v>17.899999999999999</v>
      </c>
      <c r="V685" s="58">
        <v>72.7</v>
      </c>
      <c r="W685" s="58">
        <v>-4.8999999999999915</v>
      </c>
      <c r="X685" s="58">
        <v>-6.3144329896907117</v>
      </c>
      <c r="Y685" s="58">
        <v>86925</v>
      </c>
      <c r="Z685" s="58">
        <v>100800</v>
      </c>
      <c r="AA685" s="58">
        <v>15139.55</v>
      </c>
      <c r="AE685" s="57"/>
    </row>
    <row r="686" spans="1:31" x14ac:dyDescent="0.35">
      <c r="A686" s="56" t="s">
        <v>751</v>
      </c>
      <c r="B686" s="58">
        <v>15400</v>
      </c>
      <c r="C686" s="58" t="s">
        <v>26</v>
      </c>
      <c r="D686" s="58">
        <v>1604</v>
      </c>
      <c r="E686" s="58">
        <v>280</v>
      </c>
      <c r="F686" s="58">
        <v>21.148036253776436</v>
      </c>
      <c r="G686" s="58">
        <v>1153</v>
      </c>
      <c r="H686" s="58">
        <v>21.99</v>
      </c>
      <c r="I686" s="58">
        <v>382.55</v>
      </c>
      <c r="J686" s="58">
        <v>-43.800000000000011</v>
      </c>
      <c r="K686" s="58">
        <v>-10.273249677495018</v>
      </c>
      <c r="L686" s="58">
        <v>42975</v>
      </c>
      <c r="M686" s="58">
        <v>30825</v>
      </c>
      <c r="N686" s="58">
        <v>15143.3</v>
      </c>
      <c r="O686" s="58">
        <v>15400</v>
      </c>
      <c r="P686" s="58" t="s">
        <v>26</v>
      </c>
      <c r="Q686" s="58">
        <v>11437</v>
      </c>
      <c r="R686" s="58">
        <v>585</v>
      </c>
      <c r="S686" s="58">
        <v>5.3907113896056025</v>
      </c>
      <c r="T686" s="58">
        <v>6786</v>
      </c>
      <c r="U686" s="58">
        <v>19.21</v>
      </c>
      <c r="V686" s="58">
        <v>152.4</v>
      </c>
      <c r="W686" s="58">
        <v>-3.3499999999999943</v>
      </c>
      <c r="X686" s="58">
        <v>-2.1508828250401248</v>
      </c>
      <c r="Y686" s="58">
        <v>59325</v>
      </c>
      <c r="Z686" s="58">
        <v>88950</v>
      </c>
      <c r="AA686" s="58">
        <v>15143.3</v>
      </c>
      <c r="AE686" s="57"/>
    </row>
    <row r="687" spans="1:31" x14ac:dyDescent="0.35">
      <c r="A687" s="56" t="s">
        <v>752</v>
      </c>
      <c r="B687" s="58">
        <v>15400</v>
      </c>
      <c r="C687" s="58" t="s">
        <v>64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4950</v>
      </c>
      <c r="M687" s="58">
        <v>6000</v>
      </c>
      <c r="N687" s="58">
        <v>15139.55</v>
      </c>
      <c r="O687" s="58">
        <v>15400</v>
      </c>
      <c r="P687" s="58" t="s">
        <v>64</v>
      </c>
      <c r="Q687" s="58">
        <v>24</v>
      </c>
      <c r="R687" s="58">
        <v>24</v>
      </c>
      <c r="S687" s="58">
        <v>0</v>
      </c>
      <c r="T687" s="58">
        <v>25</v>
      </c>
      <c r="U687" s="58">
        <v>19.89</v>
      </c>
      <c r="V687" s="58">
        <v>218.6</v>
      </c>
      <c r="W687" s="58">
        <v>-227.55</v>
      </c>
      <c r="X687" s="58">
        <v>-51.003025888154205</v>
      </c>
      <c r="Y687" s="58">
        <v>11250</v>
      </c>
      <c r="Z687" s="58">
        <v>8475</v>
      </c>
      <c r="AA687" s="58">
        <v>15139.55</v>
      </c>
      <c r="AE687" s="57"/>
    </row>
    <row r="688" spans="1:31" x14ac:dyDescent="0.35">
      <c r="A688" s="56" t="s">
        <v>753</v>
      </c>
      <c r="B688" s="58">
        <v>15400</v>
      </c>
      <c r="C688" s="58" t="s">
        <v>2071</v>
      </c>
      <c r="D688" s="58">
        <v>0</v>
      </c>
      <c r="E688" s="58">
        <v>0</v>
      </c>
      <c r="F688" s="58">
        <v>0</v>
      </c>
      <c r="G688" s="58">
        <v>0</v>
      </c>
      <c r="H688" s="58">
        <v>0</v>
      </c>
      <c r="I688" s="58">
        <v>0</v>
      </c>
      <c r="J688" s="58">
        <v>0</v>
      </c>
      <c r="K688" s="58">
        <v>0</v>
      </c>
      <c r="L688" s="58">
        <v>4050</v>
      </c>
      <c r="M688" s="58">
        <v>4875</v>
      </c>
      <c r="N688" s="58">
        <v>15139.55</v>
      </c>
      <c r="O688" s="58">
        <v>15400</v>
      </c>
      <c r="P688" s="58" t="s">
        <v>2071</v>
      </c>
      <c r="Q688" s="58">
        <v>0</v>
      </c>
      <c r="R688" s="58">
        <v>0</v>
      </c>
      <c r="S688" s="58">
        <v>0</v>
      </c>
      <c r="T688" s="58">
        <v>0</v>
      </c>
      <c r="U688" s="58">
        <v>0</v>
      </c>
      <c r="V688" s="58">
        <v>0</v>
      </c>
      <c r="W688" s="58">
        <v>0</v>
      </c>
      <c r="X688" s="58">
        <v>0</v>
      </c>
      <c r="Y688" s="58">
        <v>7725</v>
      </c>
      <c r="Z688" s="58">
        <v>10800</v>
      </c>
      <c r="AA688" s="58">
        <v>15139.55</v>
      </c>
      <c r="AE688" s="57"/>
    </row>
    <row r="689" spans="1:31" x14ac:dyDescent="0.35">
      <c r="A689" s="56" t="s">
        <v>754</v>
      </c>
      <c r="B689" s="58">
        <v>15400</v>
      </c>
      <c r="C689" s="58" t="s">
        <v>2073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0</v>
      </c>
      <c r="M689" s="58">
        <v>4875</v>
      </c>
      <c r="N689" s="58">
        <v>15143.3</v>
      </c>
      <c r="O689" s="58">
        <v>15400</v>
      </c>
      <c r="P689" s="58" t="s">
        <v>2073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3675</v>
      </c>
      <c r="Z689" s="58">
        <v>9750</v>
      </c>
      <c r="AA689" s="58">
        <v>15139.55</v>
      </c>
      <c r="AE689" s="57"/>
    </row>
    <row r="690" spans="1:31" x14ac:dyDescent="0.35">
      <c r="A690" s="56" t="s">
        <v>755</v>
      </c>
      <c r="B690" s="58">
        <v>15400</v>
      </c>
      <c r="C690" s="58" t="s">
        <v>2074</v>
      </c>
      <c r="D690" s="58">
        <v>0</v>
      </c>
      <c r="E690" s="58">
        <v>0</v>
      </c>
      <c r="F690" s="58">
        <v>0</v>
      </c>
      <c r="G690" s="58">
        <v>0</v>
      </c>
      <c r="H690" s="58">
        <v>0</v>
      </c>
      <c r="I690" s="58">
        <v>0</v>
      </c>
      <c r="J690" s="58">
        <v>0</v>
      </c>
      <c r="K690" s="58">
        <v>0</v>
      </c>
      <c r="L690" s="58">
        <v>0</v>
      </c>
      <c r="M690" s="58">
        <v>4875</v>
      </c>
      <c r="N690" s="58">
        <v>15139.55</v>
      </c>
      <c r="O690" s="58">
        <v>15400</v>
      </c>
      <c r="P690" s="58" t="s">
        <v>2074</v>
      </c>
      <c r="Q690" s="58">
        <v>0</v>
      </c>
      <c r="R690" s="58">
        <v>0</v>
      </c>
      <c r="S690" s="58">
        <v>0</v>
      </c>
      <c r="T690" s="58">
        <v>0</v>
      </c>
      <c r="U690" s="58">
        <v>0</v>
      </c>
      <c r="V690" s="58">
        <v>0</v>
      </c>
      <c r="W690" s="58">
        <v>0</v>
      </c>
      <c r="X690" s="58">
        <v>0</v>
      </c>
      <c r="Y690" s="58">
        <v>0</v>
      </c>
      <c r="Z690" s="58">
        <v>4875</v>
      </c>
      <c r="AA690" s="58">
        <v>15143.3</v>
      </c>
      <c r="AE690" s="57"/>
    </row>
    <row r="691" spans="1:31" x14ac:dyDescent="0.35">
      <c r="A691" s="56" t="s">
        <v>756</v>
      </c>
      <c r="B691" s="58">
        <v>15400</v>
      </c>
      <c r="C691" s="58" t="s">
        <v>2068</v>
      </c>
      <c r="D691" s="58">
        <v>39</v>
      </c>
      <c r="E691" s="58">
        <v>12</v>
      </c>
      <c r="F691" s="58">
        <v>44.444444444444443</v>
      </c>
      <c r="G691" s="58">
        <v>21</v>
      </c>
      <c r="H691" s="58">
        <v>21.94</v>
      </c>
      <c r="I691" s="58">
        <v>518.79999999999995</v>
      </c>
      <c r="J691" s="58">
        <v>-39.050000000000068</v>
      </c>
      <c r="K691" s="58">
        <v>-7.0000896298288193</v>
      </c>
      <c r="L691" s="58">
        <v>7275</v>
      </c>
      <c r="M691" s="58">
        <v>11250</v>
      </c>
      <c r="N691" s="58">
        <v>15139.55</v>
      </c>
      <c r="O691" s="58">
        <v>15400</v>
      </c>
      <c r="P691" s="58" t="s">
        <v>2068</v>
      </c>
      <c r="Q691" s="58">
        <v>333</v>
      </c>
      <c r="R691" s="58">
        <v>23</v>
      </c>
      <c r="S691" s="58">
        <v>7.419354838709677</v>
      </c>
      <c r="T691" s="58">
        <v>201</v>
      </c>
      <c r="U691" s="58">
        <v>17.190000000000001</v>
      </c>
      <c r="V691" s="58">
        <v>362.3</v>
      </c>
      <c r="W691" s="58">
        <v>1.1999999999999886</v>
      </c>
      <c r="X691" s="58">
        <v>0.33231791747438066</v>
      </c>
      <c r="Y691" s="58">
        <v>9525</v>
      </c>
      <c r="Z691" s="58">
        <v>9525</v>
      </c>
      <c r="AA691" s="58">
        <v>15139.55</v>
      </c>
      <c r="AE691" s="57"/>
    </row>
    <row r="692" spans="1:31" x14ac:dyDescent="0.35">
      <c r="A692" s="56" t="s">
        <v>757</v>
      </c>
      <c r="B692" s="58">
        <v>15400</v>
      </c>
      <c r="C692" s="58" t="s">
        <v>2076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15139.55</v>
      </c>
      <c r="O692" s="58">
        <v>15400</v>
      </c>
      <c r="P692" s="58" t="s">
        <v>2076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15139.55</v>
      </c>
      <c r="AE692" s="57"/>
    </row>
    <row r="693" spans="1:31" x14ac:dyDescent="0.35">
      <c r="A693" s="56" t="s">
        <v>758</v>
      </c>
      <c r="B693" s="58">
        <v>15400</v>
      </c>
      <c r="C693" s="58" t="s">
        <v>2075</v>
      </c>
      <c r="D693" s="58">
        <v>0</v>
      </c>
      <c r="E693" s="58">
        <v>0</v>
      </c>
      <c r="F693" s="58">
        <v>0</v>
      </c>
      <c r="G693" s="58">
        <v>0</v>
      </c>
      <c r="H693" s="58">
        <v>0</v>
      </c>
      <c r="I693" s="58">
        <v>0</v>
      </c>
      <c r="J693" s="58">
        <v>0</v>
      </c>
      <c r="K693" s="58">
        <v>0</v>
      </c>
      <c r="L693" s="58">
        <v>675</v>
      </c>
      <c r="M693" s="58">
        <v>10725</v>
      </c>
      <c r="N693" s="58">
        <v>15143.3</v>
      </c>
      <c r="O693" s="58">
        <v>15400</v>
      </c>
      <c r="P693" s="58" t="s">
        <v>2075</v>
      </c>
      <c r="Q693" s="58">
        <v>0</v>
      </c>
      <c r="R693" s="58">
        <v>0</v>
      </c>
      <c r="S693" s="58">
        <v>0</v>
      </c>
      <c r="T693" s="58">
        <v>0</v>
      </c>
      <c r="U693" s="58">
        <v>0</v>
      </c>
      <c r="V693" s="58">
        <v>0</v>
      </c>
      <c r="W693" s="58">
        <v>0</v>
      </c>
      <c r="X693" s="58">
        <v>0</v>
      </c>
      <c r="Y693" s="58">
        <v>2175</v>
      </c>
      <c r="Z693" s="58">
        <v>11775</v>
      </c>
      <c r="AA693" s="58">
        <v>15139.55</v>
      </c>
      <c r="AE693" s="57"/>
    </row>
    <row r="694" spans="1:31" x14ac:dyDescent="0.35">
      <c r="A694" s="56" t="s">
        <v>759</v>
      </c>
      <c r="B694" s="58">
        <v>15400</v>
      </c>
      <c r="C694" s="58" t="s">
        <v>33</v>
      </c>
      <c r="D694" s="58">
        <v>756</v>
      </c>
      <c r="E694" s="58">
        <v>315</v>
      </c>
      <c r="F694" s="58">
        <v>71.428571428571431</v>
      </c>
      <c r="G694" s="58">
        <v>7810</v>
      </c>
      <c r="H694" s="58">
        <v>17.22</v>
      </c>
      <c r="I694" s="58">
        <v>256.25</v>
      </c>
      <c r="J694" s="58">
        <v>-53.050000000000011</v>
      </c>
      <c r="K694" s="58">
        <v>-17.151632719043004</v>
      </c>
      <c r="L694" s="58">
        <v>276600</v>
      </c>
      <c r="M694" s="58">
        <v>54825</v>
      </c>
      <c r="N694" s="58">
        <v>15139.55</v>
      </c>
      <c r="O694" s="58">
        <v>15400</v>
      </c>
      <c r="P694" s="58" t="s">
        <v>33</v>
      </c>
      <c r="Q694" s="58">
        <v>51437</v>
      </c>
      <c r="R694" s="58">
        <v>17053</v>
      </c>
      <c r="S694" s="58">
        <v>49.595742205677062</v>
      </c>
      <c r="T694" s="58">
        <v>308339</v>
      </c>
      <c r="U694" s="58">
        <v>16.36</v>
      </c>
      <c r="V694" s="58">
        <v>1.1499999999999999</v>
      </c>
      <c r="W694" s="58">
        <v>-2.35</v>
      </c>
      <c r="X694" s="58">
        <v>-67.142857142857153</v>
      </c>
      <c r="Y694" s="58">
        <v>6753225</v>
      </c>
      <c r="Z694" s="58">
        <v>566550</v>
      </c>
      <c r="AA694" s="58">
        <v>15143.3</v>
      </c>
      <c r="AE694" s="57"/>
    </row>
    <row r="695" spans="1:31" x14ac:dyDescent="0.35">
      <c r="A695" s="56" t="s">
        <v>760</v>
      </c>
      <c r="B695" s="58">
        <v>15450</v>
      </c>
      <c r="C695" s="58" t="s">
        <v>34</v>
      </c>
      <c r="D695" s="58">
        <v>50</v>
      </c>
      <c r="E695" s="58">
        <v>48</v>
      </c>
      <c r="F695" s="58">
        <v>2400</v>
      </c>
      <c r="G695" s="58">
        <v>164</v>
      </c>
      <c r="H695" s="58">
        <v>20.47</v>
      </c>
      <c r="I695" s="58">
        <v>357.15</v>
      </c>
      <c r="J695" s="58">
        <v>-27.5</v>
      </c>
      <c r="K695" s="58">
        <v>-7.1493565579097886</v>
      </c>
      <c r="L695" s="58">
        <v>23175</v>
      </c>
      <c r="M695" s="58">
        <v>13875</v>
      </c>
      <c r="N695" s="58">
        <v>15139.55</v>
      </c>
      <c r="O695" s="58">
        <v>15450</v>
      </c>
      <c r="P695" s="58" t="s">
        <v>34</v>
      </c>
      <c r="Q695" s="58">
        <v>901</v>
      </c>
      <c r="R695" s="58">
        <v>356</v>
      </c>
      <c r="S695" s="58">
        <v>65.321100917431195</v>
      </c>
      <c r="T695" s="58">
        <v>2640</v>
      </c>
      <c r="U695" s="58">
        <v>17.88</v>
      </c>
      <c r="V695" s="58">
        <v>59</v>
      </c>
      <c r="W695" s="58">
        <v>-3.0499999999999972</v>
      </c>
      <c r="X695" s="58">
        <v>-4.9153908138597862</v>
      </c>
      <c r="Y695" s="58">
        <v>44475</v>
      </c>
      <c r="Z695" s="58">
        <v>30000</v>
      </c>
      <c r="AA695" s="58">
        <v>15143.3</v>
      </c>
      <c r="AE695" s="57"/>
    </row>
    <row r="696" spans="1:31" x14ac:dyDescent="0.35">
      <c r="A696" s="56" t="s">
        <v>761</v>
      </c>
      <c r="B696" s="58">
        <v>15450</v>
      </c>
      <c r="C696" s="58" t="s">
        <v>26</v>
      </c>
      <c r="D696" s="58">
        <v>124</v>
      </c>
      <c r="E696" s="58">
        <v>27</v>
      </c>
      <c r="F696" s="58">
        <v>27.835051546391753</v>
      </c>
      <c r="G696" s="58">
        <v>224</v>
      </c>
      <c r="H696" s="58">
        <v>22.01</v>
      </c>
      <c r="I696" s="58">
        <v>413.25</v>
      </c>
      <c r="J696" s="58">
        <v>-29</v>
      </c>
      <c r="K696" s="58">
        <v>-6.557377049180328</v>
      </c>
      <c r="L696" s="58">
        <v>19275</v>
      </c>
      <c r="M696" s="58">
        <v>17100</v>
      </c>
      <c r="N696" s="58">
        <v>15139.55</v>
      </c>
      <c r="O696" s="58">
        <v>15450</v>
      </c>
      <c r="P696" s="58" t="s">
        <v>26</v>
      </c>
      <c r="Q696" s="58">
        <v>531</v>
      </c>
      <c r="R696" s="58">
        <v>-22</v>
      </c>
      <c r="S696" s="58">
        <v>-3.9783001808318263</v>
      </c>
      <c r="T696" s="58">
        <v>503</v>
      </c>
      <c r="U696" s="58">
        <v>19.22</v>
      </c>
      <c r="V696" s="58">
        <v>133.85</v>
      </c>
      <c r="W696" s="58">
        <v>-7.4500000000000171</v>
      </c>
      <c r="X696" s="58">
        <v>-5.2724699221514628</v>
      </c>
      <c r="Y696" s="58">
        <v>30675</v>
      </c>
      <c r="Z696" s="58">
        <v>31275</v>
      </c>
      <c r="AA696" s="58">
        <v>15143.3</v>
      </c>
      <c r="AE696" s="57"/>
    </row>
    <row r="697" spans="1:31" x14ac:dyDescent="0.35">
      <c r="A697" s="56" t="s">
        <v>762</v>
      </c>
      <c r="B697" s="58">
        <v>15450</v>
      </c>
      <c r="C697" s="58" t="s">
        <v>64</v>
      </c>
      <c r="D697" s="58">
        <v>0</v>
      </c>
      <c r="E697" s="58">
        <v>0</v>
      </c>
      <c r="F697" s="58">
        <v>0</v>
      </c>
      <c r="G697" s="58">
        <v>0</v>
      </c>
      <c r="H697" s="58">
        <v>0</v>
      </c>
      <c r="I697" s="58">
        <v>0</v>
      </c>
      <c r="J697" s="58">
        <v>0</v>
      </c>
      <c r="K697" s="58">
        <v>0</v>
      </c>
      <c r="L697" s="58">
        <v>4050</v>
      </c>
      <c r="M697" s="58">
        <v>5625</v>
      </c>
      <c r="N697" s="58">
        <v>15139.55</v>
      </c>
      <c r="O697" s="58">
        <v>15450</v>
      </c>
      <c r="P697" s="58" t="s">
        <v>64</v>
      </c>
      <c r="Q697" s="58">
        <v>0</v>
      </c>
      <c r="R697" s="58">
        <v>0</v>
      </c>
      <c r="S697" s="58">
        <v>0</v>
      </c>
      <c r="T697" s="58">
        <v>0</v>
      </c>
      <c r="U697" s="58">
        <v>0</v>
      </c>
      <c r="V697" s="58">
        <v>0</v>
      </c>
      <c r="W697" s="58">
        <v>0</v>
      </c>
      <c r="X697" s="58">
        <v>0</v>
      </c>
      <c r="Y697" s="58">
        <v>5775</v>
      </c>
      <c r="Z697" s="58">
        <v>6375</v>
      </c>
      <c r="AA697" s="58">
        <v>15139.55</v>
      </c>
      <c r="AE697" s="57"/>
    </row>
    <row r="698" spans="1:31" x14ac:dyDescent="0.35">
      <c r="A698" s="56" t="s">
        <v>763</v>
      </c>
      <c r="B698" s="58">
        <v>15450</v>
      </c>
      <c r="C698" s="58" t="s">
        <v>2071</v>
      </c>
      <c r="D698" s="58">
        <v>0</v>
      </c>
      <c r="E698" s="58">
        <v>0</v>
      </c>
      <c r="F698" s="58">
        <v>0</v>
      </c>
      <c r="G698" s="58">
        <v>0</v>
      </c>
      <c r="H698" s="58">
        <v>0</v>
      </c>
      <c r="I698" s="58">
        <v>0</v>
      </c>
      <c r="J698" s="58">
        <v>0</v>
      </c>
      <c r="K698" s="58">
        <v>0</v>
      </c>
      <c r="L698" s="58">
        <v>1425</v>
      </c>
      <c r="M698" s="58">
        <v>4875</v>
      </c>
      <c r="N698" s="58">
        <v>15143.3</v>
      </c>
      <c r="O698" s="58">
        <v>15450</v>
      </c>
      <c r="P698" s="58" t="s">
        <v>2071</v>
      </c>
      <c r="Q698" s="58">
        <v>0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2775</v>
      </c>
      <c r="Z698" s="58">
        <v>9750</v>
      </c>
      <c r="AA698" s="58">
        <v>15139.55</v>
      </c>
      <c r="AE698" s="57"/>
    </row>
    <row r="699" spans="1:31" x14ac:dyDescent="0.35">
      <c r="A699" s="56" t="s">
        <v>764</v>
      </c>
      <c r="B699" s="58">
        <v>15450</v>
      </c>
      <c r="C699" s="58" t="s">
        <v>2073</v>
      </c>
      <c r="D699" s="58">
        <v>0</v>
      </c>
      <c r="E699" s="58">
        <v>0</v>
      </c>
      <c r="F699" s="58">
        <v>0</v>
      </c>
      <c r="G699" s="58">
        <v>0</v>
      </c>
      <c r="H699" s="58">
        <v>0</v>
      </c>
      <c r="I699" s="58">
        <v>0</v>
      </c>
      <c r="J699" s="58">
        <v>0</v>
      </c>
      <c r="K699" s="58">
        <v>0</v>
      </c>
      <c r="L699" s="58">
        <v>0</v>
      </c>
      <c r="M699" s="58">
        <v>4875</v>
      </c>
      <c r="N699" s="58">
        <v>15139.55</v>
      </c>
      <c r="O699" s="58">
        <v>15450</v>
      </c>
      <c r="P699" s="58" t="s">
        <v>2073</v>
      </c>
      <c r="Q699" s="58">
        <v>0</v>
      </c>
      <c r="R699" s="58">
        <v>0</v>
      </c>
      <c r="S699" s="58">
        <v>0</v>
      </c>
      <c r="T699" s="58">
        <v>0</v>
      </c>
      <c r="U699" s="58">
        <v>0</v>
      </c>
      <c r="V699" s="58">
        <v>0</v>
      </c>
      <c r="W699" s="58">
        <v>0</v>
      </c>
      <c r="X699" s="58">
        <v>0</v>
      </c>
      <c r="Y699" s="58">
        <v>2775</v>
      </c>
      <c r="Z699" s="58">
        <v>9750</v>
      </c>
      <c r="AA699" s="58">
        <v>15139.55</v>
      </c>
      <c r="AE699" s="57"/>
    </row>
    <row r="700" spans="1:31" x14ac:dyDescent="0.35">
      <c r="A700" s="56" t="s">
        <v>765</v>
      </c>
      <c r="B700" s="58">
        <v>15450</v>
      </c>
      <c r="C700" s="58" t="s">
        <v>2074</v>
      </c>
      <c r="D700" s="58">
        <v>0</v>
      </c>
      <c r="E700" s="58">
        <v>0</v>
      </c>
      <c r="F700" s="58">
        <v>0</v>
      </c>
      <c r="G700" s="58">
        <v>0</v>
      </c>
      <c r="H700" s="58">
        <v>0</v>
      </c>
      <c r="I700" s="58">
        <v>0</v>
      </c>
      <c r="J700" s="58">
        <v>0</v>
      </c>
      <c r="K700" s="58">
        <v>0</v>
      </c>
      <c r="L700" s="58">
        <v>0</v>
      </c>
      <c r="M700" s="58">
        <v>4875</v>
      </c>
      <c r="N700" s="58">
        <v>15139.55</v>
      </c>
      <c r="O700" s="58">
        <v>15450</v>
      </c>
      <c r="P700" s="58" t="s">
        <v>2074</v>
      </c>
      <c r="Q700" s="58">
        <v>0</v>
      </c>
      <c r="R700" s="58">
        <v>0</v>
      </c>
      <c r="S700" s="58">
        <v>0</v>
      </c>
      <c r="T700" s="58">
        <v>0</v>
      </c>
      <c r="U700" s="58">
        <v>0</v>
      </c>
      <c r="V700" s="58">
        <v>0</v>
      </c>
      <c r="W700" s="58">
        <v>0</v>
      </c>
      <c r="X700" s="58">
        <v>0</v>
      </c>
      <c r="Y700" s="58">
        <v>0</v>
      </c>
      <c r="Z700" s="58">
        <v>4875</v>
      </c>
      <c r="AA700" s="58">
        <v>15143.3</v>
      </c>
      <c r="AE700" s="57"/>
    </row>
    <row r="701" spans="1:31" x14ac:dyDescent="0.35">
      <c r="A701" s="56" t="s">
        <v>766</v>
      </c>
      <c r="B701" s="58">
        <v>15450</v>
      </c>
      <c r="C701" s="58" t="s">
        <v>2068</v>
      </c>
      <c r="D701" s="58">
        <v>0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0</v>
      </c>
      <c r="M701" s="58">
        <v>5850</v>
      </c>
      <c r="N701" s="58">
        <v>15139.55</v>
      </c>
      <c r="O701" s="58">
        <v>15450</v>
      </c>
      <c r="P701" s="58" t="s">
        <v>2068</v>
      </c>
      <c r="Q701" s="58">
        <v>16</v>
      </c>
      <c r="R701" s="58">
        <v>0</v>
      </c>
      <c r="S701" s="58">
        <v>0</v>
      </c>
      <c r="T701" s="58">
        <v>2</v>
      </c>
      <c r="U701" s="58">
        <v>17.96</v>
      </c>
      <c r="V701" s="58">
        <v>353</v>
      </c>
      <c r="W701" s="58">
        <v>49.199999999999989</v>
      </c>
      <c r="X701" s="58">
        <v>16.194865042791307</v>
      </c>
      <c r="Y701" s="58">
        <v>6075</v>
      </c>
      <c r="Z701" s="58">
        <v>6225</v>
      </c>
      <c r="AA701" s="58">
        <v>15139.55</v>
      </c>
      <c r="AE701" s="57"/>
    </row>
    <row r="702" spans="1:31" x14ac:dyDescent="0.35">
      <c r="A702" s="56" t="s">
        <v>767</v>
      </c>
      <c r="B702" s="58">
        <v>15450</v>
      </c>
      <c r="C702" s="58" t="s">
        <v>2076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0</v>
      </c>
      <c r="M702" s="58">
        <v>4875</v>
      </c>
      <c r="N702" s="58">
        <v>15139.55</v>
      </c>
      <c r="O702" s="58">
        <v>15450</v>
      </c>
      <c r="P702" s="58" t="s">
        <v>2076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15139.55</v>
      </c>
      <c r="AE702" s="57"/>
    </row>
    <row r="703" spans="1:31" x14ac:dyDescent="0.35">
      <c r="A703" s="56" t="s">
        <v>768</v>
      </c>
      <c r="B703" s="58">
        <v>15450</v>
      </c>
      <c r="C703" s="58" t="s">
        <v>2075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5025</v>
      </c>
      <c r="N703" s="58">
        <v>15139.55</v>
      </c>
      <c r="O703" s="58">
        <v>15450</v>
      </c>
      <c r="P703" s="58" t="s">
        <v>2075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15139.55</v>
      </c>
      <c r="AE703" s="57"/>
    </row>
    <row r="704" spans="1:31" x14ac:dyDescent="0.35">
      <c r="A704" s="56" t="s">
        <v>769</v>
      </c>
      <c r="B704" s="58">
        <v>15450</v>
      </c>
      <c r="C704" s="58" t="s">
        <v>33</v>
      </c>
      <c r="D704" s="58">
        <v>277</v>
      </c>
      <c r="E704" s="58">
        <v>90</v>
      </c>
      <c r="F704" s="58">
        <v>48.128342245989302</v>
      </c>
      <c r="G704" s="58">
        <v>463</v>
      </c>
      <c r="H704" s="58">
        <v>0</v>
      </c>
      <c r="I704" s="58">
        <v>306.10000000000002</v>
      </c>
      <c r="J704" s="58">
        <v>-77.599999999999966</v>
      </c>
      <c r="K704" s="58">
        <v>-20.224133437581436</v>
      </c>
      <c r="L704" s="58">
        <v>146700</v>
      </c>
      <c r="M704" s="58">
        <v>25425</v>
      </c>
      <c r="N704" s="58">
        <v>15139.55</v>
      </c>
      <c r="O704" s="58">
        <v>15450</v>
      </c>
      <c r="P704" s="58" t="s">
        <v>33</v>
      </c>
      <c r="Q704" s="58">
        <v>15506</v>
      </c>
      <c r="R704" s="58">
        <v>5600</v>
      </c>
      <c r="S704" s="58">
        <v>56.531395114072282</v>
      </c>
      <c r="T704" s="58">
        <v>78679</v>
      </c>
      <c r="U704" s="58">
        <v>18.559999999999999</v>
      </c>
      <c r="V704" s="58">
        <v>1</v>
      </c>
      <c r="W704" s="58">
        <v>-1.6</v>
      </c>
      <c r="X704" s="58">
        <v>-61.53846153846154</v>
      </c>
      <c r="Y704" s="58">
        <v>3460500</v>
      </c>
      <c r="Z704" s="58">
        <v>347400</v>
      </c>
      <c r="AA704" s="58">
        <v>15143.3</v>
      </c>
      <c r="AE704" s="57"/>
    </row>
    <row r="705" spans="1:31" x14ac:dyDescent="0.35">
      <c r="A705" s="56" t="s">
        <v>770</v>
      </c>
      <c r="B705" s="58">
        <v>15500</v>
      </c>
      <c r="C705" s="58" t="s">
        <v>2076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15139.55</v>
      </c>
      <c r="O705" s="58">
        <v>15500</v>
      </c>
      <c r="P705" s="58" t="s">
        <v>2076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15139.55</v>
      </c>
      <c r="AE705" s="57"/>
    </row>
    <row r="706" spans="1:31" x14ac:dyDescent="0.35">
      <c r="A706" s="56" t="s">
        <v>771</v>
      </c>
      <c r="B706" s="58">
        <v>15500</v>
      </c>
      <c r="C706" s="58" t="s">
        <v>34</v>
      </c>
      <c r="D706" s="58">
        <v>209</v>
      </c>
      <c r="E706" s="58">
        <v>75</v>
      </c>
      <c r="F706" s="58">
        <v>55.970149253731343</v>
      </c>
      <c r="G706" s="58">
        <v>477</v>
      </c>
      <c r="H706" s="58">
        <v>20.9</v>
      </c>
      <c r="I706" s="58">
        <v>397.7</v>
      </c>
      <c r="J706" s="58">
        <v>-33.449999999999989</v>
      </c>
      <c r="K706" s="58">
        <v>-7.7583207700336292</v>
      </c>
      <c r="L706" s="58">
        <v>21975</v>
      </c>
      <c r="M706" s="58">
        <v>11175</v>
      </c>
      <c r="N706" s="58">
        <v>15139.55</v>
      </c>
      <c r="O706" s="58">
        <v>15500</v>
      </c>
      <c r="P706" s="58" t="s">
        <v>34</v>
      </c>
      <c r="Q706" s="58">
        <v>13585</v>
      </c>
      <c r="R706" s="58">
        <v>2317</v>
      </c>
      <c r="S706" s="58">
        <v>20.562655307064254</v>
      </c>
      <c r="T706" s="58">
        <v>25125</v>
      </c>
      <c r="U706" s="58">
        <v>17.68</v>
      </c>
      <c r="V706" s="58">
        <v>47.4</v>
      </c>
      <c r="W706" s="58">
        <v>-3.6000000000000014</v>
      </c>
      <c r="X706" s="58">
        <v>-7.0588235294117672</v>
      </c>
      <c r="Y706" s="58">
        <v>482400</v>
      </c>
      <c r="Z706" s="58">
        <v>167100</v>
      </c>
      <c r="AA706" s="58">
        <v>15139.55</v>
      </c>
      <c r="AE706" s="57"/>
    </row>
    <row r="707" spans="1:31" x14ac:dyDescent="0.35">
      <c r="A707" s="56" t="s">
        <v>772</v>
      </c>
      <c r="B707" s="58">
        <v>15500</v>
      </c>
      <c r="C707" s="58" t="s">
        <v>2071</v>
      </c>
      <c r="D707" s="58">
        <v>0</v>
      </c>
      <c r="E707" s="58">
        <v>0</v>
      </c>
      <c r="F707" s="58">
        <v>0</v>
      </c>
      <c r="G707" s="58">
        <v>0</v>
      </c>
      <c r="H707" s="58">
        <v>0</v>
      </c>
      <c r="I707" s="58">
        <v>0</v>
      </c>
      <c r="J707" s="58">
        <v>0</v>
      </c>
      <c r="K707" s="58">
        <v>0</v>
      </c>
      <c r="L707" s="58">
        <v>675</v>
      </c>
      <c r="M707" s="58">
        <v>4875</v>
      </c>
      <c r="N707" s="58">
        <v>15139.55</v>
      </c>
      <c r="O707" s="58">
        <v>15500</v>
      </c>
      <c r="P707" s="58" t="s">
        <v>2071</v>
      </c>
      <c r="Q707" s="58">
        <v>0</v>
      </c>
      <c r="R707" s="58">
        <v>0</v>
      </c>
      <c r="S707" s="58">
        <v>0</v>
      </c>
      <c r="T707" s="58">
        <v>0</v>
      </c>
      <c r="U707" s="58">
        <v>0</v>
      </c>
      <c r="V707" s="58">
        <v>0</v>
      </c>
      <c r="W707" s="58">
        <v>0</v>
      </c>
      <c r="X707" s="58">
        <v>0</v>
      </c>
      <c r="Y707" s="58">
        <v>6600</v>
      </c>
      <c r="Z707" s="58">
        <v>10650</v>
      </c>
      <c r="AA707" s="58">
        <v>15139.55</v>
      </c>
      <c r="AE707" s="57"/>
    </row>
    <row r="708" spans="1:31" x14ac:dyDescent="0.35">
      <c r="A708" s="56" t="s">
        <v>773</v>
      </c>
      <c r="B708" s="58">
        <v>15500</v>
      </c>
      <c r="C708" s="58" t="s">
        <v>2073</v>
      </c>
      <c r="D708" s="58">
        <v>0</v>
      </c>
      <c r="E708" s="58">
        <v>0</v>
      </c>
      <c r="F708" s="58">
        <v>0</v>
      </c>
      <c r="G708" s="58">
        <v>0</v>
      </c>
      <c r="H708" s="58">
        <v>0</v>
      </c>
      <c r="I708" s="58">
        <v>0</v>
      </c>
      <c r="J708" s="58">
        <v>0</v>
      </c>
      <c r="K708" s="58">
        <v>0</v>
      </c>
      <c r="L708" s="58">
        <v>0</v>
      </c>
      <c r="M708" s="58">
        <v>4875</v>
      </c>
      <c r="N708" s="58">
        <v>15139.55</v>
      </c>
      <c r="O708" s="58">
        <v>15500</v>
      </c>
      <c r="P708" s="58" t="s">
        <v>2073</v>
      </c>
      <c r="Q708" s="58">
        <v>0</v>
      </c>
      <c r="R708" s="58">
        <v>0</v>
      </c>
      <c r="S708" s="58">
        <v>0</v>
      </c>
      <c r="T708" s="58">
        <v>0</v>
      </c>
      <c r="U708" s="58">
        <v>0</v>
      </c>
      <c r="V708" s="58">
        <v>0</v>
      </c>
      <c r="W708" s="58">
        <v>0</v>
      </c>
      <c r="X708" s="58">
        <v>0</v>
      </c>
      <c r="Y708" s="58">
        <v>6000</v>
      </c>
      <c r="Z708" s="58">
        <v>9750</v>
      </c>
      <c r="AA708" s="58">
        <v>15139.55</v>
      </c>
      <c r="AE708" s="57"/>
    </row>
    <row r="709" spans="1:31" x14ac:dyDescent="0.35">
      <c r="A709" s="56" t="s">
        <v>774</v>
      </c>
      <c r="B709" s="58">
        <v>15500</v>
      </c>
      <c r="C709" s="58" t="s">
        <v>2074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4875</v>
      </c>
      <c r="N709" s="58">
        <v>15143.3</v>
      </c>
      <c r="O709" s="58">
        <v>15500</v>
      </c>
      <c r="P709" s="58" t="s">
        <v>2074</v>
      </c>
      <c r="Q709" s="58">
        <v>2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450</v>
      </c>
      <c r="Z709" s="58">
        <v>5100</v>
      </c>
      <c r="AA709" s="58">
        <v>15139.55</v>
      </c>
      <c r="AE709" s="57"/>
    </row>
    <row r="710" spans="1:31" x14ac:dyDescent="0.35">
      <c r="A710" s="56" t="s">
        <v>775</v>
      </c>
      <c r="B710" s="58">
        <v>15500</v>
      </c>
      <c r="C710" s="58" t="s">
        <v>2068</v>
      </c>
      <c r="D710" s="58">
        <v>1499</v>
      </c>
      <c r="E710" s="58">
        <v>-45</v>
      </c>
      <c r="F710" s="58">
        <v>-2.9145077720207255</v>
      </c>
      <c r="G710" s="58">
        <v>346</v>
      </c>
      <c r="H710" s="58">
        <v>21.92</v>
      </c>
      <c r="I710" s="58">
        <v>575.45000000000005</v>
      </c>
      <c r="J710" s="58">
        <v>-38.699999999999932</v>
      </c>
      <c r="K710" s="58">
        <v>-6.3013921680371139</v>
      </c>
      <c r="L710" s="58">
        <v>9450</v>
      </c>
      <c r="M710" s="58">
        <v>15825</v>
      </c>
      <c r="N710" s="58">
        <v>15139.55</v>
      </c>
      <c r="O710" s="58">
        <v>15500</v>
      </c>
      <c r="P710" s="58" t="s">
        <v>2068</v>
      </c>
      <c r="Q710" s="58">
        <v>5151</v>
      </c>
      <c r="R710" s="58">
        <v>-68</v>
      </c>
      <c r="S710" s="58">
        <v>-1.3029315960912051</v>
      </c>
      <c r="T710" s="58">
        <v>1199</v>
      </c>
      <c r="U710" s="58">
        <v>17.18</v>
      </c>
      <c r="V710" s="58">
        <v>316.60000000000002</v>
      </c>
      <c r="W710" s="58">
        <v>-6.1999999999999886</v>
      </c>
      <c r="X710" s="58">
        <v>-1.9206939281288689</v>
      </c>
      <c r="Y710" s="58">
        <v>18300</v>
      </c>
      <c r="Z710" s="58">
        <v>46350</v>
      </c>
      <c r="AA710" s="58">
        <v>15143.3</v>
      </c>
      <c r="AE710" s="57"/>
    </row>
    <row r="711" spans="1:31" x14ac:dyDescent="0.35">
      <c r="A711" s="56" t="s">
        <v>776</v>
      </c>
      <c r="B711" s="58">
        <v>15500</v>
      </c>
      <c r="C711" s="58" t="s">
        <v>64</v>
      </c>
      <c r="D711" s="58">
        <v>0</v>
      </c>
      <c r="E711" s="58">
        <v>0</v>
      </c>
      <c r="F711" s="58">
        <v>0</v>
      </c>
      <c r="G711" s="58">
        <v>0</v>
      </c>
      <c r="H711" s="58">
        <v>0</v>
      </c>
      <c r="I711" s="58">
        <v>0</v>
      </c>
      <c r="J711" s="58">
        <v>0</v>
      </c>
      <c r="K711" s="58">
        <v>0</v>
      </c>
      <c r="L711" s="58">
        <v>5175</v>
      </c>
      <c r="M711" s="58">
        <v>5850</v>
      </c>
      <c r="N711" s="58">
        <v>15143.3</v>
      </c>
      <c r="O711" s="58">
        <v>15500</v>
      </c>
      <c r="P711" s="58" t="s">
        <v>64</v>
      </c>
      <c r="Q711" s="58">
        <v>178</v>
      </c>
      <c r="R711" s="58">
        <v>48</v>
      </c>
      <c r="S711" s="58">
        <v>36.92307692307692</v>
      </c>
      <c r="T711" s="58">
        <v>159</v>
      </c>
      <c r="U711" s="58">
        <v>19.64</v>
      </c>
      <c r="V711" s="58">
        <v>170</v>
      </c>
      <c r="W711" s="58">
        <v>-11.550000000000011</v>
      </c>
      <c r="X711" s="58">
        <v>-6.3618837785734019</v>
      </c>
      <c r="Y711" s="58">
        <v>15900</v>
      </c>
      <c r="Z711" s="58">
        <v>11100</v>
      </c>
      <c r="AA711" s="58">
        <v>15139.55</v>
      </c>
      <c r="AE711" s="57"/>
    </row>
    <row r="712" spans="1:31" x14ac:dyDescent="0.35">
      <c r="A712" s="56" t="s">
        <v>777</v>
      </c>
      <c r="B712" s="58">
        <v>15500</v>
      </c>
      <c r="C712" s="58" t="s">
        <v>2075</v>
      </c>
      <c r="D712" s="58">
        <v>33</v>
      </c>
      <c r="E712" s="58">
        <v>13</v>
      </c>
      <c r="F712" s="58">
        <v>65</v>
      </c>
      <c r="G712" s="58">
        <v>15</v>
      </c>
      <c r="H712" s="58">
        <v>23.26</v>
      </c>
      <c r="I712" s="58">
        <v>668.05</v>
      </c>
      <c r="J712" s="58">
        <v>-22.75</v>
      </c>
      <c r="K712" s="58">
        <v>-3.2932831499710482</v>
      </c>
      <c r="L712" s="58">
        <v>6450</v>
      </c>
      <c r="M712" s="58">
        <v>11250</v>
      </c>
      <c r="N712" s="58">
        <v>15139.55</v>
      </c>
      <c r="O712" s="58">
        <v>15500</v>
      </c>
      <c r="P712" s="58" t="s">
        <v>2075</v>
      </c>
      <c r="Q712" s="58">
        <v>332</v>
      </c>
      <c r="R712" s="58">
        <v>57</v>
      </c>
      <c r="S712" s="58">
        <v>20.727272727272727</v>
      </c>
      <c r="T712" s="58">
        <v>89</v>
      </c>
      <c r="U712" s="58">
        <v>16.39</v>
      </c>
      <c r="V712" s="58">
        <v>440</v>
      </c>
      <c r="W712" s="58">
        <v>-9.75</v>
      </c>
      <c r="X712" s="58">
        <v>-2.1678710394663701</v>
      </c>
      <c r="Y712" s="58">
        <v>23250</v>
      </c>
      <c r="Z712" s="58">
        <v>14850</v>
      </c>
      <c r="AA712" s="58">
        <v>15139.55</v>
      </c>
      <c r="AE712" s="57"/>
    </row>
    <row r="713" spans="1:31" x14ac:dyDescent="0.35">
      <c r="A713" s="56" t="s">
        <v>778</v>
      </c>
      <c r="B713" s="58">
        <v>15500</v>
      </c>
      <c r="C713" s="58" t="s">
        <v>27</v>
      </c>
      <c r="D713" s="58">
        <v>41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3600</v>
      </c>
      <c r="M713" s="58">
        <v>450</v>
      </c>
      <c r="N713" s="58">
        <v>15139.55</v>
      </c>
      <c r="O713" s="58">
        <v>15500</v>
      </c>
      <c r="P713" s="58" t="s">
        <v>27</v>
      </c>
      <c r="Q713" s="58">
        <v>193</v>
      </c>
      <c r="R713" s="58">
        <v>49</v>
      </c>
      <c r="S713" s="58">
        <v>34.027777777777779</v>
      </c>
      <c r="T713" s="58">
        <v>56</v>
      </c>
      <c r="U713" s="58">
        <v>15.2</v>
      </c>
      <c r="V713" s="58">
        <v>534</v>
      </c>
      <c r="W713" s="58">
        <v>4</v>
      </c>
      <c r="X713" s="58">
        <v>0.75471698113207553</v>
      </c>
      <c r="Y713" s="58">
        <v>5625</v>
      </c>
      <c r="Z713" s="58">
        <v>2925</v>
      </c>
      <c r="AA713" s="58">
        <v>15139.55</v>
      </c>
      <c r="AE713" s="57"/>
    </row>
    <row r="714" spans="1:31" x14ac:dyDescent="0.35">
      <c r="A714" s="56" t="s">
        <v>779</v>
      </c>
      <c r="B714" s="58">
        <v>15500</v>
      </c>
      <c r="C714" s="58" t="s">
        <v>31</v>
      </c>
      <c r="D714" s="58">
        <v>0</v>
      </c>
      <c r="E714" s="58">
        <v>0</v>
      </c>
      <c r="F714" s="58">
        <v>0</v>
      </c>
      <c r="G714" s="58">
        <v>0</v>
      </c>
      <c r="H714" s="58">
        <v>0</v>
      </c>
      <c r="I714" s="58">
        <v>0</v>
      </c>
      <c r="J714" s="58">
        <v>0</v>
      </c>
      <c r="K714" s="58">
        <v>0</v>
      </c>
      <c r="L714" s="58">
        <v>1200</v>
      </c>
      <c r="M714" s="58">
        <v>0</v>
      </c>
      <c r="N714" s="58">
        <v>15139.55</v>
      </c>
      <c r="O714" s="58">
        <v>0</v>
      </c>
      <c r="P714" s="58">
        <v>0</v>
      </c>
      <c r="Q714" s="58">
        <v>0</v>
      </c>
      <c r="R714" s="58">
        <v>0</v>
      </c>
      <c r="S714" s="58">
        <v>0</v>
      </c>
      <c r="T714" s="58">
        <v>0</v>
      </c>
      <c r="U714" s="58">
        <v>0</v>
      </c>
      <c r="V714" s="58">
        <v>0</v>
      </c>
      <c r="W714" s="58">
        <v>0</v>
      </c>
      <c r="X714" s="58">
        <v>0</v>
      </c>
      <c r="Y714" s="58">
        <v>0</v>
      </c>
      <c r="Z714" s="58">
        <v>0</v>
      </c>
      <c r="AA714" s="58">
        <v>0</v>
      </c>
      <c r="AE714" s="57"/>
    </row>
    <row r="715" spans="1:31" x14ac:dyDescent="0.35">
      <c r="A715" s="56" t="s">
        <v>780</v>
      </c>
      <c r="B715" s="58">
        <v>15500</v>
      </c>
      <c r="C715" s="58" t="s">
        <v>29</v>
      </c>
      <c r="D715" s="58">
        <v>99</v>
      </c>
      <c r="E715" s="58">
        <v>0</v>
      </c>
      <c r="F715" s="58">
        <v>0</v>
      </c>
      <c r="G715" s="58">
        <v>1</v>
      </c>
      <c r="H715" s="58">
        <v>27.22</v>
      </c>
      <c r="I715" s="58">
        <v>1052</v>
      </c>
      <c r="J715" s="58">
        <v>-48</v>
      </c>
      <c r="K715" s="58">
        <v>-4.3636363636363642</v>
      </c>
      <c r="L715" s="58">
        <v>2850</v>
      </c>
      <c r="M715" s="58">
        <v>675</v>
      </c>
      <c r="N715" s="58">
        <v>15139.55</v>
      </c>
      <c r="O715" s="58">
        <v>15500</v>
      </c>
      <c r="P715" s="58" t="s">
        <v>29</v>
      </c>
      <c r="Q715" s="58">
        <v>63</v>
      </c>
      <c r="R715" s="58">
        <v>0</v>
      </c>
      <c r="S715" s="58">
        <v>0</v>
      </c>
      <c r="T715" s="58">
        <v>1</v>
      </c>
      <c r="U715" s="58">
        <v>11.18</v>
      </c>
      <c r="V715" s="58">
        <v>1102.2</v>
      </c>
      <c r="W715" s="58">
        <v>-61.700000000000045</v>
      </c>
      <c r="X715" s="58">
        <v>-5.3011427098548021</v>
      </c>
      <c r="Y715" s="58">
        <v>1200</v>
      </c>
      <c r="Z715" s="58">
        <v>3000</v>
      </c>
      <c r="AA715" s="58">
        <v>15143.3</v>
      </c>
      <c r="AE715" s="57"/>
    </row>
    <row r="716" spans="1:31" x14ac:dyDescent="0.35">
      <c r="A716" s="56" t="s">
        <v>781</v>
      </c>
      <c r="B716" s="58">
        <v>15500</v>
      </c>
      <c r="C716" s="58" t="s">
        <v>33</v>
      </c>
      <c r="D716" s="58">
        <v>2125</v>
      </c>
      <c r="E716" s="58">
        <v>-83</v>
      </c>
      <c r="F716" s="58">
        <v>-3.7590579710144927</v>
      </c>
      <c r="G716" s="58">
        <v>1549</v>
      </c>
      <c r="H716" s="58">
        <v>17.63</v>
      </c>
      <c r="I716" s="58">
        <v>356</v>
      </c>
      <c r="J716" s="58">
        <v>-45.949999999999989</v>
      </c>
      <c r="K716" s="58">
        <v>-11.431770120661772</v>
      </c>
      <c r="L716" s="58">
        <v>163725</v>
      </c>
      <c r="M716" s="58">
        <v>45825</v>
      </c>
      <c r="N716" s="58">
        <v>15139.55</v>
      </c>
      <c r="O716" s="58">
        <v>15500</v>
      </c>
      <c r="P716" s="58" t="s">
        <v>33</v>
      </c>
      <c r="Q716" s="58">
        <v>82046</v>
      </c>
      <c r="R716" s="58">
        <v>29120</v>
      </c>
      <c r="S716" s="58">
        <v>55.020216906624341</v>
      </c>
      <c r="T716" s="58">
        <v>247584</v>
      </c>
      <c r="U716" s="58">
        <v>20.57</v>
      </c>
      <c r="V716" s="58">
        <v>0.85</v>
      </c>
      <c r="W716" s="58">
        <v>-1.1499999999999999</v>
      </c>
      <c r="X716" s="58">
        <v>-57.499999999999993</v>
      </c>
      <c r="Y716" s="58">
        <v>8086875</v>
      </c>
      <c r="Z716" s="58">
        <v>767925</v>
      </c>
      <c r="AA716" s="58">
        <v>15139.55</v>
      </c>
      <c r="AE716" s="57"/>
    </row>
    <row r="717" spans="1:31" x14ac:dyDescent="0.35">
      <c r="A717" s="56" t="s">
        <v>782</v>
      </c>
      <c r="B717" s="58">
        <v>15500</v>
      </c>
      <c r="C717" s="58" t="s">
        <v>26</v>
      </c>
      <c r="D717" s="58">
        <v>6028</v>
      </c>
      <c r="E717" s="58">
        <v>118</v>
      </c>
      <c r="F717" s="58">
        <v>1.9966159052453469</v>
      </c>
      <c r="G717" s="58">
        <v>1820</v>
      </c>
      <c r="H717" s="58">
        <v>22.07</v>
      </c>
      <c r="I717" s="58">
        <v>444</v>
      </c>
      <c r="J717" s="58">
        <v>-47.199999999999989</v>
      </c>
      <c r="K717" s="58">
        <v>-9.6091205211726365</v>
      </c>
      <c r="L717" s="58">
        <v>44550</v>
      </c>
      <c r="M717" s="58">
        <v>42375</v>
      </c>
      <c r="N717" s="58">
        <v>15139.55</v>
      </c>
      <c r="O717" s="58">
        <v>15500</v>
      </c>
      <c r="P717" s="58" t="s">
        <v>26</v>
      </c>
      <c r="Q717" s="58">
        <v>25534</v>
      </c>
      <c r="R717" s="58">
        <v>670</v>
      </c>
      <c r="S717" s="58">
        <v>2.6946589446589448</v>
      </c>
      <c r="T717" s="58">
        <v>16827</v>
      </c>
      <c r="U717" s="58">
        <v>18.96</v>
      </c>
      <c r="V717" s="58">
        <v>116</v>
      </c>
      <c r="W717" s="58">
        <v>-6.7000000000000028</v>
      </c>
      <c r="X717" s="58">
        <v>-5.4604726976365141</v>
      </c>
      <c r="Y717" s="58">
        <v>125775</v>
      </c>
      <c r="Z717" s="58">
        <v>236550</v>
      </c>
      <c r="AA717" s="58">
        <v>15139.55</v>
      </c>
      <c r="AE717" s="57"/>
    </row>
    <row r="718" spans="1:31" x14ac:dyDescent="0.35">
      <c r="A718" s="56" t="s">
        <v>783</v>
      </c>
      <c r="B718" s="58">
        <v>15550</v>
      </c>
      <c r="C718" s="58" t="s">
        <v>34</v>
      </c>
      <c r="D718" s="58">
        <v>0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20175</v>
      </c>
      <c r="M718" s="58">
        <v>13875</v>
      </c>
      <c r="N718" s="58">
        <v>15139.55</v>
      </c>
      <c r="O718" s="58">
        <v>15550</v>
      </c>
      <c r="P718" s="58" t="s">
        <v>34</v>
      </c>
      <c r="Q718" s="58">
        <v>944</v>
      </c>
      <c r="R718" s="58">
        <v>194</v>
      </c>
      <c r="S718" s="58">
        <v>25.866666666666667</v>
      </c>
      <c r="T718" s="58">
        <v>2425</v>
      </c>
      <c r="U718" s="58">
        <v>17.68</v>
      </c>
      <c r="V718" s="58">
        <v>37.6</v>
      </c>
      <c r="W718" s="58">
        <v>-0.60000000000000142</v>
      </c>
      <c r="X718" s="58">
        <v>-1.570680628272255</v>
      </c>
      <c r="Y718" s="58">
        <v>56250</v>
      </c>
      <c r="Z718" s="58">
        <v>46050</v>
      </c>
      <c r="AA718" s="58">
        <v>15139.55</v>
      </c>
      <c r="AE718" s="57"/>
    </row>
    <row r="719" spans="1:31" x14ac:dyDescent="0.35">
      <c r="A719" s="56" t="s">
        <v>784</v>
      </c>
      <c r="B719" s="58">
        <v>15550</v>
      </c>
      <c r="C719" s="58" t="s">
        <v>26</v>
      </c>
      <c r="D719" s="58">
        <v>70</v>
      </c>
      <c r="E719" s="58">
        <v>3</v>
      </c>
      <c r="F719" s="58">
        <v>4.4776119402985071</v>
      </c>
      <c r="G719" s="58">
        <v>310</v>
      </c>
      <c r="H719" s="58">
        <v>21.66</v>
      </c>
      <c r="I719" s="58">
        <v>475.95</v>
      </c>
      <c r="J719" s="58">
        <v>-39.050000000000011</v>
      </c>
      <c r="K719" s="58">
        <v>-7.5825242718446626</v>
      </c>
      <c r="L719" s="58">
        <v>24150</v>
      </c>
      <c r="M719" s="58">
        <v>14250</v>
      </c>
      <c r="N719" s="58">
        <v>15143.3</v>
      </c>
      <c r="O719" s="58">
        <v>15550</v>
      </c>
      <c r="P719" s="58" t="s">
        <v>26</v>
      </c>
      <c r="Q719" s="58">
        <v>1050</v>
      </c>
      <c r="R719" s="58">
        <v>86</v>
      </c>
      <c r="S719" s="58">
        <v>8.9211618257261414</v>
      </c>
      <c r="T719" s="58">
        <v>482</v>
      </c>
      <c r="U719" s="58">
        <v>18.899999999999999</v>
      </c>
      <c r="V719" s="58">
        <v>99.9</v>
      </c>
      <c r="W719" s="58">
        <v>-8</v>
      </c>
      <c r="X719" s="58">
        <v>-7.4142724745134378</v>
      </c>
      <c r="Y719" s="58">
        <v>31125</v>
      </c>
      <c r="Z719" s="58">
        <v>31425</v>
      </c>
      <c r="AA719" s="58">
        <v>15139.55</v>
      </c>
      <c r="AE719" s="57"/>
    </row>
    <row r="720" spans="1:31" x14ac:dyDescent="0.35">
      <c r="A720" s="56" t="s">
        <v>785</v>
      </c>
      <c r="B720" s="58">
        <v>15550</v>
      </c>
      <c r="C720" s="58" t="s">
        <v>64</v>
      </c>
      <c r="D720" s="58">
        <v>0</v>
      </c>
      <c r="E720" s="58">
        <v>0</v>
      </c>
      <c r="F720" s="58">
        <v>0</v>
      </c>
      <c r="G720" s="58">
        <v>0</v>
      </c>
      <c r="H720" s="58">
        <v>0</v>
      </c>
      <c r="I720" s="58">
        <v>0</v>
      </c>
      <c r="J720" s="58">
        <v>0</v>
      </c>
      <c r="K720" s="58">
        <v>0</v>
      </c>
      <c r="L720" s="58">
        <v>4800</v>
      </c>
      <c r="M720" s="58">
        <v>5625</v>
      </c>
      <c r="N720" s="58">
        <v>15139.55</v>
      </c>
      <c r="O720" s="58">
        <v>15550</v>
      </c>
      <c r="P720" s="58" t="s">
        <v>64</v>
      </c>
      <c r="Q720" s="58">
        <v>0</v>
      </c>
      <c r="R720" s="58">
        <v>0</v>
      </c>
      <c r="S720" s="58">
        <v>0</v>
      </c>
      <c r="T720" s="58">
        <v>0</v>
      </c>
      <c r="U720" s="58">
        <v>0</v>
      </c>
      <c r="V720" s="58">
        <v>0</v>
      </c>
      <c r="W720" s="58">
        <v>0</v>
      </c>
      <c r="X720" s="58">
        <v>0</v>
      </c>
      <c r="Y720" s="58">
        <v>7125</v>
      </c>
      <c r="Z720" s="58">
        <v>1500</v>
      </c>
      <c r="AA720" s="58">
        <v>15143.3</v>
      </c>
      <c r="AE720" s="57"/>
    </row>
    <row r="721" spans="1:31" x14ac:dyDescent="0.35">
      <c r="A721" s="56" t="s">
        <v>786</v>
      </c>
      <c r="B721" s="58">
        <v>15550</v>
      </c>
      <c r="C721" s="58" t="s">
        <v>2071</v>
      </c>
      <c r="D721" s="58">
        <v>0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0</v>
      </c>
      <c r="M721" s="58">
        <v>4875</v>
      </c>
      <c r="N721" s="58">
        <v>15143.3</v>
      </c>
      <c r="O721" s="58">
        <v>15550</v>
      </c>
      <c r="P721" s="58" t="s">
        <v>2071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2775</v>
      </c>
      <c r="Z721" s="58">
        <v>9750</v>
      </c>
      <c r="AA721" s="58">
        <v>15139.55</v>
      </c>
      <c r="AE721" s="57"/>
    </row>
    <row r="722" spans="1:31" x14ac:dyDescent="0.35">
      <c r="A722" s="56" t="s">
        <v>787</v>
      </c>
      <c r="B722" s="58">
        <v>15550</v>
      </c>
      <c r="C722" s="58" t="s">
        <v>2073</v>
      </c>
      <c r="D722" s="58">
        <v>0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0</v>
      </c>
      <c r="M722" s="58">
        <v>4875</v>
      </c>
      <c r="N722" s="58">
        <v>15139.55</v>
      </c>
      <c r="O722" s="58">
        <v>15550</v>
      </c>
      <c r="P722" s="58" t="s">
        <v>2073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2775</v>
      </c>
      <c r="Z722" s="58">
        <v>9750</v>
      </c>
      <c r="AA722" s="58">
        <v>15139.55</v>
      </c>
      <c r="AE722" s="57"/>
    </row>
    <row r="723" spans="1:31" x14ac:dyDescent="0.35">
      <c r="A723" s="56" t="s">
        <v>788</v>
      </c>
      <c r="B723" s="58">
        <v>15550</v>
      </c>
      <c r="C723" s="58" t="s">
        <v>2074</v>
      </c>
      <c r="D723" s="58">
        <v>0</v>
      </c>
      <c r="E723" s="58">
        <v>0</v>
      </c>
      <c r="F723" s="58">
        <v>0</v>
      </c>
      <c r="G723" s="58">
        <v>0</v>
      </c>
      <c r="H723" s="58">
        <v>0</v>
      </c>
      <c r="I723" s="58">
        <v>0</v>
      </c>
      <c r="J723" s="58">
        <v>0</v>
      </c>
      <c r="K723" s="58">
        <v>0</v>
      </c>
      <c r="L723" s="58">
        <v>0</v>
      </c>
      <c r="M723" s="58">
        <v>4875</v>
      </c>
      <c r="N723" s="58">
        <v>15143.3</v>
      </c>
      <c r="O723" s="58">
        <v>15550</v>
      </c>
      <c r="P723" s="58" t="s">
        <v>2074</v>
      </c>
      <c r="Q723" s="58">
        <v>0</v>
      </c>
      <c r="R723" s="58">
        <v>0</v>
      </c>
      <c r="S723" s="58">
        <v>0</v>
      </c>
      <c r="T723" s="58">
        <v>0</v>
      </c>
      <c r="U723" s="58">
        <v>0</v>
      </c>
      <c r="V723" s="58">
        <v>0</v>
      </c>
      <c r="W723" s="58">
        <v>0</v>
      </c>
      <c r="X723" s="58">
        <v>0</v>
      </c>
      <c r="Y723" s="58">
        <v>0</v>
      </c>
      <c r="Z723" s="58">
        <v>4875</v>
      </c>
      <c r="AA723" s="58">
        <v>15139.55</v>
      </c>
      <c r="AE723" s="57"/>
    </row>
    <row r="724" spans="1:31" x14ac:dyDescent="0.35">
      <c r="A724" s="56" t="s">
        <v>789</v>
      </c>
      <c r="B724" s="58">
        <v>15550</v>
      </c>
      <c r="C724" s="58" t="s">
        <v>2068</v>
      </c>
      <c r="D724" s="58">
        <v>0</v>
      </c>
      <c r="E724" s="58">
        <v>0</v>
      </c>
      <c r="F724" s="58">
        <v>0</v>
      </c>
      <c r="G724" s="58">
        <v>0</v>
      </c>
      <c r="H724" s="58">
        <v>0</v>
      </c>
      <c r="I724" s="58">
        <v>0</v>
      </c>
      <c r="J724" s="58">
        <v>0</v>
      </c>
      <c r="K724" s="58">
        <v>0</v>
      </c>
      <c r="L724" s="58">
        <v>4950</v>
      </c>
      <c r="M724" s="58">
        <v>5850</v>
      </c>
      <c r="N724" s="58">
        <v>15139.55</v>
      </c>
      <c r="O724" s="58">
        <v>15550</v>
      </c>
      <c r="P724" s="58" t="s">
        <v>2068</v>
      </c>
      <c r="Q724" s="58">
        <v>15</v>
      </c>
      <c r="R724" s="58">
        <v>2</v>
      </c>
      <c r="S724" s="58">
        <v>15.384615384615383</v>
      </c>
      <c r="T724" s="58">
        <v>6</v>
      </c>
      <c r="U724" s="58">
        <v>17.13</v>
      </c>
      <c r="V724" s="58">
        <v>292.5</v>
      </c>
      <c r="W724" s="58">
        <v>-10.800000000000011</v>
      </c>
      <c r="X724" s="58">
        <v>-3.5608308605341281</v>
      </c>
      <c r="Y724" s="58">
        <v>7125</v>
      </c>
      <c r="Z724" s="58">
        <v>4950</v>
      </c>
      <c r="AA724" s="58">
        <v>15139.55</v>
      </c>
      <c r="AE724" s="57"/>
    </row>
    <row r="725" spans="1:31" x14ac:dyDescent="0.35">
      <c r="A725" s="56" t="s">
        <v>790</v>
      </c>
      <c r="B725" s="58">
        <v>15550</v>
      </c>
      <c r="C725" s="58" t="s">
        <v>2076</v>
      </c>
      <c r="D725" s="58">
        <v>0</v>
      </c>
      <c r="E725" s="58">
        <v>0</v>
      </c>
      <c r="F725" s="58">
        <v>0</v>
      </c>
      <c r="G725" s="58">
        <v>0</v>
      </c>
      <c r="H725" s="58">
        <v>0</v>
      </c>
      <c r="I725" s="58">
        <v>0</v>
      </c>
      <c r="J725" s="58">
        <v>0</v>
      </c>
      <c r="K725" s="58">
        <v>0</v>
      </c>
      <c r="L725" s="58">
        <v>0</v>
      </c>
      <c r="M725" s="58">
        <v>4875</v>
      </c>
      <c r="N725" s="58">
        <v>15139.55</v>
      </c>
      <c r="O725" s="58">
        <v>15550</v>
      </c>
      <c r="P725" s="58" t="s">
        <v>2076</v>
      </c>
      <c r="Q725" s="58">
        <v>0</v>
      </c>
      <c r="R725" s="58">
        <v>0</v>
      </c>
      <c r="S725" s="58">
        <v>0</v>
      </c>
      <c r="T725" s="58">
        <v>0</v>
      </c>
      <c r="U725" s="58">
        <v>0</v>
      </c>
      <c r="V725" s="58">
        <v>0</v>
      </c>
      <c r="W725" s="58">
        <v>0</v>
      </c>
      <c r="X725" s="58">
        <v>0</v>
      </c>
      <c r="Y725" s="58">
        <v>0</v>
      </c>
      <c r="Z725" s="58">
        <v>4875</v>
      </c>
      <c r="AA725" s="58">
        <v>15139.55</v>
      </c>
      <c r="AE725" s="57"/>
    </row>
    <row r="726" spans="1:31" x14ac:dyDescent="0.35">
      <c r="A726" s="56" t="s">
        <v>791</v>
      </c>
      <c r="B726" s="58">
        <v>15550</v>
      </c>
      <c r="C726" s="58" t="s">
        <v>33</v>
      </c>
      <c r="D726" s="58">
        <v>29</v>
      </c>
      <c r="E726" s="58">
        <v>4</v>
      </c>
      <c r="F726" s="58">
        <v>16</v>
      </c>
      <c r="G726" s="58">
        <v>23</v>
      </c>
      <c r="H726" s="58">
        <v>0</v>
      </c>
      <c r="I726" s="58">
        <v>408.7</v>
      </c>
      <c r="J726" s="58">
        <v>-30.25</v>
      </c>
      <c r="K726" s="58">
        <v>-6.8914454949310855</v>
      </c>
      <c r="L726" s="58">
        <v>37725</v>
      </c>
      <c r="M726" s="58">
        <v>19575</v>
      </c>
      <c r="N726" s="58">
        <v>15143.3</v>
      </c>
      <c r="O726" s="58">
        <v>15550</v>
      </c>
      <c r="P726" s="58" t="s">
        <v>33</v>
      </c>
      <c r="Q726" s="58">
        <v>10712</v>
      </c>
      <c r="R726" s="58">
        <v>3101</v>
      </c>
      <c r="S726" s="58">
        <v>40.743660491394031</v>
      </c>
      <c r="T726" s="58">
        <v>25424</v>
      </c>
      <c r="U726" s="58">
        <v>22.6</v>
      </c>
      <c r="V726" s="58">
        <v>0.7</v>
      </c>
      <c r="W726" s="58">
        <v>-0.95</v>
      </c>
      <c r="X726" s="58">
        <v>-57.575757575757578</v>
      </c>
      <c r="Y726" s="58">
        <v>1302675</v>
      </c>
      <c r="Z726" s="58">
        <v>180375</v>
      </c>
      <c r="AA726" s="58">
        <v>15143.3</v>
      </c>
      <c r="AE726" s="57"/>
    </row>
    <row r="727" spans="1:31" x14ac:dyDescent="0.35">
      <c r="A727" s="56" t="s">
        <v>792</v>
      </c>
      <c r="B727" s="58">
        <v>15550</v>
      </c>
      <c r="C727" s="58" t="s">
        <v>2075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0</v>
      </c>
      <c r="M727" s="58">
        <v>5025</v>
      </c>
      <c r="N727" s="58">
        <v>15143.3</v>
      </c>
      <c r="O727" s="58">
        <v>15550</v>
      </c>
      <c r="P727" s="58" t="s">
        <v>2075</v>
      </c>
      <c r="Q727" s="58">
        <v>0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0</v>
      </c>
      <c r="Z727" s="58">
        <v>4875</v>
      </c>
      <c r="AA727" s="58">
        <v>15139.55</v>
      </c>
      <c r="AE727" s="57"/>
    </row>
    <row r="728" spans="1:31" x14ac:dyDescent="0.35">
      <c r="A728" s="56" t="s">
        <v>793</v>
      </c>
      <c r="B728" s="58">
        <v>15600</v>
      </c>
      <c r="C728" s="58" t="s">
        <v>33</v>
      </c>
      <c r="D728" s="58">
        <v>273</v>
      </c>
      <c r="E728" s="58">
        <v>-16</v>
      </c>
      <c r="F728" s="58">
        <v>-5.5363321799307954</v>
      </c>
      <c r="G728" s="58">
        <v>490</v>
      </c>
      <c r="H728" s="58">
        <v>31.07</v>
      </c>
      <c r="I728" s="58">
        <v>459.35</v>
      </c>
      <c r="J728" s="58">
        <v>-31.899999999999977</v>
      </c>
      <c r="K728" s="58">
        <v>-6.4936386768447791</v>
      </c>
      <c r="L728" s="58">
        <v>41550</v>
      </c>
      <c r="M728" s="58">
        <v>28425</v>
      </c>
      <c r="N728" s="58">
        <v>15143.3</v>
      </c>
      <c r="O728" s="58">
        <v>15600</v>
      </c>
      <c r="P728" s="58" t="s">
        <v>33</v>
      </c>
      <c r="Q728" s="58">
        <v>40165</v>
      </c>
      <c r="R728" s="58">
        <v>5991</v>
      </c>
      <c r="S728" s="58">
        <v>17.530871422719027</v>
      </c>
      <c r="T728" s="58">
        <v>79168</v>
      </c>
      <c r="U728" s="58">
        <v>24.48</v>
      </c>
      <c r="V728" s="58">
        <v>0.65</v>
      </c>
      <c r="W728" s="58">
        <v>-0.74999999999999989</v>
      </c>
      <c r="X728" s="58">
        <v>-53.571428571428569</v>
      </c>
      <c r="Y728" s="58">
        <v>3354750</v>
      </c>
      <c r="Z728" s="58">
        <v>181125</v>
      </c>
      <c r="AA728" s="58">
        <v>15139.55</v>
      </c>
      <c r="AE728" s="57"/>
    </row>
    <row r="729" spans="1:31" x14ac:dyDescent="0.35">
      <c r="A729" s="56" t="s">
        <v>794</v>
      </c>
      <c r="B729" s="58">
        <v>15600</v>
      </c>
      <c r="C729" s="58" t="s">
        <v>26</v>
      </c>
      <c r="D729" s="58">
        <v>707</v>
      </c>
      <c r="E729" s="58">
        <v>4</v>
      </c>
      <c r="F729" s="58">
        <v>0.56899004267425324</v>
      </c>
      <c r="G729" s="58">
        <v>295</v>
      </c>
      <c r="H729" s="58">
        <v>21.6</v>
      </c>
      <c r="I729" s="58">
        <v>514.54999999999995</v>
      </c>
      <c r="J729" s="58">
        <v>-42.050000000000068</v>
      </c>
      <c r="K729" s="58">
        <v>-7.554796981674464</v>
      </c>
      <c r="L729" s="58">
        <v>45375</v>
      </c>
      <c r="M729" s="58">
        <v>27675</v>
      </c>
      <c r="N729" s="58">
        <v>15139.55</v>
      </c>
      <c r="O729" s="58">
        <v>15600</v>
      </c>
      <c r="P729" s="58" t="s">
        <v>26</v>
      </c>
      <c r="Q729" s="58">
        <v>8855</v>
      </c>
      <c r="R729" s="58">
        <v>258</v>
      </c>
      <c r="S729" s="58">
        <v>3.0010468768174943</v>
      </c>
      <c r="T729" s="58">
        <v>5700</v>
      </c>
      <c r="U729" s="58">
        <v>18.600000000000001</v>
      </c>
      <c r="V729" s="58">
        <v>85.3</v>
      </c>
      <c r="W729" s="58">
        <v>-8.5</v>
      </c>
      <c r="X729" s="58">
        <v>-9.0618336886993607</v>
      </c>
      <c r="Y729" s="58">
        <v>59625</v>
      </c>
      <c r="Z729" s="58">
        <v>90150</v>
      </c>
      <c r="AA729" s="58">
        <v>15143.3</v>
      </c>
      <c r="AE729" s="57"/>
    </row>
    <row r="730" spans="1:31" x14ac:dyDescent="0.35">
      <c r="A730" s="56" t="s">
        <v>795</v>
      </c>
      <c r="B730" s="58">
        <v>15600</v>
      </c>
      <c r="C730" s="58" t="s">
        <v>64</v>
      </c>
      <c r="D730" s="58">
        <v>0</v>
      </c>
      <c r="E730" s="58">
        <v>0</v>
      </c>
      <c r="F730" s="58">
        <v>0</v>
      </c>
      <c r="G730" s="58">
        <v>0</v>
      </c>
      <c r="H730" s="58">
        <v>0</v>
      </c>
      <c r="I730" s="58">
        <v>0</v>
      </c>
      <c r="J730" s="58">
        <v>0</v>
      </c>
      <c r="K730" s="58">
        <v>0</v>
      </c>
      <c r="L730" s="58">
        <v>4650</v>
      </c>
      <c r="M730" s="58">
        <v>5625</v>
      </c>
      <c r="N730" s="58">
        <v>15143.3</v>
      </c>
      <c r="O730" s="58">
        <v>15600</v>
      </c>
      <c r="P730" s="58" t="s">
        <v>64</v>
      </c>
      <c r="Q730" s="58">
        <v>23</v>
      </c>
      <c r="R730" s="58">
        <v>19</v>
      </c>
      <c r="S730" s="58">
        <v>475</v>
      </c>
      <c r="T730" s="58">
        <v>38</v>
      </c>
      <c r="U730" s="58">
        <v>18.75</v>
      </c>
      <c r="V730" s="58">
        <v>134.15</v>
      </c>
      <c r="W730" s="58">
        <v>3.1500000000000057</v>
      </c>
      <c r="X730" s="58">
        <v>2.4045801526717603</v>
      </c>
      <c r="Y730" s="58">
        <v>17175</v>
      </c>
      <c r="Z730" s="58">
        <v>7800</v>
      </c>
      <c r="AA730" s="58">
        <v>15139.55</v>
      </c>
      <c r="AE730" s="57"/>
    </row>
    <row r="731" spans="1:31" x14ac:dyDescent="0.35">
      <c r="A731" s="56" t="s">
        <v>796</v>
      </c>
      <c r="B731" s="58">
        <v>15600</v>
      </c>
      <c r="C731" s="58" t="s">
        <v>2071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4875</v>
      </c>
      <c r="N731" s="58">
        <v>15139.55</v>
      </c>
      <c r="O731" s="58">
        <v>15600</v>
      </c>
      <c r="P731" s="58" t="s">
        <v>2071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2925</v>
      </c>
      <c r="Z731" s="58">
        <v>4875</v>
      </c>
      <c r="AA731" s="58">
        <v>15139.55</v>
      </c>
      <c r="AE731" s="57"/>
    </row>
    <row r="732" spans="1:31" x14ac:dyDescent="0.35">
      <c r="A732" s="56" t="s">
        <v>797</v>
      </c>
      <c r="B732" s="58">
        <v>15600</v>
      </c>
      <c r="C732" s="58" t="s">
        <v>2073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4875</v>
      </c>
      <c r="N732" s="58">
        <v>15139.55</v>
      </c>
      <c r="O732" s="58">
        <v>15600</v>
      </c>
      <c r="P732" s="58" t="s">
        <v>2073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2775</v>
      </c>
      <c r="Z732" s="58">
        <v>9750</v>
      </c>
      <c r="AA732" s="58">
        <v>15139.55</v>
      </c>
      <c r="AE732" s="57"/>
    </row>
    <row r="733" spans="1:31" x14ac:dyDescent="0.35">
      <c r="A733" s="56" t="s">
        <v>798</v>
      </c>
      <c r="B733" s="58">
        <v>15600</v>
      </c>
      <c r="C733" s="58" t="s">
        <v>2074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0</v>
      </c>
      <c r="M733" s="58">
        <v>4875</v>
      </c>
      <c r="N733" s="58">
        <v>15139.55</v>
      </c>
      <c r="O733" s="58">
        <v>15600</v>
      </c>
      <c r="P733" s="58" t="s">
        <v>2074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150</v>
      </c>
      <c r="Z733" s="58">
        <v>4875</v>
      </c>
      <c r="AA733" s="58">
        <v>15143.3</v>
      </c>
      <c r="AE733" s="57"/>
    </row>
    <row r="734" spans="1:31" x14ac:dyDescent="0.35">
      <c r="A734" s="56" t="s">
        <v>799</v>
      </c>
      <c r="B734" s="58">
        <v>15600</v>
      </c>
      <c r="C734" s="58" t="s">
        <v>2068</v>
      </c>
      <c r="D734" s="58">
        <v>21</v>
      </c>
      <c r="E734" s="58">
        <v>19</v>
      </c>
      <c r="F734" s="58">
        <v>950</v>
      </c>
      <c r="G734" s="58">
        <v>21</v>
      </c>
      <c r="H734" s="58">
        <v>21.93</v>
      </c>
      <c r="I734" s="58">
        <v>630</v>
      </c>
      <c r="J734" s="58">
        <v>-63.899999999999977</v>
      </c>
      <c r="K734" s="58">
        <v>-9.2088197146562862</v>
      </c>
      <c r="L734" s="58">
        <v>5775</v>
      </c>
      <c r="M734" s="58">
        <v>10875</v>
      </c>
      <c r="N734" s="58">
        <v>15139.55</v>
      </c>
      <c r="O734" s="58">
        <v>15600</v>
      </c>
      <c r="P734" s="58" t="s">
        <v>2068</v>
      </c>
      <c r="Q734" s="58">
        <v>437</v>
      </c>
      <c r="R734" s="58">
        <v>47</v>
      </c>
      <c r="S734" s="58">
        <v>12.051282051282053</v>
      </c>
      <c r="T734" s="58">
        <v>144</v>
      </c>
      <c r="U734" s="58">
        <v>17.03</v>
      </c>
      <c r="V734" s="58">
        <v>271.95</v>
      </c>
      <c r="W734" s="58">
        <v>-6.25</v>
      </c>
      <c r="X734" s="58">
        <v>-2.2465851905104244</v>
      </c>
      <c r="Y734" s="58">
        <v>9525</v>
      </c>
      <c r="Z734" s="58">
        <v>8700</v>
      </c>
      <c r="AA734" s="58">
        <v>15139.55</v>
      </c>
      <c r="AE734" s="57"/>
    </row>
    <row r="735" spans="1:31" x14ac:dyDescent="0.35">
      <c r="A735" s="56" t="s">
        <v>800</v>
      </c>
      <c r="B735" s="58">
        <v>15600</v>
      </c>
      <c r="C735" s="58" t="s">
        <v>2076</v>
      </c>
      <c r="D735" s="58">
        <v>0</v>
      </c>
      <c r="E735" s="58">
        <v>0</v>
      </c>
      <c r="F735" s="58">
        <v>0</v>
      </c>
      <c r="G735" s="58">
        <v>0</v>
      </c>
      <c r="H735" s="58">
        <v>0</v>
      </c>
      <c r="I735" s="58">
        <v>0</v>
      </c>
      <c r="J735" s="58">
        <v>0</v>
      </c>
      <c r="K735" s="58">
        <v>0</v>
      </c>
      <c r="L735" s="58">
        <v>0</v>
      </c>
      <c r="M735" s="58">
        <v>4875</v>
      </c>
      <c r="N735" s="58">
        <v>15143.3</v>
      </c>
      <c r="O735" s="58">
        <v>15600</v>
      </c>
      <c r="P735" s="58" t="s">
        <v>2076</v>
      </c>
      <c r="Q735" s="58">
        <v>0</v>
      </c>
      <c r="R735" s="58">
        <v>0</v>
      </c>
      <c r="S735" s="58">
        <v>0</v>
      </c>
      <c r="T735" s="58">
        <v>0</v>
      </c>
      <c r="U735" s="58">
        <v>0</v>
      </c>
      <c r="V735" s="58">
        <v>0</v>
      </c>
      <c r="W735" s="58">
        <v>0</v>
      </c>
      <c r="X735" s="58">
        <v>0</v>
      </c>
      <c r="Y735" s="58">
        <v>0</v>
      </c>
      <c r="Z735" s="58">
        <v>4875</v>
      </c>
      <c r="AA735" s="58">
        <v>15139.55</v>
      </c>
      <c r="AE735" s="57"/>
    </row>
    <row r="736" spans="1:31" x14ac:dyDescent="0.35">
      <c r="A736" s="56" t="s">
        <v>801</v>
      </c>
      <c r="B736" s="58">
        <v>15600</v>
      </c>
      <c r="C736" s="58" t="s">
        <v>2075</v>
      </c>
      <c r="D736" s="58">
        <v>0</v>
      </c>
      <c r="E736" s="58">
        <v>0</v>
      </c>
      <c r="F736" s="58">
        <v>0</v>
      </c>
      <c r="G736" s="58">
        <v>0</v>
      </c>
      <c r="H736" s="58">
        <v>0</v>
      </c>
      <c r="I736" s="58">
        <v>0</v>
      </c>
      <c r="J736" s="58">
        <v>0</v>
      </c>
      <c r="K736" s="58">
        <v>0</v>
      </c>
      <c r="L736" s="58">
        <v>0</v>
      </c>
      <c r="M736" s="58">
        <v>6300</v>
      </c>
      <c r="N736" s="58">
        <v>15139.55</v>
      </c>
      <c r="O736" s="58">
        <v>15600</v>
      </c>
      <c r="P736" s="58" t="s">
        <v>2075</v>
      </c>
      <c r="Q736" s="58">
        <v>1</v>
      </c>
      <c r="R736" s="58">
        <v>0</v>
      </c>
      <c r="S736" s="58">
        <v>0</v>
      </c>
      <c r="T736" s="58">
        <v>0</v>
      </c>
      <c r="U736" s="58">
        <v>0</v>
      </c>
      <c r="V736" s="58">
        <v>0</v>
      </c>
      <c r="W736" s="58">
        <v>0</v>
      </c>
      <c r="X736" s="58">
        <v>0</v>
      </c>
      <c r="Y736" s="58">
        <v>0</v>
      </c>
      <c r="Z736" s="58">
        <v>10425</v>
      </c>
      <c r="AA736" s="58">
        <v>15143.3</v>
      </c>
      <c r="AE736" s="57"/>
    </row>
    <row r="737" spans="1:31" x14ac:dyDescent="0.35">
      <c r="A737" s="56" t="s">
        <v>802</v>
      </c>
      <c r="B737" s="58">
        <v>15600</v>
      </c>
      <c r="C737" s="58" t="s">
        <v>34</v>
      </c>
      <c r="D737" s="58">
        <v>32</v>
      </c>
      <c r="E737" s="58">
        <v>22</v>
      </c>
      <c r="F737" s="58">
        <v>220</v>
      </c>
      <c r="G737" s="58">
        <v>28</v>
      </c>
      <c r="H737" s="58">
        <v>12.17</v>
      </c>
      <c r="I737" s="58">
        <v>437</v>
      </c>
      <c r="J737" s="58">
        <v>-67.449999999999989</v>
      </c>
      <c r="K737" s="58">
        <v>-13.370998116760829</v>
      </c>
      <c r="L737" s="58">
        <v>16125</v>
      </c>
      <c r="M737" s="58">
        <v>9525</v>
      </c>
      <c r="N737" s="58">
        <v>15139.55</v>
      </c>
      <c r="O737" s="58">
        <v>15600</v>
      </c>
      <c r="P737" s="58" t="s">
        <v>34</v>
      </c>
      <c r="Q737" s="58">
        <v>11113</v>
      </c>
      <c r="R737" s="58">
        <v>1873</v>
      </c>
      <c r="S737" s="58">
        <v>20.270562770562769</v>
      </c>
      <c r="T737" s="58">
        <v>18142</v>
      </c>
      <c r="U737" s="58">
        <v>17.489999999999998</v>
      </c>
      <c r="V737" s="58">
        <v>29.1</v>
      </c>
      <c r="W737" s="58">
        <v>-3.5499999999999972</v>
      </c>
      <c r="X737" s="58">
        <v>-10.87289433384379</v>
      </c>
      <c r="Y737" s="58">
        <v>66075</v>
      </c>
      <c r="Z737" s="58">
        <v>64125</v>
      </c>
      <c r="AA737" s="58">
        <v>15139.55</v>
      </c>
      <c r="AE737" s="57"/>
    </row>
    <row r="738" spans="1:31" x14ac:dyDescent="0.35">
      <c r="A738" s="56" t="s">
        <v>803</v>
      </c>
      <c r="B738" s="58">
        <v>15650</v>
      </c>
      <c r="C738" s="58" t="s">
        <v>34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21750</v>
      </c>
      <c r="M738" s="58">
        <v>10800</v>
      </c>
      <c r="N738" s="58">
        <v>15139.55</v>
      </c>
      <c r="O738" s="58">
        <v>15650</v>
      </c>
      <c r="P738" s="58" t="s">
        <v>34</v>
      </c>
      <c r="Q738" s="58">
        <v>1847</v>
      </c>
      <c r="R738" s="58">
        <v>1022</v>
      </c>
      <c r="S738" s="58">
        <v>123.87878787878788</v>
      </c>
      <c r="T738" s="58">
        <v>3128</v>
      </c>
      <c r="U738" s="58">
        <v>17.43</v>
      </c>
      <c r="V738" s="58">
        <v>22.65</v>
      </c>
      <c r="W738" s="58">
        <v>-1.4500000000000028</v>
      </c>
      <c r="X738" s="58">
        <v>-6.0165975103734555</v>
      </c>
      <c r="Y738" s="58">
        <v>46350</v>
      </c>
      <c r="Z738" s="58">
        <v>32400</v>
      </c>
      <c r="AA738" s="58">
        <v>15139.55</v>
      </c>
      <c r="AE738" s="57"/>
    </row>
    <row r="739" spans="1:31" x14ac:dyDescent="0.35">
      <c r="A739" s="56" t="s">
        <v>804</v>
      </c>
      <c r="B739" s="58">
        <v>15650</v>
      </c>
      <c r="C739" s="58" t="s">
        <v>26</v>
      </c>
      <c r="D739" s="58">
        <v>128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27675</v>
      </c>
      <c r="M739" s="58">
        <v>14250</v>
      </c>
      <c r="N739" s="58">
        <v>15139.55</v>
      </c>
      <c r="O739" s="58">
        <v>15650</v>
      </c>
      <c r="P739" s="58" t="s">
        <v>26</v>
      </c>
      <c r="Q739" s="58">
        <v>532</v>
      </c>
      <c r="R739" s="58">
        <v>98</v>
      </c>
      <c r="S739" s="58">
        <v>22.580645161290324</v>
      </c>
      <c r="T739" s="58">
        <v>523</v>
      </c>
      <c r="U739" s="58">
        <v>18.55</v>
      </c>
      <c r="V739" s="58">
        <v>72.650000000000006</v>
      </c>
      <c r="W739" s="58">
        <v>-8.3999999999999915</v>
      </c>
      <c r="X739" s="58">
        <v>-10.363972856261556</v>
      </c>
      <c r="Y739" s="58">
        <v>24600</v>
      </c>
      <c r="Z739" s="58">
        <v>21750</v>
      </c>
      <c r="AA739" s="58">
        <v>15139.55</v>
      </c>
      <c r="AE739" s="57"/>
    </row>
    <row r="740" spans="1:31" x14ac:dyDescent="0.35">
      <c r="A740" s="56" t="s">
        <v>805</v>
      </c>
      <c r="B740" s="58">
        <v>15650</v>
      </c>
      <c r="C740" s="58" t="s">
        <v>64</v>
      </c>
      <c r="D740" s="58">
        <v>0</v>
      </c>
      <c r="E740" s="58">
        <v>0</v>
      </c>
      <c r="F740" s="58">
        <v>0</v>
      </c>
      <c r="G740" s="58">
        <v>0</v>
      </c>
      <c r="H740" s="58">
        <v>0</v>
      </c>
      <c r="I740" s="58">
        <v>0</v>
      </c>
      <c r="J740" s="58">
        <v>0</v>
      </c>
      <c r="K740" s="58">
        <v>0</v>
      </c>
      <c r="L740" s="58">
        <v>4050</v>
      </c>
      <c r="M740" s="58">
        <v>4875</v>
      </c>
      <c r="N740" s="58">
        <v>15139.55</v>
      </c>
      <c r="O740" s="58">
        <v>15650</v>
      </c>
      <c r="P740" s="58" t="s">
        <v>64</v>
      </c>
      <c r="Q740" s="58">
        <v>0</v>
      </c>
      <c r="R740" s="58">
        <v>0</v>
      </c>
      <c r="S740" s="58">
        <v>0</v>
      </c>
      <c r="T740" s="58">
        <v>0</v>
      </c>
      <c r="U740" s="58">
        <v>0</v>
      </c>
      <c r="V740" s="58">
        <v>0</v>
      </c>
      <c r="W740" s="58">
        <v>0</v>
      </c>
      <c r="X740" s="58">
        <v>0</v>
      </c>
      <c r="Y740" s="58">
        <v>5850</v>
      </c>
      <c r="Z740" s="58">
        <v>675</v>
      </c>
      <c r="AA740" s="58">
        <v>15143.3</v>
      </c>
      <c r="AE740" s="57"/>
    </row>
    <row r="741" spans="1:31" x14ac:dyDescent="0.35">
      <c r="A741" s="56" t="s">
        <v>806</v>
      </c>
      <c r="B741" s="58">
        <v>15650</v>
      </c>
      <c r="C741" s="58" t="s">
        <v>2071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0</v>
      </c>
      <c r="M741" s="58">
        <v>4875</v>
      </c>
      <c r="N741" s="58">
        <v>15143.3</v>
      </c>
      <c r="O741" s="58">
        <v>15650</v>
      </c>
      <c r="P741" s="58" t="s">
        <v>2071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2775</v>
      </c>
      <c r="Z741" s="58">
        <v>4875</v>
      </c>
      <c r="AA741" s="58">
        <v>15139.55</v>
      </c>
      <c r="AE741" s="57"/>
    </row>
    <row r="742" spans="1:31" x14ac:dyDescent="0.35">
      <c r="A742" s="56" t="s">
        <v>807</v>
      </c>
      <c r="B742" s="58">
        <v>15650</v>
      </c>
      <c r="C742" s="58" t="s">
        <v>2073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15139.55</v>
      </c>
      <c r="O742" s="58">
        <v>15650</v>
      </c>
      <c r="P742" s="58" t="s">
        <v>2073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2775</v>
      </c>
      <c r="Z742" s="58">
        <v>4875</v>
      </c>
      <c r="AA742" s="58">
        <v>15139.55</v>
      </c>
      <c r="AE742" s="57"/>
    </row>
    <row r="743" spans="1:31" x14ac:dyDescent="0.35">
      <c r="A743" s="56" t="s">
        <v>808</v>
      </c>
      <c r="B743" s="58">
        <v>15650</v>
      </c>
      <c r="C743" s="58" t="s">
        <v>2074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0</v>
      </c>
      <c r="M743" s="58">
        <v>4875</v>
      </c>
      <c r="N743" s="58">
        <v>15139.55</v>
      </c>
      <c r="O743" s="58">
        <v>15650</v>
      </c>
      <c r="P743" s="58" t="s">
        <v>2074</v>
      </c>
      <c r="Q743" s="58">
        <v>0</v>
      </c>
      <c r="R743" s="58">
        <v>0</v>
      </c>
      <c r="S743" s="58">
        <v>0</v>
      </c>
      <c r="T743" s="58">
        <v>0</v>
      </c>
      <c r="U743" s="58">
        <v>0</v>
      </c>
      <c r="V743" s="58">
        <v>0</v>
      </c>
      <c r="W743" s="58">
        <v>0</v>
      </c>
      <c r="X743" s="58">
        <v>0</v>
      </c>
      <c r="Y743" s="58">
        <v>0</v>
      </c>
      <c r="Z743" s="58">
        <v>4875</v>
      </c>
      <c r="AA743" s="58">
        <v>15143.3</v>
      </c>
      <c r="AE743" s="57"/>
    </row>
    <row r="744" spans="1:31" x14ac:dyDescent="0.35">
      <c r="A744" s="56" t="s">
        <v>809</v>
      </c>
      <c r="B744" s="58">
        <v>15650</v>
      </c>
      <c r="C744" s="58" t="s">
        <v>2068</v>
      </c>
      <c r="D744" s="58">
        <v>0</v>
      </c>
      <c r="E744" s="58">
        <v>0</v>
      </c>
      <c r="F744" s="58">
        <v>0</v>
      </c>
      <c r="G744" s="58">
        <v>0</v>
      </c>
      <c r="H744" s="58">
        <v>0</v>
      </c>
      <c r="I744" s="58">
        <v>0</v>
      </c>
      <c r="J744" s="58">
        <v>0</v>
      </c>
      <c r="K744" s="58">
        <v>0</v>
      </c>
      <c r="L744" s="58">
        <v>8325</v>
      </c>
      <c r="M744" s="58">
        <v>9300</v>
      </c>
      <c r="N744" s="58">
        <v>15139.55</v>
      </c>
      <c r="O744" s="58">
        <v>15650</v>
      </c>
      <c r="P744" s="58" t="s">
        <v>2068</v>
      </c>
      <c r="Q744" s="58">
        <v>9</v>
      </c>
      <c r="R744" s="58">
        <v>0</v>
      </c>
      <c r="S744" s="58">
        <v>0</v>
      </c>
      <c r="T744" s="58">
        <v>1</v>
      </c>
      <c r="U744" s="58">
        <v>17.68</v>
      </c>
      <c r="V744" s="58">
        <v>266.39999999999998</v>
      </c>
      <c r="W744" s="58">
        <v>4.3499999999999659</v>
      </c>
      <c r="X744" s="58">
        <v>1.6599885518030779</v>
      </c>
      <c r="Y744" s="58">
        <v>7050</v>
      </c>
      <c r="Z744" s="58">
        <v>4950</v>
      </c>
      <c r="AA744" s="58">
        <v>15139.55</v>
      </c>
      <c r="AE744" s="57"/>
    </row>
    <row r="745" spans="1:31" x14ac:dyDescent="0.35">
      <c r="A745" s="56" t="s">
        <v>810</v>
      </c>
      <c r="B745" s="58">
        <v>15650</v>
      </c>
      <c r="C745" s="58" t="s">
        <v>2076</v>
      </c>
      <c r="D745" s="58">
        <v>0</v>
      </c>
      <c r="E745" s="58">
        <v>0</v>
      </c>
      <c r="F745" s="58">
        <v>0</v>
      </c>
      <c r="G745" s="58">
        <v>0</v>
      </c>
      <c r="H745" s="58">
        <v>0</v>
      </c>
      <c r="I745" s="58">
        <v>0</v>
      </c>
      <c r="J745" s="58">
        <v>0</v>
      </c>
      <c r="K745" s="58">
        <v>0</v>
      </c>
      <c r="L745" s="58">
        <v>0</v>
      </c>
      <c r="M745" s="58">
        <v>4875</v>
      </c>
      <c r="N745" s="58">
        <v>15139.55</v>
      </c>
      <c r="O745" s="58">
        <v>15650</v>
      </c>
      <c r="P745" s="58" t="s">
        <v>2076</v>
      </c>
      <c r="Q745" s="58">
        <v>0</v>
      </c>
      <c r="R745" s="58">
        <v>0</v>
      </c>
      <c r="S745" s="58">
        <v>0</v>
      </c>
      <c r="T745" s="58">
        <v>0</v>
      </c>
      <c r="U745" s="58">
        <v>0</v>
      </c>
      <c r="V745" s="58">
        <v>0</v>
      </c>
      <c r="W745" s="58">
        <v>0</v>
      </c>
      <c r="X745" s="58">
        <v>0</v>
      </c>
      <c r="Y745" s="58">
        <v>0</v>
      </c>
      <c r="Z745" s="58">
        <v>4875</v>
      </c>
      <c r="AA745" s="58">
        <v>15143.3</v>
      </c>
      <c r="AE745" s="57"/>
    </row>
    <row r="746" spans="1:31" x14ac:dyDescent="0.35">
      <c r="A746" s="56" t="s">
        <v>811</v>
      </c>
      <c r="B746" s="58">
        <v>15650</v>
      </c>
      <c r="C746" s="58" t="s">
        <v>2075</v>
      </c>
      <c r="D746" s="58">
        <v>0</v>
      </c>
      <c r="E746" s="58">
        <v>0</v>
      </c>
      <c r="F746" s="58">
        <v>0</v>
      </c>
      <c r="G746" s="58">
        <v>0</v>
      </c>
      <c r="H746" s="58">
        <v>0</v>
      </c>
      <c r="I746" s="58">
        <v>0</v>
      </c>
      <c r="J746" s="58">
        <v>0</v>
      </c>
      <c r="K746" s="58">
        <v>0</v>
      </c>
      <c r="L746" s="58">
        <v>0</v>
      </c>
      <c r="M746" s="58">
        <v>5025</v>
      </c>
      <c r="N746" s="58">
        <v>15139.55</v>
      </c>
      <c r="O746" s="58">
        <v>15650</v>
      </c>
      <c r="P746" s="58" t="s">
        <v>2075</v>
      </c>
      <c r="Q746" s="58">
        <v>0</v>
      </c>
      <c r="R746" s="58">
        <v>0</v>
      </c>
      <c r="S746" s="58">
        <v>0</v>
      </c>
      <c r="T746" s="58">
        <v>0</v>
      </c>
      <c r="U746" s="58">
        <v>0</v>
      </c>
      <c r="V746" s="58">
        <v>0</v>
      </c>
      <c r="W746" s="58">
        <v>0</v>
      </c>
      <c r="X746" s="58">
        <v>0</v>
      </c>
      <c r="Y746" s="58">
        <v>0</v>
      </c>
      <c r="Z746" s="58">
        <v>9900</v>
      </c>
      <c r="AA746" s="58">
        <v>15143.3</v>
      </c>
      <c r="AE746" s="57"/>
    </row>
    <row r="747" spans="1:31" x14ac:dyDescent="0.35">
      <c r="A747" s="56" t="s">
        <v>812</v>
      </c>
      <c r="B747" s="58">
        <v>15650</v>
      </c>
      <c r="C747" s="58" t="s">
        <v>33</v>
      </c>
      <c r="D747" s="58">
        <v>19</v>
      </c>
      <c r="E747" s="58">
        <v>0</v>
      </c>
      <c r="F747" s="58">
        <v>0</v>
      </c>
      <c r="G747" s="58">
        <v>1</v>
      </c>
      <c r="H747" s="58">
        <v>0</v>
      </c>
      <c r="I747" s="58">
        <v>455</v>
      </c>
      <c r="J747" s="58">
        <v>-76.700000000000045</v>
      </c>
      <c r="K747" s="58">
        <v>-14.425427872860643</v>
      </c>
      <c r="L747" s="58">
        <v>27075</v>
      </c>
      <c r="M747" s="58">
        <v>15750</v>
      </c>
      <c r="N747" s="58">
        <v>15143.3</v>
      </c>
      <c r="O747" s="58">
        <v>15650</v>
      </c>
      <c r="P747" s="58" t="s">
        <v>33</v>
      </c>
      <c r="Q747" s="58">
        <v>3894</v>
      </c>
      <c r="R747" s="58">
        <v>213</v>
      </c>
      <c r="S747" s="58">
        <v>5.786471067644662</v>
      </c>
      <c r="T747" s="58">
        <v>7491</v>
      </c>
      <c r="U747" s="58">
        <v>26.49</v>
      </c>
      <c r="V747" s="58">
        <v>0.6</v>
      </c>
      <c r="W747" s="58">
        <v>-0.75000000000000011</v>
      </c>
      <c r="X747" s="58">
        <v>-55.555555555555557</v>
      </c>
      <c r="Y747" s="58">
        <v>606525</v>
      </c>
      <c r="Z747" s="58">
        <v>108075</v>
      </c>
      <c r="AA747" s="58">
        <v>15139.55</v>
      </c>
      <c r="AE747" s="57"/>
    </row>
    <row r="748" spans="1:31" x14ac:dyDescent="0.35">
      <c r="A748" s="56" t="s">
        <v>813</v>
      </c>
      <c r="B748" s="58">
        <v>15700</v>
      </c>
      <c r="C748" s="58" t="s">
        <v>33</v>
      </c>
      <c r="D748" s="58">
        <v>64</v>
      </c>
      <c r="E748" s="58">
        <v>1</v>
      </c>
      <c r="F748" s="58">
        <v>1.5873015873015872</v>
      </c>
      <c r="G748" s="58">
        <v>37</v>
      </c>
      <c r="H748" s="58">
        <v>0</v>
      </c>
      <c r="I748" s="58">
        <v>559.85</v>
      </c>
      <c r="J748" s="58">
        <v>-19.699999999999932</v>
      </c>
      <c r="K748" s="58">
        <v>-3.3991890259684125</v>
      </c>
      <c r="L748" s="58">
        <v>32325</v>
      </c>
      <c r="M748" s="58">
        <v>21525</v>
      </c>
      <c r="N748" s="58">
        <v>15139.55</v>
      </c>
      <c r="O748" s="58">
        <v>15700</v>
      </c>
      <c r="P748" s="58" t="s">
        <v>33</v>
      </c>
      <c r="Q748" s="58">
        <v>26015</v>
      </c>
      <c r="R748" s="58">
        <v>-6964</v>
      </c>
      <c r="S748" s="58">
        <v>-21.116468055429213</v>
      </c>
      <c r="T748" s="58">
        <v>72931</v>
      </c>
      <c r="U748" s="58">
        <v>28.41</v>
      </c>
      <c r="V748" s="58">
        <v>0.55000000000000004</v>
      </c>
      <c r="W748" s="58">
        <v>-0.75</v>
      </c>
      <c r="X748" s="58">
        <v>-57.692307692307686</v>
      </c>
      <c r="Y748" s="58">
        <v>1767375</v>
      </c>
      <c r="Z748" s="58">
        <v>153225</v>
      </c>
      <c r="AA748" s="58">
        <v>15143.3</v>
      </c>
      <c r="AE748" s="57"/>
    </row>
    <row r="749" spans="1:31" x14ac:dyDescent="0.35">
      <c r="A749" s="56" t="s">
        <v>814</v>
      </c>
      <c r="B749" s="58">
        <v>15700</v>
      </c>
      <c r="C749" s="58" t="s">
        <v>34</v>
      </c>
      <c r="D749" s="58">
        <v>7</v>
      </c>
      <c r="E749" s="58">
        <v>1</v>
      </c>
      <c r="F749" s="58">
        <v>16.666666666666668</v>
      </c>
      <c r="G749" s="58">
        <v>13</v>
      </c>
      <c r="H749" s="58">
        <v>17.579999999999998</v>
      </c>
      <c r="I749" s="58">
        <v>547.04999999999995</v>
      </c>
      <c r="J749" s="58">
        <v>-36.600000000000023</v>
      </c>
      <c r="K749" s="58">
        <v>-6.2708815214597831</v>
      </c>
      <c r="L749" s="58">
        <v>16500</v>
      </c>
      <c r="M749" s="58">
        <v>9300</v>
      </c>
      <c r="N749" s="58">
        <v>15139.55</v>
      </c>
      <c r="O749" s="58">
        <v>15700</v>
      </c>
      <c r="P749" s="58" t="s">
        <v>34</v>
      </c>
      <c r="Q749" s="58">
        <v>9465</v>
      </c>
      <c r="R749" s="58">
        <v>1620</v>
      </c>
      <c r="S749" s="58">
        <v>20.650095602294456</v>
      </c>
      <c r="T749" s="58">
        <v>13994</v>
      </c>
      <c r="U749" s="58">
        <v>17.489999999999998</v>
      </c>
      <c r="V749" s="58">
        <v>17.600000000000001</v>
      </c>
      <c r="W749" s="58">
        <v>-2.25</v>
      </c>
      <c r="X749" s="58">
        <v>-11.335012594458435</v>
      </c>
      <c r="Y749" s="58">
        <v>108525</v>
      </c>
      <c r="Z749" s="58">
        <v>60150</v>
      </c>
      <c r="AA749" s="58">
        <v>15139.55</v>
      </c>
      <c r="AE749" s="57"/>
    </row>
    <row r="750" spans="1:31" x14ac:dyDescent="0.35">
      <c r="A750" s="56" t="s">
        <v>815</v>
      </c>
      <c r="B750" s="58">
        <v>15700</v>
      </c>
      <c r="C750" s="58" t="s">
        <v>26</v>
      </c>
      <c r="D750" s="58">
        <v>405</v>
      </c>
      <c r="E750" s="58">
        <v>11</v>
      </c>
      <c r="F750" s="58">
        <v>2.7918781725888326</v>
      </c>
      <c r="G750" s="58">
        <v>238</v>
      </c>
      <c r="H750" s="58">
        <v>21.66</v>
      </c>
      <c r="I750" s="58">
        <v>589.20000000000005</v>
      </c>
      <c r="J750" s="58">
        <v>-53</v>
      </c>
      <c r="K750" s="58">
        <v>-8.2528807225163501</v>
      </c>
      <c r="L750" s="58">
        <v>26925</v>
      </c>
      <c r="M750" s="58">
        <v>19275</v>
      </c>
      <c r="N750" s="58">
        <v>15143.3</v>
      </c>
      <c r="O750" s="58">
        <v>15700</v>
      </c>
      <c r="P750" s="58" t="s">
        <v>26</v>
      </c>
      <c r="Q750" s="58">
        <v>8421</v>
      </c>
      <c r="R750" s="58">
        <v>497</v>
      </c>
      <c r="S750" s="58">
        <v>6.2720848056537104</v>
      </c>
      <c r="T750" s="58">
        <v>7986</v>
      </c>
      <c r="U750" s="58">
        <v>18.37</v>
      </c>
      <c r="V750" s="58">
        <v>61.6</v>
      </c>
      <c r="W750" s="58">
        <v>-8.1999999999999957</v>
      </c>
      <c r="X750" s="58">
        <v>-11.747851002865325</v>
      </c>
      <c r="Y750" s="58">
        <v>82200</v>
      </c>
      <c r="Z750" s="58">
        <v>89850</v>
      </c>
      <c r="AA750" s="58">
        <v>15139.55</v>
      </c>
      <c r="AE750" s="57"/>
    </row>
    <row r="751" spans="1:31" x14ac:dyDescent="0.35">
      <c r="A751" s="56" t="s">
        <v>816</v>
      </c>
      <c r="B751" s="58">
        <v>15700</v>
      </c>
      <c r="C751" s="58" t="s">
        <v>64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1725</v>
      </c>
      <c r="M751" s="58">
        <v>4875</v>
      </c>
      <c r="N751" s="58">
        <v>15139.55</v>
      </c>
      <c r="O751" s="58">
        <v>15700</v>
      </c>
      <c r="P751" s="58" t="s">
        <v>64</v>
      </c>
      <c r="Q751" s="58">
        <v>0</v>
      </c>
      <c r="R751" s="58">
        <v>0</v>
      </c>
      <c r="S751" s="58">
        <v>0</v>
      </c>
      <c r="T751" s="58">
        <v>1</v>
      </c>
      <c r="U751" s="58">
        <v>0</v>
      </c>
      <c r="V751" s="58">
        <v>108.15</v>
      </c>
      <c r="W751" s="58">
        <v>-247.65</v>
      </c>
      <c r="X751" s="58">
        <v>-69.603709949409776</v>
      </c>
      <c r="Y751" s="58">
        <v>11400</v>
      </c>
      <c r="Z751" s="58">
        <v>6000</v>
      </c>
      <c r="AA751" s="58">
        <v>15143.3</v>
      </c>
      <c r="AE751" s="57"/>
    </row>
    <row r="752" spans="1:31" x14ac:dyDescent="0.35">
      <c r="A752" s="56" t="s">
        <v>817</v>
      </c>
      <c r="B752" s="58">
        <v>15700</v>
      </c>
      <c r="C752" s="58" t="s">
        <v>2071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4875</v>
      </c>
      <c r="N752" s="58">
        <v>15143.3</v>
      </c>
      <c r="O752" s="58">
        <v>15700</v>
      </c>
      <c r="P752" s="58" t="s">
        <v>2071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2775</v>
      </c>
      <c r="Z752" s="58">
        <v>4875</v>
      </c>
      <c r="AA752" s="58">
        <v>15143.3</v>
      </c>
      <c r="AE752" s="57"/>
    </row>
    <row r="753" spans="1:31" x14ac:dyDescent="0.35">
      <c r="A753" s="56" t="s">
        <v>818</v>
      </c>
      <c r="B753" s="58">
        <v>15700</v>
      </c>
      <c r="C753" s="58" t="s">
        <v>2073</v>
      </c>
      <c r="D753" s="58">
        <v>0</v>
      </c>
      <c r="E753" s="58">
        <v>0</v>
      </c>
      <c r="F753" s="58">
        <v>0</v>
      </c>
      <c r="G753" s="58">
        <v>0</v>
      </c>
      <c r="H753" s="58">
        <v>0</v>
      </c>
      <c r="I753" s="58">
        <v>0</v>
      </c>
      <c r="J753" s="58">
        <v>0</v>
      </c>
      <c r="K753" s="58">
        <v>0</v>
      </c>
      <c r="L753" s="58">
        <v>0</v>
      </c>
      <c r="M753" s="58">
        <v>4875</v>
      </c>
      <c r="N753" s="58">
        <v>15139.55</v>
      </c>
      <c r="O753" s="58">
        <v>15700</v>
      </c>
      <c r="P753" s="58" t="s">
        <v>2073</v>
      </c>
      <c r="Q753" s="58">
        <v>0</v>
      </c>
      <c r="R753" s="58">
        <v>0</v>
      </c>
      <c r="S753" s="58">
        <v>0</v>
      </c>
      <c r="T753" s="58">
        <v>0</v>
      </c>
      <c r="U753" s="58">
        <v>0</v>
      </c>
      <c r="V753" s="58">
        <v>0</v>
      </c>
      <c r="W753" s="58">
        <v>0</v>
      </c>
      <c r="X753" s="58">
        <v>0</v>
      </c>
      <c r="Y753" s="58">
        <v>2925</v>
      </c>
      <c r="Z753" s="58">
        <v>4875</v>
      </c>
      <c r="AA753" s="58">
        <v>15139.55</v>
      </c>
      <c r="AE753" s="57"/>
    </row>
    <row r="754" spans="1:31" x14ac:dyDescent="0.35">
      <c r="A754" s="56" t="s">
        <v>819</v>
      </c>
      <c r="B754" s="58">
        <v>15700</v>
      </c>
      <c r="C754" s="58" t="s">
        <v>2074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0</v>
      </c>
      <c r="M754" s="58">
        <v>4875</v>
      </c>
      <c r="N754" s="58">
        <v>15143.3</v>
      </c>
      <c r="O754" s="58">
        <v>15700</v>
      </c>
      <c r="P754" s="58" t="s">
        <v>2074</v>
      </c>
      <c r="Q754" s="58">
        <v>0</v>
      </c>
      <c r="R754" s="58">
        <v>0</v>
      </c>
      <c r="S754" s="58">
        <v>0</v>
      </c>
      <c r="T754" s="58">
        <v>0</v>
      </c>
      <c r="U754" s="58">
        <v>0</v>
      </c>
      <c r="V754" s="58">
        <v>0</v>
      </c>
      <c r="W754" s="58">
        <v>0</v>
      </c>
      <c r="X754" s="58">
        <v>0</v>
      </c>
      <c r="Y754" s="58">
        <v>0</v>
      </c>
      <c r="Z754" s="58">
        <v>4875</v>
      </c>
      <c r="AA754" s="58">
        <v>15139.55</v>
      </c>
      <c r="AE754" s="57"/>
    </row>
    <row r="755" spans="1:31" x14ac:dyDescent="0.35">
      <c r="A755" s="56" t="s">
        <v>820</v>
      </c>
      <c r="B755" s="58">
        <v>15700</v>
      </c>
      <c r="C755" s="58" t="s">
        <v>2068</v>
      </c>
      <c r="D755" s="58">
        <v>26</v>
      </c>
      <c r="E755" s="58">
        <v>8</v>
      </c>
      <c r="F755" s="58">
        <v>44.444444444444443</v>
      </c>
      <c r="G755" s="58">
        <v>10</v>
      </c>
      <c r="H755" s="58">
        <v>22.3</v>
      </c>
      <c r="I755" s="58">
        <v>698.5</v>
      </c>
      <c r="J755" s="58">
        <v>-78</v>
      </c>
      <c r="K755" s="58">
        <v>-10.04507405022537</v>
      </c>
      <c r="L755" s="58">
        <v>10725</v>
      </c>
      <c r="M755" s="58">
        <v>13650</v>
      </c>
      <c r="N755" s="58">
        <v>15139.55</v>
      </c>
      <c r="O755" s="58">
        <v>15700</v>
      </c>
      <c r="P755" s="58" t="s">
        <v>2068</v>
      </c>
      <c r="Q755" s="58">
        <v>1163</v>
      </c>
      <c r="R755" s="58">
        <v>181</v>
      </c>
      <c r="S755" s="58">
        <v>18.431771894093689</v>
      </c>
      <c r="T755" s="58">
        <v>652</v>
      </c>
      <c r="U755" s="58">
        <v>16.809999999999999</v>
      </c>
      <c r="V755" s="58">
        <v>231.1</v>
      </c>
      <c r="W755" s="58">
        <v>-9.8000000000000114</v>
      </c>
      <c r="X755" s="58">
        <v>-4.0680780406807848</v>
      </c>
      <c r="Y755" s="58">
        <v>10200</v>
      </c>
      <c r="Z755" s="58">
        <v>8925</v>
      </c>
      <c r="AA755" s="58">
        <v>15139.55</v>
      </c>
      <c r="AE755" s="57"/>
    </row>
    <row r="756" spans="1:31" x14ac:dyDescent="0.35">
      <c r="A756" s="56" t="s">
        <v>821</v>
      </c>
      <c r="B756" s="58">
        <v>15700</v>
      </c>
      <c r="C756" s="58" t="s">
        <v>2076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0</v>
      </c>
      <c r="M756" s="58">
        <v>4875</v>
      </c>
      <c r="N756" s="58">
        <v>15139.55</v>
      </c>
      <c r="O756" s="58">
        <v>15700</v>
      </c>
      <c r="P756" s="58" t="s">
        <v>2076</v>
      </c>
      <c r="Q756" s="58">
        <v>0</v>
      </c>
      <c r="R756" s="58">
        <v>0</v>
      </c>
      <c r="S756" s="58">
        <v>0</v>
      </c>
      <c r="T756" s="58">
        <v>0</v>
      </c>
      <c r="U756" s="58">
        <v>0</v>
      </c>
      <c r="V756" s="58">
        <v>0</v>
      </c>
      <c r="W756" s="58">
        <v>0</v>
      </c>
      <c r="X756" s="58">
        <v>0</v>
      </c>
      <c r="Y756" s="58">
        <v>0</v>
      </c>
      <c r="Z756" s="58">
        <v>4875</v>
      </c>
      <c r="AA756" s="58">
        <v>15139.55</v>
      </c>
      <c r="AE756" s="57"/>
    </row>
    <row r="757" spans="1:31" x14ac:dyDescent="0.35">
      <c r="A757" s="56" t="s">
        <v>822</v>
      </c>
      <c r="B757" s="58">
        <v>15700</v>
      </c>
      <c r="C757" s="58" t="s">
        <v>2075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5400</v>
      </c>
      <c r="N757" s="58">
        <v>15143.3</v>
      </c>
      <c r="O757" s="58">
        <v>15700</v>
      </c>
      <c r="P757" s="58" t="s">
        <v>2075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0</v>
      </c>
      <c r="Z757" s="58">
        <v>9900</v>
      </c>
      <c r="AA757" s="58">
        <v>15143.3</v>
      </c>
      <c r="AE757" s="57"/>
    </row>
    <row r="758" spans="1:31" x14ac:dyDescent="0.35">
      <c r="A758" s="56" t="s">
        <v>823</v>
      </c>
      <c r="B758" s="58">
        <v>15750</v>
      </c>
      <c r="C758" s="58" t="s">
        <v>33</v>
      </c>
      <c r="D758" s="58">
        <v>2</v>
      </c>
      <c r="E758" s="58">
        <v>0</v>
      </c>
      <c r="F758" s="58">
        <v>0</v>
      </c>
      <c r="G758" s="58">
        <v>0</v>
      </c>
      <c r="H758" s="58">
        <v>0</v>
      </c>
      <c r="I758" s="58">
        <v>0</v>
      </c>
      <c r="J758" s="58">
        <v>0</v>
      </c>
      <c r="K758" s="58">
        <v>0</v>
      </c>
      <c r="L758" s="58">
        <v>30225</v>
      </c>
      <c r="M758" s="58">
        <v>18375</v>
      </c>
      <c r="N758" s="58">
        <v>15139.55</v>
      </c>
      <c r="O758" s="58">
        <v>15750</v>
      </c>
      <c r="P758" s="58" t="s">
        <v>33</v>
      </c>
      <c r="Q758" s="58">
        <v>2476</v>
      </c>
      <c r="R758" s="58">
        <v>471</v>
      </c>
      <c r="S758" s="58">
        <v>23.491271820448876</v>
      </c>
      <c r="T758" s="58">
        <v>3345</v>
      </c>
      <c r="U758" s="58">
        <v>30.59</v>
      </c>
      <c r="V758" s="58">
        <v>0.55000000000000004</v>
      </c>
      <c r="W758" s="58">
        <v>-0.7</v>
      </c>
      <c r="X758" s="58">
        <v>-55.999999999999993</v>
      </c>
      <c r="Y758" s="58">
        <v>346500</v>
      </c>
      <c r="Z758" s="58">
        <v>52800</v>
      </c>
      <c r="AA758" s="58">
        <v>15139.55</v>
      </c>
      <c r="AE758" s="57"/>
    </row>
    <row r="759" spans="1:31" x14ac:dyDescent="0.35">
      <c r="A759" s="56" t="s">
        <v>824</v>
      </c>
      <c r="B759" s="58">
        <v>15750</v>
      </c>
      <c r="C759" s="58" t="s">
        <v>34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21825</v>
      </c>
      <c r="M759" s="58">
        <v>10875</v>
      </c>
      <c r="N759" s="58">
        <v>15139.55</v>
      </c>
      <c r="O759" s="58">
        <v>15750</v>
      </c>
      <c r="P759" s="58" t="s">
        <v>34</v>
      </c>
      <c r="Q759" s="58">
        <v>1726</v>
      </c>
      <c r="R759" s="58">
        <v>720</v>
      </c>
      <c r="S759" s="58">
        <v>71.570576540755468</v>
      </c>
      <c r="T759" s="58">
        <v>3599</v>
      </c>
      <c r="U759" s="58">
        <v>17.440000000000001</v>
      </c>
      <c r="V759" s="58">
        <v>13.55</v>
      </c>
      <c r="W759" s="58">
        <v>-1.5999999999999996</v>
      </c>
      <c r="X759" s="58">
        <v>-10.561056105610559</v>
      </c>
      <c r="Y759" s="58">
        <v>97875</v>
      </c>
      <c r="Z759" s="58">
        <v>42075</v>
      </c>
      <c r="AA759" s="58">
        <v>15143.3</v>
      </c>
      <c r="AE759" s="57"/>
    </row>
    <row r="760" spans="1:31" x14ac:dyDescent="0.35">
      <c r="A760" s="56" t="s">
        <v>825</v>
      </c>
      <c r="B760" s="58">
        <v>15750</v>
      </c>
      <c r="C760" s="58" t="s">
        <v>64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5550</v>
      </c>
      <c r="M760" s="58">
        <v>4875</v>
      </c>
      <c r="N760" s="58">
        <v>15143.3</v>
      </c>
      <c r="O760" s="58">
        <v>15750</v>
      </c>
      <c r="P760" s="58" t="s">
        <v>64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5775</v>
      </c>
      <c r="Z760" s="58">
        <v>75</v>
      </c>
      <c r="AA760" s="58">
        <v>15139.55</v>
      </c>
      <c r="AE760" s="57"/>
    </row>
    <row r="761" spans="1:31" x14ac:dyDescent="0.35">
      <c r="A761" s="56" t="s">
        <v>826</v>
      </c>
      <c r="B761" s="58">
        <v>15750</v>
      </c>
      <c r="C761" s="58" t="s">
        <v>2071</v>
      </c>
      <c r="D761" s="58">
        <v>0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0</v>
      </c>
      <c r="M761" s="58">
        <v>4875</v>
      </c>
      <c r="N761" s="58">
        <v>15139.55</v>
      </c>
      <c r="O761" s="58">
        <v>15750</v>
      </c>
      <c r="P761" s="58" t="s">
        <v>2071</v>
      </c>
      <c r="Q761" s="58">
        <v>0</v>
      </c>
      <c r="R761" s="58">
        <v>0</v>
      </c>
      <c r="S761" s="58">
        <v>0</v>
      </c>
      <c r="T761" s="58">
        <v>0</v>
      </c>
      <c r="U761" s="58">
        <v>0</v>
      </c>
      <c r="V761" s="58">
        <v>0</v>
      </c>
      <c r="W761" s="58">
        <v>0</v>
      </c>
      <c r="X761" s="58">
        <v>0</v>
      </c>
      <c r="Y761" s="58">
        <v>2775</v>
      </c>
      <c r="Z761" s="58">
        <v>4875</v>
      </c>
      <c r="AA761" s="58">
        <v>15143.3</v>
      </c>
      <c r="AE761" s="57"/>
    </row>
    <row r="762" spans="1:31" x14ac:dyDescent="0.35">
      <c r="A762" s="56" t="s">
        <v>827</v>
      </c>
      <c r="B762" s="58">
        <v>15750</v>
      </c>
      <c r="C762" s="58" t="s">
        <v>2073</v>
      </c>
      <c r="D762" s="58">
        <v>0</v>
      </c>
      <c r="E762" s="58">
        <v>0</v>
      </c>
      <c r="F762" s="58">
        <v>0</v>
      </c>
      <c r="G762" s="58">
        <v>0</v>
      </c>
      <c r="H762" s="58">
        <v>0</v>
      </c>
      <c r="I762" s="58">
        <v>0</v>
      </c>
      <c r="J762" s="58">
        <v>0</v>
      </c>
      <c r="K762" s="58">
        <v>0</v>
      </c>
      <c r="L762" s="58">
        <v>0</v>
      </c>
      <c r="M762" s="58">
        <v>4875</v>
      </c>
      <c r="N762" s="58">
        <v>15139.55</v>
      </c>
      <c r="O762" s="58">
        <v>15750</v>
      </c>
      <c r="P762" s="58" t="s">
        <v>2073</v>
      </c>
      <c r="Q762" s="58">
        <v>0</v>
      </c>
      <c r="R762" s="58">
        <v>0</v>
      </c>
      <c r="S762" s="58">
        <v>0</v>
      </c>
      <c r="T762" s="58">
        <v>0</v>
      </c>
      <c r="U762" s="58">
        <v>0</v>
      </c>
      <c r="V762" s="58">
        <v>0</v>
      </c>
      <c r="W762" s="58">
        <v>0</v>
      </c>
      <c r="X762" s="58">
        <v>0</v>
      </c>
      <c r="Y762" s="58">
        <v>2775</v>
      </c>
      <c r="Z762" s="58">
        <v>4875</v>
      </c>
      <c r="AA762" s="58">
        <v>15139.55</v>
      </c>
      <c r="AE762" s="57"/>
    </row>
    <row r="763" spans="1:31" x14ac:dyDescent="0.35">
      <c r="A763" s="56" t="s">
        <v>828</v>
      </c>
      <c r="B763" s="58">
        <v>15750</v>
      </c>
      <c r="C763" s="58" t="s">
        <v>2074</v>
      </c>
      <c r="D763" s="58">
        <v>0</v>
      </c>
      <c r="E763" s="58">
        <v>0</v>
      </c>
      <c r="F763" s="58">
        <v>0</v>
      </c>
      <c r="G763" s="58">
        <v>0</v>
      </c>
      <c r="H763" s="58">
        <v>0</v>
      </c>
      <c r="I763" s="58">
        <v>0</v>
      </c>
      <c r="J763" s="58">
        <v>0</v>
      </c>
      <c r="K763" s="58">
        <v>0</v>
      </c>
      <c r="L763" s="58">
        <v>0</v>
      </c>
      <c r="M763" s="58">
        <v>4875</v>
      </c>
      <c r="N763" s="58">
        <v>15143.3</v>
      </c>
      <c r="O763" s="58">
        <v>15750</v>
      </c>
      <c r="P763" s="58" t="s">
        <v>2074</v>
      </c>
      <c r="Q763" s="58">
        <v>0</v>
      </c>
      <c r="R763" s="58">
        <v>0</v>
      </c>
      <c r="S763" s="58">
        <v>0</v>
      </c>
      <c r="T763" s="58">
        <v>0</v>
      </c>
      <c r="U763" s="58">
        <v>0</v>
      </c>
      <c r="V763" s="58">
        <v>0</v>
      </c>
      <c r="W763" s="58">
        <v>0</v>
      </c>
      <c r="X763" s="58">
        <v>0</v>
      </c>
      <c r="Y763" s="58">
        <v>0</v>
      </c>
      <c r="Z763" s="58">
        <v>4875</v>
      </c>
      <c r="AA763" s="58">
        <v>15143.3</v>
      </c>
      <c r="AE763" s="57"/>
    </row>
    <row r="764" spans="1:31" x14ac:dyDescent="0.35">
      <c r="A764" s="56" t="s">
        <v>829</v>
      </c>
      <c r="B764" s="58">
        <v>15750</v>
      </c>
      <c r="C764" s="58" t="s">
        <v>2068</v>
      </c>
      <c r="D764" s="58">
        <v>0</v>
      </c>
      <c r="E764" s="58">
        <v>0</v>
      </c>
      <c r="F764" s="58">
        <v>0</v>
      </c>
      <c r="G764" s="58">
        <v>0</v>
      </c>
      <c r="H764" s="58">
        <v>0</v>
      </c>
      <c r="I764" s="58">
        <v>0</v>
      </c>
      <c r="J764" s="58">
        <v>0</v>
      </c>
      <c r="K764" s="58">
        <v>0</v>
      </c>
      <c r="L764" s="58">
        <v>3375</v>
      </c>
      <c r="M764" s="58">
        <v>9525</v>
      </c>
      <c r="N764" s="58">
        <v>15139.55</v>
      </c>
      <c r="O764" s="58">
        <v>15750</v>
      </c>
      <c r="P764" s="58" t="s">
        <v>2068</v>
      </c>
      <c r="Q764" s="58">
        <v>29</v>
      </c>
      <c r="R764" s="58">
        <v>3</v>
      </c>
      <c r="S764" s="58">
        <v>11.538461538461538</v>
      </c>
      <c r="T764" s="58">
        <v>6</v>
      </c>
      <c r="U764" s="58">
        <v>17.21</v>
      </c>
      <c r="V764" s="58">
        <v>213.55</v>
      </c>
      <c r="W764" s="58">
        <v>-3.9499999999999886</v>
      </c>
      <c r="X764" s="58">
        <v>-1.8160919540229832</v>
      </c>
      <c r="Y764" s="58">
        <v>6150</v>
      </c>
      <c r="Z764" s="58">
        <v>4950</v>
      </c>
      <c r="AA764" s="58">
        <v>15139.55</v>
      </c>
      <c r="AE764" s="57"/>
    </row>
    <row r="765" spans="1:31" x14ac:dyDescent="0.35">
      <c r="A765" s="56" t="s">
        <v>830</v>
      </c>
      <c r="B765" s="58">
        <v>15750</v>
      </c>
      <c r="C765" s="58" t="s">
        <v>2076</v>
      </c>
      <c r="D765" s="58">
        <v>0</v>
      </c>
      <c r="E765" s="58">
        <v>0</v>
      </c>
      <c r="F765" s="58">
        <v>0</v>
      </c>
      <c r="G765" s="58">
        <v>0</v>
      </c>
      <c r="H765" s="58">
        <v>0</v>
      </c>
      <c r="I765" s="58">
        <v>0</v>
      </c>
      <c r="J765" s="58">
        <v>0</v>
      </c>
      <c r="K765" s="58">
        <v>0</v>
      </c>
      <c r="L765" s="58">
        <v>0</v>
      </c>
      <c r="M765" s="58">
        <v>4875</v>
      </c>
      <c r="N765" s="58">
        <v>15139.55</v>
      </c>
      <c r="O765" s="58">
        <v>15750</v>
      </c>
      <c r="P765" s="58" t="s">
        <v>2076</v>
      </c>
      <c r="Q765" s="58">
        <v>0</v>
      </c>
      <c r="R765" s="58">
        <v>0</v>
      </c>
      <c r="S765" s="58">
        <v>0</v>
      </c>
      <c r="T765" s="58">
        <v>0</v>
      </c>
      <c r="U765" s="58">
        <v>0</v>
      </c>
      <c r="V765" s="58">
        <v>0</v>
      </c>
      <c r="W765" s="58">
        <v>0</v>
      </c>
      <c r="X765" s="58">
        <v>0</v>
      </c>
      <c r="Y765" s="58">
        <v>0</v>
      </c>
      <c r="Z765" s="58">
        <v>4875</v>
      </c>
      <c r="AA765" s="58">
        <v>15139.55</v>
      </c>
      <c r="AE765" s="57"/>
    </row>
    <row r="766" spans="1:31" x14ac:dyDescent="0.35">
      <c r="A766" s="56" t="s">
        <v>831</v>
      </c>
      <c r="B766" s="58">
        <v>15750</v>
      </c>
      <c r="C766" s="58" t="s">
        <v>2075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5025</v>
      </c>
      <c r="N766" s="58">
        <v>15139.55</v>
      </c>
      <c r="O766" s="58">
        <v>15750</v>
      </c>
      <c r="P766" s="58" t="s">
        <v>2075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0</v>
      </c>
      <c r="Z766" s="58">
        <v>9900</v>
      </c>
      <c r="AA766" s="58">
        <v>15139.55</v>
      </c>
      <c r="AE766" s="57"/>
    </row>
    <row r="767" spans="1:31" x14ac:dyDescent="0.35">
      <c r="A767" s="56" t="s">
        <v>832</v>
      </c>
      <c r="B767" s="58">
        <v>15750</v>
      </c>
      <c r="C767" s="58" t="s">
        <v>26</v>
      </c>
      <c r="D767" s="58">
        <v>4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26775</v>
      </c>
      <c r="M767" s="58">
        <v>18300</v>
      </c>
      <c r="N767" s="58">
        <v>15139.55</v>
      </c>
      <c r="O767" s="58">
        <v>15750</v>
      </c>
      <c r="P767" s="58" t="s">
        <v>26</v>
      </c>
      <c r="Q767" s="58">
        <v>1105</v>
      </c>
      <c r="R767" s="58">
        <v>-58</v>
      </c>
      <c r="S767" s="58">
        <v>-4.9871023215821149</v>
      </c>
      <c r="T767" s="58">
        <v>648</v>
      </c>
      <c r="U767" s="58">
        <v>18.329999999999998</v>
      </c>
      <c r="V767" s="58">
        <v>51.95</v>
      </c>
      <c r="W767" s="58">
        <v>-6.8999999999999986</v>
      </c>
      <c r="X767" s="58">
        <v>-11.724723874256584</v>
      </c>
      <c r="Y767" s="58">
        <v>27300</v>
      </c>
      <c r="Z767" s="58">
        <v>25500</v>
      </c>
      <c r="AA767" s="58">
        <v>15143.3</v>
      </c>
      <c r="AE767" s="57"/>
    </row>
    <row r="768" spans="1:31" x14ac:dyDescent="0.35">
      <c r="A768" s="56" t="s">
        <v>833</v>
      </c>
      <c r="B768" s="58">
        <v>15800</v>
      </c>
      <c r="C768" s="58" t="s">
        <v>34</v>
      </c>
      <c r="D768" s="58">
        <v>4</v>
      </c>
      <c r="E768" s="58">
        <v>0</v>
      </c>
      <c r="F768" s="58">
        <v>0</v>
      </c>
      <c r="G768" s="58">
        <v>1</v>
      </c>
      <c r="H768" s="58">
        <v>0</v>
      </c>
      <c r="I768" s="58">
        <v>616.1</v>
      </c>
      <c r="J768" s="58">
        <v>-62</v>
      </c>
      <c r="K768" s="58">
        <v>-9.1431942191417193</v>
      </c>
      <c r="L768" s="58">
        <v>14850</v>
      </c>
      <c r="M768" s="58">
        <v>8550</v>
      </c>
      <c r="N768" s="58">
        <v>15139.55</v>
      </c>
      <c r="O768" s="58">
        <v>15800</v>
      </c>
      <c r="P768" s="58" t="s">
        <v>34</v>
      </c>
      <c r="Q768" s="58">
        <v>7469</v>
      </c>
      <c r="R768" s="58">
        <v>1631</v>
      </c>
      <c r="S768" s="58">
        <v>27.937649880095918</v>
      </c>
      <c r="T768" s="58">
        <v>13709</v>
      </c>
      <c r="U768" s="58">
        <v>17.59</v>
      </c>
      <c r="V768" s="58">
        <v>10.8</v>
      </c>
      <c r="W768" s="58">
        <v>-1</v>
      </c>
      <c r="X768" s="58">
        <v>-8.4745762711864394</v>
      </c>
      <c r="Y768" s="58">
        <v>147525</v>
      </c>
      <c r="Z768" s="58">
        <v>101850</v>
      </c>
      <c r="AA768" s="58">
        <v>15139.55</v>
      </c>
      <c r="AE768" s="57"/>
    </row>
    <row r="769" spans="1:31" x14ac:dyDescent="0.35">
      <c r="A769" s="56" t="s">
        <v>834</v>
      </c>
      <c r="B769" s="58">
        <v>15800</v>
      </c>
      <c r="C769" s="58" t="s">
        <v>26</v>
      </c>
      <c r="D769" s="58">
        <v>252</v>
      </c>
      <c r="E769" s="58">
        <v>4</v>
      </c>
      <c r="F769" s="58">
        <v>1.6129032258064515</v>
      </c>
      <c r="G769" s="58">
        <v>14</v>
      </c>
      <c r="H769" s="58">
        <v>21.37</v>
      </c>
      <c r="I769" s="58">
        <v>666.8</v>
      </c>
      <c r="J769" s="58">
        <v>-33.350000000000023</v>
      </c>
      <c r="K769" s="58">
        <v>-4.7632650146397237</v>
      </c>
      <c r="L769" s="58">
        <v>28050</v>
      </c>
      <c r="M769" s="58">
        <v>16500</v>
      </c>
      <c r="N769" s="58">
        <v>15139.55</v>
      </c>
      <c r="O769" s="58">
        <v>15800</v>
      </c>
      <c r="P769" s="58" t="s">
        <v>26</v>
      </c>
      <c r="Q769" s="58">
        <v>8902</v>
      </c>
      <c r="R769" s="58">
        <v>844</v>
      </c>
      <c r="S769" s="58">
        <v>10.474063042938694</v>
      </c>
      <c r="T769" s="58">
        <v>7251</v>
      </c>
      <c r="U769" s="58">
        <v>18.18</v>
      </c>
      <c r="V769" s="58">
        <v>43.7</v>
      </c>
      <c r="W769" s="58">
        <v>-6.6999999999999957</v>
      </c>
      <c r="X769" s="58">
        <v>-13.293650793650786</v>
      </c>
      <c r="Y769" s="58">
        <v>56625</v>
      </c>
      <c r="Z769" s="58">
        <v>88275</v>
      </c>
      <c r="AA769" s="58">
        <v>15139.55</v>
      </c>
      <c r="AE769" s="57"/>
    </row>
    <row r="770" spans="1:31" x14ac:dyDescent="0.35">
      <c r="A770" s="56" t="s">
        <v>835</v>
      </c>
      <c r="B770" s="58">
        <v>15800</v>
      </c>
      <c r="C770" s="58" t="s">
        <v>2071</v>
      </c>
      <c r="D770" s="58">
        <v>0</v>
      </c>
      <c r="E770" s="58">
        <v>0</v>
      </c>
      <c r="F770" s="58">
        <v>0</v>
      </c>
      <c r="G770" s="58">
        <v>0</v>
      </c>
      <c r="H770" s="58">
        <v>0</v>
      </c>
      <c r="I770" s="58">
        <v>0</v>
      </c>
      <c r="J770" s="58">
        <v>0</v>
      </c>
      <c r="K770" s="58">
        <v>0</v>
      </c>
      <c r="L770" s="58">
        <v>0</v>
      </c>
      <c r="M770" s="58">
        <v>4875</v>
      </c>
      <c r="N770" s="58">
        <v>15143.3</v>
      </c>
      <c r="O770" s="58">
        <v>15800</v>
      </c>
      <c r="P770" s="58" t="s">
        <v>2071</v>
      </c>
      <c r="Q770" s="58">
        <v>0</v>
      </c>
      <c r="R770" s="58">
        <v>0</v>
      </c>
      <c r="S770" s="58">
        <v>0</v>
      </c>
      <c r="T770" s="58">
        <v>0</v>
      </c>
      <c r="U770" s="58">
        <v>0</v>
      </c>
      <c r="V770" s="58">
        <v>0</v>
      </c>
      <c r="W770" s="58">
        <v>0</v>
      </c>
      <c r="X770" s="58">
        <v>0</v>
      </c>
      <c r="Y770" s="58">
        <v>2775</v>
      </c>
      <c r="Z770" s="58">
        <v>4875</v>
      </c>
      <c r="AA770" s="58">
        <v>15139.55</v>
      </c>
      <c r="AE770" s="57"/>
    </row>
    <row r="771" spans="1:31" x14ac:dyDescent="0.35">
      <c r="A771" s="56" t="s">
        <v>836</v>
      </c>
      <c r="B771" s="58">
        <v>15800</v>
      </c>
      <c r="C771" s="58" t="s">
        <v>2073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15139.55</v>
      </c>
      <c r="O771" s="58">
        <v>15800</v>
      </c>
      <c r="P771" s="58" t="s">
        <v>2073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2775</v>
      </c>
      <c r="Z771" s="58">
        <v>4875</v>
      </c>
      <c r="AA771" s="58">
        <v>15139.55</v>
      </c>
      <c r="AE771" s="57"/>
    </row>
    <row r="772" spans="1:31" x14ac:dyDescent="0.35">
      <c r="A772" s="56" t="s">
        <v>837</v>
      </c>
      <c r="B772" s="58">
        <v>15800</v>
      </c>
      <c r="C772" s="58" t="s">
        <v>2074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15143.3</v>
      </c>
      <c r="O772" s="58">
        <v>15800</v>
      </c>
      <c r="P772" s="58" t="s">
        <v>2074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300</v>
      </c>
      <c r="Z772" s="58">
        <v>4875</v>
      </c>
      <c r="AA772" s="58">
        <v>15139.55</v>
      </c>
      <c r="AE772" s="57"/>
    </row>
    <row r="773" spans="1:31" x14ac:dyDescent="0.35">
      <c r="A773" s="56" t="s">
        <v>838</v>
      </c>
      <c r="B773" s="58">
        <v>15800</v>
      </c>
      <c r="C773" s="58" t="s">
        <v>2068</v>
      </c>
      <c r="D773" s="58">
        <v>11</v>
      </c>
      <c r="E773" s="58">
        <v>6</v>
      </c>
      <c r="F773" s="58">
        <v>120</v>
      </c>
      <c r="G773" s="58">
        <v>8</v>
      </c>
      <c r="H773" s="58">
        <v>22.04</v>
      </c>
      <c r="I773" s="58">
        <v>755.9</v>
      </c>
      <c r="J773" s="58">
        <v>-111.10000000000002</v>
      </c>
      <c r="K773" s="58">
        <v>-12.814302191464824</v>
      </c>
      <c r="L773" s="58">
        <v>13875</v>
      </c>
      <c r="M773" s="58">
        <v>13650</v>
      </c>
      <c r="N773" s="58">
        <v>15139.55</v>
      </c>
      <c r="O773" s="58">
        <v>15800</v>
      </c>
      <c r="P773" s="58" t="s">
        <v>2068</v>
      </c>
      <c r="Q773" s="58">
        <v>1389</v>
      </c>
      <c r="R773" s="58">
        <v>16</v>
      </c>
      <c r="S773" s="58">
        <v>1.1653313911143479</v>
      </c>
      <c r="T773" s="58">
        <v>376</v>
      </c>
      <c r="U773" s="58">
        <v>16.670000000000002</v>
      </c>
      <c r="V773" s="58">
        <v>195.2</v>
      </c>
      <c r="W773" s="58">
        <v>-7.0500000000000114</v>
      </c>
      <c r="X773" s="58">
        <v>-3.485784919653899</v>
      </c>
      <c r="Y773" s="58">
        <v>11850</v>
      </c>
      <c r="Z773" s="58">
        <v>10050</v>
      </c>
      <c r="AA773" s="58">
        <v>15139.55</v>
      </c>
      <c r="AE773" s="57"/>
    </row>
    <row r="774" spans="1:31" x14ac:dyDescent="0.35">
      <c r="A774" s="56" t="s">
        <v>839</v>
      </c>
      <c r="B774" s="58">
        <v>15800</v>
      </c>
      <c r="C774" s="58" t="s">
        <v>2076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4875</v>
      </c>
      <c r="N774" s="58">
        <v>15139.55</v>
      </c>
      <c r="O774" s="58">
        <v>15800</v>
      </c>
      <c r="P774" s="58" t="s">
        <v>2076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4875</v>
      </c>
      <c r="AA774" s="58">
        <v>15139.55</v>
      </c>
      <c r="AE774" s="57"/>
    </row>
    <row r="775" spans="1:31" x14ac:dyDescent="0.35">
      <c r="A775" s="56" t="s">
        <v>840</v>
      </c>
      <c r="B775" s="58">
        <v>15800</v>
      </c>
      <c r="C775" s="58" t="s">
        <v>2075</v>
      </c>
      <c r="D775" s="58">
        <v>1</v>
      </c>
      <c r="E775" s="58">
        <v>0</v>
      </c>
      <c r="F775" s="58">
        <v>0</v>
      </c>
      <c r="G775" s="58">
        <v>0</v>
      </c>
      <c r="H775" s="58">
        <v>0</v>
      </c>
      <c r="I775" s="58">
        <v>0</v>
      </c>
      <c r="J775" s="58">
        <v>0</v>
      </c>
      <c r="K775" s="58">
        <v>0</v>
      </c>
      <c r="L775" s="58">
        <v>0</v>
      </c>
      <c r="M775" s="58">
        <v>5025</v>
      </c>
      <c r="N775" s="58">
        <v>15143.3</v>
      </c>
      <c r="O775" s="58">
        <v>15800</v>
      </c>
      <c r="P775" s="58" t="s">
        <v>2075</v>
      </c>
      <c r="Q775" s="58">
        <v>0</v>
      </c>
      <c r="R775" s="58">
        <v>0</v>
      </c>
      <c r="S775" s="58">
        <v>0</v>
      </c>
      <c r="T775" s="58">
        <v>0</v>
      </c>
      <c r="U775" s="58">
        <v>0</v>
      </c>
      <c r="V775" s="58">
        <v>0</v>
      </c>
      <c r="W775" s="58">
        <v>0</v>
      </c>
      <c r="X775" s="58">
        <v>0</v>
      </c>
      <c r="Y775" s="58">
        <v>3300</v>
      </c>
      <c r="Z775" s="58">
        <v>9975</v>
      </c>
      <c r="AA775" s="58">
        <v>15143.3</v>
      </c>
      <c r="AE775" s="57"/>
    </row>
    <row r="776" spans="1:31" x14ac:dyDescent="0.35">
      <c r="A776" s="56" t="s">
        <v>841</v>
      </c>
      <c r="B776" s="58">
        <v>15800</v>
      </c>
      <c r="C776" s="58" t="s">
        <v>33</v>
      </c>
      <c r="D776" s="58">
        <v>18</v>
      </c>
      <c r="E776" s="58">
        <v>0</v>
      </c>
      <c r="F776" s="58">
        <v>0</v>
      </c>
      <c r="G776" s="58">
        <v>4</v>
      </c>
      <c r="H776" s="58">
        <v>0</v>
      </c>
      <c r="I776" s="58">
        <v>659.05</v>
      </c>
      <c r="J776" s="58">
        <v>-30.900000000000091</v>
      </c>
      <c r="K776" s="58">
        <v>-4.4785854047394862</v>
      </c>
      <c r="L776" s="58">
        <v>23475</v>
      </c>
      <c r="M776" s="58">
        <v>19425</v>
      </c>
      <c r="N776" s="58">
        <v>15143.3</v>
      </c>
      <c r="O776" s="58">
        <v>15800</v>
      </c>
      <c r="P776" s="58" t="s">
        <v>33</v>
      </c>
      <c r="Q776" s="58">
        <v>22734</v>
      </c>
      <c r="R776" s="58">
        <v>-4309</v>
      </c>
      <c r="S776" s="58">
        <v>-15.933883075102614</v>
      </c>
      <c r="T776" s="58">
        <v>45294</v>
      </c>
      <c r="U776" s="58">
        <v>32.39</v>
      </c>
      <c r="V776" s="58">
        <v>0.5</v>
      </c>
      <c r="W776" s="58">
        <v>-0.7</v>
      </c>
      <c r="X776" s="58">
        <v>-58.333333333333336</v>
      </c>
      <c r="Y776" s="58">
        <v>1704525</v>
      </c>
      <c r="Z776" s="58">
        <v>146475</v>
      </c>
      <c r="AA776" s="58">
        <v>15139.55</v>
      </c>
      <c r="AE776" s="57"/>
    </row>
    <row r="777" spans="1:31" x14ac:dyDescent="0.35">
      <c r="A777" s="56" t="s">
        <v>842</v>
      </c>
      <c r="B777" s="58">
        <v>15800</v>
      </c>
      <c r="C777" s="58" t="s">
        <v>64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4875</v>
      </c>
      <c r="M777" s="58">
        <v>4875</v>
      </c>
      <c r="N777" s="58">
        <v>15143.3</v>
      </c>
      <c r="O777" s="58">
        <v>15800</v>
      </c>
      <c r="P777" s="58" t="s">
        <v>64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9150</v>
      </c>
      <c r="Z777" s="58">
        <v>1275</v>
      </c>
      <c r="AA777" s="58">
        <v>15139.55</v>
      </c>
      <c r="AE777" s="57"/>
    </row>
    <row r="778" spans="1:31" x14ac:dyDescent="0.35">
      <c r="A778" s="56" t="s">
        <v>843</v>
      </c>
      <c r="B778" s="58">
        <v>15850</v>
      </c>
      <c r="C778" s="58" t="s">
        <v>26</v>
      </c>
      <c r="D778" s="58">
        <v>1</v>
      </c>
      <c r="E778" s="58">
        <v>-3</v>
      </c>
      <c r="F778" s="58">
        <v>-75</v>
      </c>
      <c r="G778" s="58">
        <v>6</v>
      </c>
      <c r="H778" s="58">
        <v>20.7</v>
      </c>
      <c r="I778" s="58">
        <v>703</v>
      </c>
      <c r="J778" s="58">
        <v>-201</v>
      </c>
      <c r="K778" s="58">
        <v>-22.234513274336283</v>
      </c>
      <c r="L778" s="58">
        <v>26700</v>
      </c>
      <c r="M778" s="58">
        <v>14850</v>
      </c>
      <c r="N778" s="58">
        <v>15143.3</v>
      </c>
      <c r="O778" s="58">
        <v>15850</v>
      </c>
      <c r="P778" s="58" t="s">
        <v>26</v>
      </c>
      <c r="Q778" s="58">
        <v>775</v>
      </c>
      <c r="R778" s="58">
        <v>193</v>
      </c>
      <c r="S778" s="58">
        <v>33.161512027491412</v>
      </c>
      <c r="T778" s="58">
        <v>531</v>
      </c>
      <c r="U778" s="58">
        <v>18.16</v>
      </c>
      <c r="V778" s="58">
        <v>36.1</v>
      </c>
      <c r="W778" s="58">
        <v>-5.8999999999999986</v>
      </c>
      <c r="X778" s="58">
        <v>-14.047619047619046</v>
      </c>
      <c r="Y778" s="58">
        <v>65325</v>
      </c>
      <c r="Z778" s="58">
        <v>25125</v>
      </c>
      <c r="AA778" s="58">
        <v>15143.3</v>
      </c>
      <c r="AE778" s="57"/>
    </row>
    <row r="779" spans="1:31" x14ac:dyDescent="0.35">
      <c r="A779" s="56" t="s">
        <v>844</v>
      </c>
      <c r="B779" s="58">
        <v>15850</v>
      </c>
      <c r="C779" s="58" t="s">
        <v>2071</v>
      </c>
      <c r="D779" s="58">
        <v>0</v>
      </c>
      <c r="E779" s="58">
        <v>0</v>
      </c>
      <c r="F779" s="58">
        <v>0</v>
      </c>
      <c r="G779" s="58">
        <v>0</v>
      </c>
      <c r="H779" s="58">
        <v>0</v>
      </c>
      <c r="I779" s="58">
        <v>0</v>
      </c>
      <c r="J779" s="58">
        <v>0</v>
      </c>
      <c r="K779" s="58">
        <v>0</v>
      </c>
      <c r="L779" s="58">
        <v>0</v>
      </c>
      <c r="M779" s="58">
        <v>4875</v>
      </c>
      <c r="N779" s="58">
        <v>15143.3</v>
      </c>
      <c r="O779" s="58">
        <v>15850</v>
      </c>
      <c r="P779" s="58" t="s">
        <v>2071</v>
      </c>
      <c r="Q779" s="58">
        <v>0</v>
      </c>
      <c r="R779" s="58">
        <v>0</v>
      </c>
      <c r="S779" s="58">
        <v>0</v>
      </c>
      <c r="T779" s="58">
        <v>0</v>
      </c>
      <c r="U779" s="58">
        <v>0</v>
      </c>
      <c r="V779" s="58">
        <v>0</v>
      </c>
      <c r="W779" s="58">
        <v>0</v>
      </c>
      <c r="X779" s="58">
        <v>0</v>
      </c>
      <c r="Y779" s="58">
        <v>2775</v>
      </c>
      <c r="Z779" s="58">
        <v>4875</v>
      </c>
      <c r="AA779" s="58">
        <v>15139.55</v>
      </c>
      <c r="AE779" s="57"/>
    </row>
    <row r="780" spans="1:31" x14ac:dyDescent="0.35">
      <c r="A780" s="56" t="s">
        <v>845</v>
      </c>
      <c r="B780" s="58">
        <v>15850</v>
      </c>
      <c r="C780" s="58" t="s">
        <v>2073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4875</v>
      </c>
      <c r="N780" s="58">
        <v>15139.55</v>
      </c>
      <c r="O780" s="58">
        <v>15850</v>
      </c>
      <c r="P780" s="58" t="s">
        <v>2073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2775</v>
      </c>
      <c r="Z780" s="58">
        <v>4875</v>
      </c>
      <c r="AA780" s="58">
        <v>15139.55</v>
      </c>
      <c r="AE780" s="57"/>
    </row>
    <row r="781" spans="1:31" x14ac:dyDescent="0.35">
      <c r="A781" s="56" t="s">
        <v>846</v>
      </c>
      <c r="B781" s="58">
        <v>15850</v>
      </c>
      <c r="C781" s="58" t="s">
        <v>2074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15139.55</v>
      </c>
      <c r="O781" s="58">
        <v>15850</v>
      </c>
      <c r="P781" s="58" t="s">
        <v>2074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15143.3</v>
      </c>
      <c r="AE781" s="57"/>
    </row>
    <row r="782" spans="1:31" x14ac:dyDescent="0.35">
      <c r="A782" s="56" t="s">
        <v>847</v>
      </c>
      <c r="B782" s="58">
        <v>15850</v>
      </c>
      <c r="C782" s="58" t="s">
        <v>2068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4200</v>
      </c>
      <c r="M782" s="58">
        <v>8250</v>
      </c>
      <c r="N782" s="58">
        <v>15139.55</v>
      </c>
      <c r="O782" s="58">
        <v>15850</v>
      </c>
      <c r="P782" s="58" t="s">
        <v>2068</v>
      </c>
      <c r="Q782" s="58">
        <v>0</v>
      </c>
      <c r="R782" s="58">
        <v>0</v>
      </c>
      <c r="S782" s="58">
        <v>0</v>
      </c>
      <c r="T782" s="58">
        <v>1</v>
      </c>
      <c r="U782" s="58">
        <v>16.57</v>
      </c>
      <c r="V782" s="58">
        <v>178.5</v>
      </c>
      <c r="W782" s="58">
        <v>-246.4</v>
      </c>
      <c r="X782" s="58">
        <v>-57.990115321252055</v>
      </c>
      <c r="Y782" s="58">
        <v>7275</v>
      </c>
      <c r="Z782" s="58">
        <v>4950</v>
      </c>
      <c r="AA782" s="58">
        <v>15139.55</v>
      </c>
      <c r="AE782" s="57"/>
    </row>
    <row r="783" spans="1:31" x14ac:dyDescent="0.35">
      <c r="A783" s="56" t="s">
        <v>848</v>
      </c>
      <c r="B783" s="58">
        <v>15850</v>
      </c>
      <c r="C783" s="58" t="s">
        <v>2076</v>
      </c>
      <c r="D783" s="58">
        <v>0</v>
      </c>
      <c r="E783" s="58">
        <v>0</v>
      </c>
      <c r="F783" s="58">
        <v>0</v>
      </c>
      <c r="G783" s="58">
        <v>0</v>
      </c>
      <c r="H783" s="58">
        <v>0</v>
      </c>
      <c r="I783" s="58">
        <v>0</v>
      </c>
      <c r="J783" s="58">
        <v>0</v>
      </c>
      <c r="K783" s="58">
        <v>0</v>
      </c>
      <c r="L783" s="58">
        <v>0</v>
      </c>
      <c r="M783" s="58">
        <v>4875</v>
      </c>
      <c r="N783" s="58">
        <v>15139.55</v>
      </c>
      <c r="O783" s="58">
        <v>15850</v>
      </c>
      <c r="P783" s="58" t="s">
        <v>2076</v>
      </c>
      <c r="Q783" s="58">
        <v>0</v>
      </c>
      <c r="R783" s="58">
        <v>0</v>
      </c>
      <c r="S783" s="58">
        <v>0</v>
      </c>
      <c r="T783" s="58">
        <v>0</v>
      </c>
      <c r="U783" s="58">
        <v>0</v>
      </c>
      <c r="V783" s="58">
        <v>0</v>
      </c>
      <c r="W783" s="58">
        <v>0</v>
      </c>
      <c r="X783" s="58">
        <v>0</v>
      </c>
      <c r="Y783" s="58">
        <v>0</v>
      </c>
      <c r="Z783" s="58">
        <v>4875</v>
      </c>
      <c r="AA783" s="58">
        <v>15139.55</v>
      </c>
      <c r="AE783" s="57"/>
    </row>
    <row r="784" spans="1:31" x14ac:dyDescent="0.35">
      <c r="A784" s="56" t="s">
        <v>849</v>
      </c>
      <c r="B784" s="58">
        <v>15850</v>
      </c>
      <c r="C784" s="58" t="s">
        <v>2075</v>
      </c>
      <c r="D784" s="58">
        <v>0</v>
      </c>
      <c r="E784" s="58">
        <v>0</v>
      </c>
      <c r="F784" s="58">
        <v>0</v>
      </c>
      <c r="G784" s="58">
        <v>0</v>
      </c>
      <c r="H784" s="58">
        <v>0</v>
      </c>
      <c r="I784" s="58">
        <v>0</v>
      </c>
      <c r="J784" s="58">
        <v>0</v>
      </c>
      <c r="K784" s="58">
        <v>0</v>
      </c>
      <c r="L784" s="58">
        <v>0</v>
      </c>
      <c r="M784" s="58">
        <v>5025</v>
      </c>
      <c r="N784" s="58">
        <v>15139.55</v>
      </c>
      <c r="O784" s="58">
        <v>15850</v>
      </c>
      <c r="P784" s="58" t="s">
        <v>2075</v>
      </c>
      <c r="Q784" s="58">
        <v>0</v>
      </c>
      <c r="R784" s="58">
        <v>0</v>
      </c>
      <c r="S784" s="58">
        <v>0</v>
      </c>
      <c r="T784" s="58">
        <v>0</v>
      </c>
      <c r="U784" s="58">
        <v>0</v>
      </c>
      <c r="V784" s="58">
        <v>0</v>
      </c>
      <c r="W784" s="58">
        <v>0</v>
      </c>
      <c r="X784" s="58">
        <v>0</v>
      </c>
      <c r="Y784" s="58">
        <v>0</v>
      </c>
      <c r="Z784" s="58">
        <v>9900</v>
      </c>
      <c r="AA784" s="58">
        <v>15143.3</v>
      </c>
      <c r="AE784" s="57"/>
    </row>
    <row r="785" spans="1:31" x14ac:dyDescent="0.35">
      <c r="A785" s="56" t="s">
        <v>850</v>
      </c>
      <c r="B785" s="58">
        <v>15850</v>
      </c>
      <c r="C785" s="58" t="s">
        <v>34</v>
      </c>
      <c r="D785" s="58">
        <v>0</v>
      </c>
      <c r="E785" s="58">
        <v>0</v>
      </c>
      <c r="F785" s="58">
        <v>0</v>
      </c>
      <c r="G785" s="58">
        <v>0</v>
      </c>
      <c r="H785" s="58">
        <v>0</v>
      </c>
      <c r="I785" s="58">
        <v>0</v>
      </c>
      <c r="J785" s="58">
        <v>0</v>
      </c>
      <c r="K785" s="58">
        <v>0</v>
      </c>
      <c r="L785" s="58">
        <v>21225</v>
      </c>
      <c r="M785" s="58">
        <v>10275</v>
      </c>
      <c r="N785" s="58">
        <v>15143.3</v>
      </c>
      <c r="O785" s="58">
        <v>15850</v>
      </c>
      <c r="P785" s="58" t="s">
        <v>34</v>
      </c>
      <c r="Q785" s="58">
        <v>970</v>
      </c>
      <c r="R785" s="58">
        <v>663</v>
      </c>
      <c r="S785" s="58">
        <v>215.96091205211729</v>
      </c>
      <c r="T785" s="58">
        <v>1956</v>
      </c>
      <c r="U785" s="58">
        <v>17.82</v>
      </c>
      <c r="V785" s="58">
        <v>8.85</v>
      </c>
      <c r="W785" s="58">
        <v>-1.0500000000000007</v>
      </c>
      <c r="X785" s="58">
        <v>-10.606060606060613</v>
      </c>
      <c r="Y785" s="58">
        <v>88500</v>
      </c>
      <c r="Z785" s="58">
        <v>46575</v>
      </c>
      <c r="AA785" s="58">
        <v>15139.55</v>
      </c>
      <c r="AE785" s="57"/>
    </row>
    <row r="786" spans="1:31" x14ac:dyDescent="0.35">
      <c r="A786" s="56" t="s">
        <v>851</v>
      </c>
      <c r="B786" s="58">
        <v>15850</v>
      </c>
      <c r="C786" s="58" t="s">
        <v>64</v>
      </c>
      <c r="D786" s="58">
        <v>0</v>
      </c>
      <c r="E786" s="58">
        <v>0</v>
      </c>
      <c r="F786" s="58">
        <v>0</v>
      </c>
      <c r="G786" s="58">
        <v>0</v>
      </c>
      <c r="H786" s="58">
        <v>0</v>
      </c>
      <c r="I786" s="58">
        <v>0</v>
      </c>
      <c r="J786" s="58">
        <v>0</v>
      </c>
      <c r="K786" s="58">
        <v>0</v>
      </c>
      <c r="L786" s="58">
        <v>4875</v>
      </c>
      <c r="M786" s="58">
        <v>4875</v>
      </c>
      <c r="N786" s="58">
        <v>15139.55</v>
      </c>
      <c r="O786" s="58">
        <v>15850</v>
      </c>
      <c r="P786" s="58" t="s">
        <v>64</v>
      </c>
      <c r="Q786" s="58">
        <v>0</v>
      </c>
      <c r="R786" s="58">
        <v>0</v>
      </c>
      <c r="S786" s="58">
        <v>0</v>
      </c>
      <c r="T786" s="58">
        <v>0</v>
      </c>
      <c r="U786" s="58">
        <v>0</v>
      </c>
      <c r="V786" s="58">
        <v>0</v>
      </c>
      <c r="W786" s="58">
        <v>0</v>
      </c>
      <c r="X786" s="58">
        <v>0</v>
      </c>
      <c r="Y786" s="58">
        <v>5775</v>
      </c>
      <c r="Z786" s="58">
        <v>75</v>
      </c>
      <c r="AA786" s="58">
        <v>15143.3</v>
      </c>
      <c r="AE786" s="57"/>
    </row>
    <row r="787" spans="1:31" x14ac:dyDescent="0.35">
      <c r="A787" s="56" t="s">
        <v>852</v>
      </c>
      <c r="B787" s="58">
        <v>15850</v>
      </c>
      <c r="C787" s="58" t="s">
        <v>33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22725</v>
      </c>
      <c r="M787" s="58">
        <v>17925</v>
      </c>
      <c r="N787" s="58">
        <v>15139.55</v>
      </c>
      <c r="O787" s="58">
        <v>15850</v>
      </c>
      <c r="P787" s="58" t="s">
        <v>33</v>
      </c>
      <c r="Q787" s="58">
        <v>1213</v>
      </c>
      <c r="R787" s="58">
        <v>-156</v>
      </c>
      <c r="S787" s="58">
        <v>-11.395178962746533</v>
      </c>
      <c r="T787" s="58">
        <v>1736</v>
      </c>
      <c r="U787" s="58">
        <v>33.67</v>
      </c>
      <c r="V787" s="58">
        <v>0.45</v>
      </c>
      <c r="W787" s="58">
        <v>-0.8</v>
      </c>
      <c r="X787" s="58">
        <v>-64</v>
      </c>
      <c r="Y787" s="58">
        <v>160350</v>
      </c>
      <c r="Z787" s="58">
        <v>36600</v>
      </c>
      <c r="AA787" s="58">
        <v>15143.3</v>
      </c>
      <c r="AE787" s="57"/>
    </row>
    <row r="788" spans="1:31" x14ac:dyDescent="0.35">
      <c r="A788" s="56" t="s">
        <v>853</v>
      </c>
      <c r="B788" s="58">
        <v>15900</v>
      </c>
      <c r="C788" s="58" t="s">
        <v>26</v>
      </c>
      <c r="D788" s="58">
        <v>102</v>
      </c>
      <c r="E788" s="58">
        <v>-1</v>
      </c>
      <c r="F788" s="58">
        <v>-0.970873786407767</v>
      </c>
      <c r="G788" s="58">
        <v>11</v>
      </c>
      <c r="H788" s="58">
        <v>22.09</v>
      </c>
      <c r="I788" s="58">
        <v>755.7</v>
      </c>
      <c r="J788" s="58">
        <v>-29.25</v>
      </c>
      <c r="K788" s="58">
        <v>-3.7263519969424799</v>
      </c>
      <c r="L788" s="58">
        <v>26100</v>
      </c>
      <c r="M788" s="58">
        <v>15900</v>
      </c>
      <c r="N788" s="58">
        <v>15139.55</v>
      </c>
      <c r="O788" s="58">
        <v>15900</v>
      </c>
      <c r="P788" s="58" t="s">
        <v>26</v>
      </c>
      <c r="Q788" s="58">
        <v>6222</v>
      </c>
      <c r="R788" s="58">
        <v>-321</v>
      </c>
      <c r="S788" s="58">
        <v>-4.9060064190738197</v>
      </c>
      <c r="T788" s="58">
        <v>5228</v>
      </c>
      <c r="U788" s="58">
        <v>18.14</v>
      </c>
      <c r="V788" s="58">
        <v>30.5</v>
      </c>
      <c r="W788" s="58">
        <v>-5</v>
      </c>
      <c r="X788" s="58">
        <v>-14.084507042253522</v>
      </c>
      <c r="Y788" s="58">
        <v>103875</v>
      </c>
      <c r="Z788" s="58">
        <v>47850</v>
      </c>
      <c r="AA788" s="58">
        <v>15143.3</v>
      </c>
      <c r="AE788" s="57"/>
    </row>
    <row r="789" spans="1:31" x14ac:dyDescent="0.35">
      <c r="A789" s="56" t="s">
        <v>854</v>
      </c>
      <c r="B789" s="58">
        <v>15900</v>
      </c>
      <c r="C789" s="58" t="s">
        <v>64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4875</v>
      </c>
      <c r="M789" s="58">
        <v>4875</v>
      </c>
      <c r="N789" s="58">
        <v>15139.55</v>
      </c>
      <c r="O789" s="58">
        <v>15900</v>
      </c>
      <c r="P789" s="58" t="s">
        <v>64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9900</v>
      </c>
      <c r="Z789" s="58">
        <v>5775</v>
      </c>
      <c r="AA789" s="58">
        <v>15143.3</v>
      </c>
      <c r="AE789" s="57"/>
    </row>
    <row r="790" spans="1:31" x14ac:dyDescent="0.35">
      <c r="A790" s="56" t="s">
        <v>855</v>
      </c>
      <c r="B790" s="58">
        <v>15900</v>
      </c>
      <c r="C790" s="58" t="s">
        <v>2071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4875</v>
      </c>
      <c r="M790" s="58">
        <v>4875</v>
      </c>
      <c r="N790" s="58">
        <v>15139.55</v>
      </c>
      <c r="O790" s="58">
        <v>15900</v>
      </c>
      <c r="P790" s="58" t="s">
        <v>2071</v>
      </c>
      <c r="Q790" s="58">
        <v>0</v>
      </c>
      <c r="R790" s="58">
        <v>0</v>
      </c>
      <c r="S790" s="58">
        <v>0</v>
      </c>
      <c r="T790" s="58">
        <v>0</v>
      </c>
      <c r="U790" s="58">
        <v>0</v>
      </c>
      <c r="V790" s="58">
        <v>0</v>
      </c>
      <c r="W790" s="58">
        <v>0</v>
      </c>
      <c r="X790" s="58">
        <v>0</v>
      </c>
      <c r="Y790" s="58">
        <v>3075</v>
      </c>
      <c r="Z790" s="58">
        <v>4950</v>
      </c>
      <c r="AA790" s="58">
        <v>15143.3</v>
      </c>
      <c r="AE790" s="57"/>
    </row>
    <row r="791" spans="1:31" x14ac:dyDescent="0.35">
      <c r="A791" s="56" t="s">
        <v>856</v>
      </c>
      <c r="B791" s="58">
        <v>15900</v>
      </c>
      <c r="C791" s="58" t="s">
        <v>2073</v>
      </c>
      <c r="D791" s="58">
        <v>0</v>
      </c>
      <c r="E791" s="58">
        <v>0</v>
      </c>
      <c r="F791" s="58">
        <v>0</v>
      </c>
      <c r="G791" s="58">
        <v>0</v>
      </c>
      <c r="H791" s="58">
        <v>0</v>
      </c>
      <c r="I791" s="58">
        <v>0</v>
      </c>
      <c r="J791" s="58">
        <v>0</v>
      </c>
      <c r="K791" s="58">
        <v>0</v>
      </c>
      <c r="L791" s="58">
        <v>0</v>
      </c>
      <c r="M791" s="58">
        <v>4875</v>
      </c>
      <c r="N791" s="58">
        <v>15139.55</v>
      </c>
      <c r="O791" s="58">
        <v>15900</v>
      </c>
      <c r="P791" s="58" t="s">
        <v>2073</v>
      </c>
      <c r="Q791" s="58">
        <v>0</v>
      </c>
      <c r="R791" s="58">
        <v>0</v>
      </c>
      <c r="S791" s="58">
        <v>0</v>
      </c>
      <c r="T791" s="58">
        <v>0</v>
      </c>
      <c r="U791" s="58">
        <v>0</v>
      </c>
      <c r="V791" s="58">
        <v>0</v>
      </c>
      <c r="W791" s="58">
        <v>0</v>
      </c>
      <c r="X791" s="58">
        <v>0</v>
      </c>
      <c r="Y791" s="58">
        <v>2775</v>
      </c>
      <c r="Z791" s="58">
        <v>4875</v>
      </c>
      <c r="AA791" s="58">
        <v>15139.55</v>
      </c>
      <c r="AE791" s="57"/>
    </row>
    <row r="792" spans="1:31" x14ac:dyDescent="0.35">
      <c r="A792" s="56" t="s">
        <v>857</v>
      </c>
      <c r="B792" s="58">
        <v>15900</v>
      </c>
      <c r="C792" s="58" t="s">
        <v>2074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15139.55</v>
      </c>
      <c r="O792" s="58">
        <v>0</v>
      </c>
      <c r="P792" s="58">
        <v>0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0</v>
      </c>
      <c r="AA792" s="58">
        <v>0</v>
      </c>
      <c r="AE792" s="57"/>
    </row>
    <row r="793" spans="1:31" x14ac:dyDescent="0.35">
      <c r="A793" s="56" t="s">
        <v>858</v>
      </c>
      <c r="B793" s="58">
        <v>15900</v>
      </c>
      <c r="C793" s="58" t="s">
        <v>33</v>
      </c>
      <c r="D793" s="58">
        <v>3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39075</v>
      </c>
      <c r="M793" s="58">
        <v>18225</v>
      </c>
      <c r="N793" s="58">
        <v>15143.3</v>
      </c>
      <c r="O793" s="58">
        <v>15900</v>
      </c>
      <c r="P793" s="58" t="s">
        <v>33</v>
      </c>
      <c r="Q793" s="58">
        <v>6943</v>
      </c>
      <c r="R793" s="58">
        <v>-824</v>
      </c>
      <c r="S793" s="58">
        <v>-10.608986738766577</v>
      </c>
      <c r="T793" s="58">
        <v>11849</v>
      </c>
      <c r="U793" s="58">
        <v>36.18</v>
      </c>
      <c r="V793" s="58">
        <v>0.5</v>
      </c>
      <c r="W793" s="58">
        <v>-0.7</v>
      </c>
      <c r="X793" s="58">
        <v>-58.333333333333336</v>
      </c>
      <c r="Y793" s="58">
        <v>1019400</v>
      </c>
      <c r="Z793" s="58">
        <v>82500</v>
      </c>
      <c r="AA793" s="58">
        <v>15143.3</v>
      </c>
      <c r="AE793" s="57"/>
    </row>
    <row r="794" spans="1:31" x14ac:dyDescent="0.35">
      <c r="A794" s="56" t="s">
        <v>859</v>
      </c>
      <c r="B794" s="58">
        <v>15900</v>
      </c>
      <c r="C794" s="58" t="s">
        <v>2076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4875</v>
      </c>
      <c r="N794" s="58">
        <v>15139.55</v>
      </c>
      <c r="O794" s="58">
        <v>15900</v>
      </c>
      <c r="P794" s="58" t="s">
        <v>2076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0</v>
      </c>
      <c r="AA794" s="58">
        <v>15143.3</v>
      </c>
      <c r="AE794" s="57"/>
    </row>
    <row r="795" spans="1:31" x14ac:dyDescent="0.35">
      <c r="A795" s="56" t="s">
        <v>860</v>
      </c>
      <c r="B795" s="58">
        <v>15900</v>
      </c>
      <c r="C795" s="58" t="s">
        <v>2075</v>
      </c>
      <c r="D795" s="58">
        <v>0</v>
      </c>
      <c r="E795" s="58">
        <v>0</v>
      </c>
      <c r="F795" s="58">
        <v>0</v>
      </c>
      <c r="G795" s="58">
        <v>0</v>
      </c>
      <c r="H795" s="58">
        <v>0</v>
      </c>
      <c r="I795" s="58">
        <v>0</v>
      </c>
      <c r="J795" s="58">
        <v>0</v>
      </c>
      <c r="K795" s="58">
        <v>0</v>
      </c>
      <c r="L795" s="58">
        <v>0</v>
      </c>
      <c r="M795" s="58">
        <v>5025</v>
      </c>
      <c r="N795" s="58">
        <v>15139.55</v>
      </c>
      <c r="O795" s="58">
        <v>15900</v>
      </c>
      <c r="P795" s="58" t="s">
        <v>2075</v>
      </c>
      <c r="Q795" s="58">
        <v>0</v>
      </c>
      <c r="R795" s="58">
        <v>0</v>
      </c>
      <c r="S795" s="58">
        <v>0</v>
      </c>
      <c r="T795" s="58">
        <v>0</v>
      </c>
      <c r="U795" s="58">
        <v>0</v>
      </c>
      <c r="V795" s="58">
        <v>0</v>
      </c>
      <c r="W795" s="58">
        <v>0</v>
      </c>
      <c r="X795" s="58">
        <v>0</v>
      </c>
      <c r="Y795" s="58">
        <v>3300</v>
      </c>
      <c r="Z795" s="58">
        <v>9975</v>
      </c>
      <c r="AA795" s="58">
        <v>15143.3</v>
      </c>
      <c r="AE795" s="57"/>
    </row>
    <row r="796" spans="1:31" x14ac:dyDescent="0.35">
      <c r="A796" s="56" t="s">
        <v>861</v>
      </c>
      <c r="B796" s="58">
        <v>15900</v>
      </c>
      <c r="C796" s="58" t="s">
        <v>34</v>
      </c>
      <c r="D796" s="58">
        <v>1</v>
      </c>
      <c r="E796" s="58">
        <v>0</v>
      </c>
      <c r="F796" s="58">
        <v>0</v>
      </c>
      <c r="G796" s="58">
        <v>4</v>
      </c>
      <c r="H796" s="58">
        <v>22.78</v>
      </c>
      <c r="I796" s="58">
        <v>748.55</v>
      </c>
      <c r="J796" s="58">
        <v>-190.85</v>
      </c>
      <c r="K796" s="58">
        <v>-20.316159250585478</v>
      </c>
      <c r="L796" s="58">
        <v>13350</v>
      </c>
      <c r="M796" s="58">
        <v>8550</v>
      </c>
      <c r="N796" s="58">
        <v>15139.55</v>
      </c>
      <c r="O796" s="58">
        <v>15900</v>
      </c>
      <c r="P796" s="58" t="s">
        <v>34</v>
      </c>
      <c r="Q796" s="58">
        <v>4729</v>
      </c>
      <c r="R796" s="58">
        <v>1711</v>
      </c>
      <c r="S796" s="58">
        <v>56.69317428760769</v>
      </c>
      <c r="T796" s="58">
        <v>8228</v>
      </c>
      <c r="U796" s="58">
        <v>18.09</v>
      </c>
      <c r="V796" s="58">
        <v>7.25</v>
      </c>
      <c r="W796" s="58">
        <v>-0.90000000000000036</v>
      </c>
      <c r="X796" s="58">
        <v>-11.042944785276076</v>
      </c>
      <c r="Y796" s="58">
        <v>157725</v>
      </c>
      <c r="Z796" s="58">
        <v>55350</v>
      </c>
      <c r="AA796" s="58">
        <v>15139.55</v>
      </c>
      <c r="AE796" s="57"/>
    </row>
    <row r="797" spans="1:31" x14ac:dyDescent="0.35">
      <c r="A797" s="56" t="s">
        <v>862</v>
      </c>
      <c r="B797" s="58">
        <v>15900</v>
      </c>
      <c r="C797" s="58" t="s">
        <v>2068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8700</v>
      </c>
      <c r="M797" s="58">
        <v>13575</v>
      </c>
      <c r="N797" s="58">
        <v>15139.55</v>
      </c>
      <c r="O797" s="58">
        <v>15900</v>
      </c>
      <c r="P797" s="58" t="s">
        <v>2068</v>
      </c>
      <c r="Q797" s="58">
        <v>1280</v>
      </c>
      <c r="R797" s="58">
        <v>272</v>
      </c>
      <c r="S797" s="58">
        <v>26.984126984126984</v>
      </c>
      <c r="T797" s="58">
        <v>526</v>
      </c>
      <c r="U797" s="58">
        <v>16.41</v>
      </c>
      <c r="V797" s="58">
        <v>162</v>
      </c>
      <c r="W797" s="58">
        <v>-9.1500000000000057</v>
      </c>
      <c r="X797" s="58">
        <v>-5.346187554776515</v>
      </c>
      <c r="Y797" s="58">
        <v>14625</v>
      </c>
      <c r="Z797" s="58">
        <v>12300</v>
      </c>
      <c r="AA797" s="58">
        <v>15143.3</v>
      </c>
      <c r="AE797" s="57"/>
    </row>
    <row r="798" spans="1:31" x14ac:dyDescent="0.35">
      <c r="A798" s="56" t="s">
        <v>863</v>
      </c>
      <c r="B798" s="58">
        <v>15950</v>
      </c>
      <c r="C798" s="58" t="s">
        <v>34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16725</v>
      </c>
      <c r="M798" s="58">
        <v>10275</v>
      </c>
      <c r="N798" s="58">
        <v>15139.55</v>
      </c>
      <c r="O798" s="58">
        <v>15950</v>
      </c>
      <c r="P798" s="58" t="s">
        <v>34</v>
      </c>
      <c r="Q798" s="58">
        <v>182</v>
      </c>
      <c r="R798" s="58">
        <v>71</v>
      </c>
      <c r="S798" s="58">
        <v>63.963963963963963</v>
      </c>
      <c r="T798" s="58">
        <v>736</v>
      </c>
      <c r="U798" s="58">
        <v>18.510000000000002</v>
      </c>
      <c r="V798" s="58">
        <v>6.1</v>
      </c>
      <c r="W798" s="58">
        <v>-1.1000000000000003</v>
      </c>
      <c r="X798" s="58">
        <v>-15.277777777777784</v>
      </c>
      <c r="Y798" s="58">
        <v>89325</v>
      </c>
      <c r="Z798" s="58">
        <v>45675</v>
      </c>
      <c r="AA798" s="58">
        <v>15139.55</v>
      </c>
      <c r="AE798" s="57"/>
    </row>
    <row r="799" spans="1:31" x14ac:dyDescent="0.35">
      <c r="A799" s="56" t="s">
        <v>864</v>
      </c>
      <c r="B799" s="58">
        <v>15950</v>
      </c>
      <c r="C799" s="58" t="s">
        <v>64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4875</v>
      </c>
      <c r="M799" s="58">
        <v>4875</v>
      </c>
      <c r="N799" s="58">
        <v>15143.3</v>
      </c>
      <c r="O799" s="58">
        <v>15950</v>
      </c>
      <c r="P799" s="58" t="s">
        <v>64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6075</v>
      </c>
      <c r="Z799" s="58">
        <v>5025</v>
      </c>
      <c r="AA799" s="58">
        <v>15139.55</v>
      </c>
      <c r="AE799" s="57"/>
    </row>
    <row r="800" spans="1:31" x14ac:dyDescent="0.35">
      <c r="A800" s="56" t="s">
        <v>865</v>
      </c>
      <c r="B800" s="58">
        <v>15950</v>
      </c>
      <c r="C800" s="58" t="s">
        <v>2071</v>
      </c>
      <c r="D800" s="58">
        <v>0</v>
      </c>
      <c r="E800" s="58">
        <v>0</v>
      </c>
      <c r="F800" s="58">
        <v>0</v>
      </c>
      <c r="G800" s="58">
        <v>0</v>
      </c>
      <c r="H800" s="58">
        <v>0</v>
      </c>
      <c r="I800" s="58">
        <v>0</v>
      </c>
      <c r="J800" s="58">
        <v>0</v>
      </c>
      <c r="K800" s="58">
        <v>0</v>
      </c>
      <c r="L800" s="58">
        <v>4875</v>
      </c>
      <c r="M800" s="58">
        <v>4875</v>
      </c>
      <c r="N800" s="58">
        <v>15139.55</v>
      </c>
      <c r="O800" s="58">
        <v>15950</v>
      </c>
      <c r="P800" s="58" t="s">
        <v>2071</v>
      </c>
      <c r="Q800" s="58">
        <v>0</v>
      </c>
      <c r="R800" s="58">
        <v>0</v>
      </c>
      <c r="S800" s="58">
        <v>0</v>
      </c>
      <c r="T800" s="58">
        <v>0</v>
      </c>
      <c r="U800" s="58">
        <v>0</v>
      </c>
      <c r="V800" s="58">
        <v>0</v>
      </c>
      <c r="W800" s="58">
        <v>0</v>
      </c>
      <c r="X800" s="58">
        <v>0</v>
      </c>
      <c r="Y800" s="58">
        <v>2775</v>
      </c>
      <c r="Z800" s="58">
        <v>4875</v>
      </c>
      <c r="AA800" s="58">
        <v>15139.55</v>
      </c>
      <c r="AE800" s="57"/>
    </row>
    <row r="801" spans="1:31" x14ac:dyDescent="0.35">
      <c r="A801" s="56" t="s">
        <v>866</v>
      </c>
      <c r="B801" s="58">
        <v>15950</v>
      </c>
      <c r="C801" s="58" t="s">
        <v>2073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4875</v>
      </c>
      <c r="M801" s="58">
        <v>4875</v>
      </c>
      <c r="N801" s="58">
        <v>15139.55</v>
      </c>
      <c r="O801" s="58">
        <v>15950</v>
      </c>
      <c r="P801" s="58" t="s">
        <v>2073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2775</v>
      </c>
      <c r="Z801" s="58">
        <v>4875</v>
      </c>
      <c r="AA801" s="58">
        <v>15139.55</v>
      </c>
      <c r="AE801" s="57"/>
    </row>
    <row r="802" spans="1:31" x14ac:dyDescent="0.35">
      <c r="A802" s="56" t="s">
        <v>867</v>
      </c>
      <c r="B802" s="58">
        <v>15950</v>
      </c>
      <c r="C802" s="58" t="s">
        <v>26</v>
      </c>
      <c r="D802" s="58">
        <v>4</v>
      </c>
      <c r="E802" s="58">
        <v>0</v>
      </c>
      <c r="F802" s="58">
        <v>0</v>
      </c>
      <c r="G802" s="58">
        <v>1</v>
      </c>
      <c r="H802" s="58">
        <v>17.39</v>
      </c>
      <c r="I802" s="58">
        <v>770</v>
      </c>
      <c r="J802" s="58">
        <v>-223.79999999999995</v>
      </c>
      <c r="K802" s="58">
        <v>-22.519621654256387</v>
      </c>
      <c r="L802" s="58">
        <v>15825</v>
      </c>
      <c r="M802" s="58">
        <v>19800</v>
      </c>
      <c r="N802" s="58">
        <v>15139.55</v>
      </c>
      <c r="O802" s="58">
        <v>15950</v>
      </c>
      <c r="P802" s="58" t="s">
        <v>26</v>
      </c>
      <c r="Q802" s="58">
        <v>462</v>
      </c>
      <c r="R802" s="58">
        <v>3</v>
      </c>
      <c r="S802" s="58">
        <v>0.65359477124183007</v>
      </c>
      <c r="T802" s="58">
        <v>291</v>
      </c>
      <c r="U802" s="58">
        <v>18.260000000000002</v>
      </c>
      <c r="V802" s="58">
        <v>25.7</v>
      </c>
      <c r="W802" s="58">
        <v>-4.4000000000000021</v>
      </c>
      <c r="X802" s="58">
        <v>-14.617940199335557</v>
      </c>
      <c r="Y802" s="58">
        <v>93075</v>
      </c>
      <c r="Z802" s="58">
        <v>25500</v>
      </c>
      <c r="AA802" s="58">
        <v>15139.55</v>
      </c>
      <c r="AE802" s="57"/>
    </row>
    <row r="803" spans="1:31" x14ac:dyDescent="0.35">
      <c r="A803" s="56" t="s">
        <v>868</v>
      </c>
      <c r="B803" s="58">
        <v>15950</v>
      </c>
      <c r="C803" s="58" t="s">
        <v>2068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9000</v>
      </c>
      <c r="M803" s="58">
        <v>4875</v>
      </c>
      <c r="N803" s="58">
        <v>15139.55</v>
      </c>
      <c r="O803" s="58">
        <v>15950</v>
      </c>
      <c r="P803" s="58" t="s">
        <v>2068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5250</v>
      </c>
      <c r="Z803" s="58">
        <v>0</v>
      </c>
      <c r="AA803" s="58">
        <v>15143.3</v>
      </c>
      <c r="AE803" s="57"/>
    </row>
    <row r="804" spans="1:31" x14ac:dyDescent="0.35">
      <c r="A804" s="56" t="s">
        <v>869</v>
      </c>
      <c r="B804" s="58">
        <v>15950</v>
      </c>
      <c r="C804" s="58" t="s">
        <v>2076</v>
      </c>
      <c r="D804" s="58">
        <v>0</v>
      </c>
      <c r="E804" s="58">
        <v>0</v>
      </c>
      <c r="F804" s="58">
        <v>0</v>
      </c>
      <c r="G804" s="58">
        <v>0</v>
      </c>
      <c r="H804" s="58">
        <v>0</v>
      </c>
      <c r="I804" s="58">
        <v>0</v>
      </c>
      <c r="J804" s="58">
        <v>0</v>
      </c>
      <c r="K804" s="58">
        <v>0</v>
      </c>
      <c r="L804" s="58">
        <v>0</v>
      </c>
      <c r="M804" s="58">
        <v>4875</v>
      </c>
      <c r="N804" s="58">
        <v>15139.55</v>
      </c>
      <c r="O804" s="58">
        <v>15950</v>
      </c>
      <c r="P804" s="58" t="s">
        <v>2076</v>
      </c>
      <c r="Q804" s="58">
        <v>0</v>
      </c>
      <c r="R804" s="58">
        <v>0</v>
      </c>
      <c r="S804" s="58">
        <v>0</v>
      </c>
      <c r="T804" s="58">
        <v>0</v>
      </c>
      <c r="U804" s="58">
        <v>0</v>
      </c>
      <c r="V804" s="58">
        <v>0</v>
      </c>
      <c r="W804" s="58">
        <v>0</v>
      </c>
      <c r="X804" s="58">
        <v>0</v>
      </c>
      <c r="Y804" s="58">
        <v>0</v>
      </c>
      <c r="Z804" s="58">
        <v>4875</v>
      </c>
      <c r="AA804" s="58">
        <v>15139.55</v>
      </c>
      <c r="AE804" s="57"/>
    </row>
    <row r="805" spans="1:31" x14ac:dyDescent="0.35">
      <c r="A805" s="56" t="s">
        <v>870</v>
      </c>
      <c r="B805" s="58">
        <v>15950</v>
      </c>
      <c r="C805" s="58" t="s">
        <v>2075</v>
      </c>
      <c r="D805" s="58">
        <v>0</v>
      </c>
      <c r="E805" s="58">
        <v>0</v>
      </c>
      <c r="F805" s="58">
        <v>0</v>
      </c>
      <c r="G805" s="58">
        <v>0</v>
      </c>
      <c r="H805" s="58">
        <v>0</v>
      </c>
      <c r="I805" s="58">
        <v>0</v>
      </c>
      <c r="J805" s="58">
        <v>0</v>
      </c>
      <c r="K805" s="58">
        <v>0</v>
      </c>
      <c r="L805" s="58">
        <v>0</v>
      </c>
      <c r="M805" s="58">
        <v>5025</v>
      </c>
      <c r="N805" s="58">
        <v>15139.55</v>
      </c>
      <c r="O805" s="58">
        <v>15950</v>
      </c>
      <c r="P805" s="58" t="s">
        <v>2075</v>
      </c>
      <c r="Q805" s="58">
        <v>0</v>
      </c>
      <c r="R805" s="58">
        <v>0</v>
      </c>
      <c r="S805" s="58">
        <v>0</v>
      </c>
      <c r="T805" s="58">
        <v>0</v>
      </c>
      <c r="U805" s="58">
        <v>0</v>
      </c>
      <c r="V805" s="58">
        <v>0</v>
      </c>
      <c r="W805" s="58">
        <v>0</v>
      </c>
      <c r="X805" s="58">
        <v>0</v>
      </c>
      <c r="Y805" s="58">
        <v>0</v>
      </c>
      <c r="Z805" s="58">
        <v>5025</v>
      </c>
      <c r="AA805" s="58">
        <v>15139.55</v>
      </c>
      <c r="AE805" s="57"/>
    </row>
    <row r="806" spans="1:31" x14ac:dyDescent="0.35">
      <c r="A806" s="56" t="s">
        <v>871</v>
      </c>
      <c r="B806" s="58">
        <v>15950</v>
      </c>
      <c r="C806" s="58" t="s">
        <v>33</v>
      </c>
      <c r="D806" s="58">
        <v>2</v>
      </c>
      <c r="E806" s="58">
        <v>0</v>
      </c>
      <c r="F806" s="58">
        <v>0</v>
      </c>
      <c r="G806" s="58">
        <v>1</v>
      </c>
      <c r="H806" s="58">
        <v>0</v>
      </c>
      <c r="I806" s="58">
        <v>770</v>
      </c>
      <c r="J806" s="58">
        <v>-174.29999999999995</v>
      </c>
      <c r="K806" s="58">
        <v>-18.4581171237954</v>
      </c>
      <c r="L806" s="58">
        <v>26775</v>
      </c>
      <c r="M806" s="58">
        <v>20250</v>
      </c>
      <c r="N806" s="58">
        <v>15143.3</v>
      </c>
      <c r="O806" s="58">
        <v>15950</v>
      </c>
      <c r="P806" s="58" t="s">
        <v>33</v>
      </c>
      <c r="Q806" s="58">
        <v>477</v>
      </c>
      <c r="R806" s="58">
        <v>-69</v>
      </c>
      <c r="S806" s="58">
        <v>-12.637362637362637</v>
      </c>
      <c r="T806" s="58">
        <v>1627</v>
      </c>
      <c r="U806" s="58">
        <v>38.24</v>
      </c>
      <c r="V806" s="58">
        <v>0.4</v>
      </c>
      <c r="W806" s="58">
        <v>-0.65</v>
      </c>
      <c r="X806" s="58">
        <v>-61.904761904761905</v>
      </c>
      <c r="Y806" s="58">
        <v>40350</v>
      </c>
      <c r="Z806" s="58">
        <v>47775</v>
      </c>
      <c r="AA806" s="58">
        <v>15143.3</v>
      </c>
      <c r="AE806" s="57"/>
    </row>
    <row r="807" spans="1:31" x14ac:dyDescent="0.35">
      <c r="A807" s="56" t="s">
        <v>872</v>
      </c>
      <c r="B807" s="58">
        <v>15950</v>
      </c>
      <c r="C807" s="58" t="s">
        <v>2074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4875</v>
      </c>
      <c r="M807" s="58">
        <v>4875</v>
      </c>
      <c r="N807" s="58">
        <v>15143.3</v>
      </c>
      <c r="O807" s="58">
        <v>0</v>
      </c>
      <c r="P807" s="58">
        <v>0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0</v>
      </c>
      <c r="Z807" s="58">
        <v>0</v>
      </c>
      <c r="AA807" s="58">
        <v>0</v>
      </c>
      <c r="AE807" s="57"/>
    </row>
    <row r="808" spans="1:31" x14ac:dyDescent="0.35">
      <c r="A808" s="56" t="s">
        <v>873</v>
      </c>
      <c r="B808" s="58">
        <v>16000</v>
      </c>
      <c r="C808" s="58" t="s">
        <v>34</v>
      </c>
      <c r="D808" s="58">
        <v>10</v>
      </c>
      <c r="E808" s="58">
        <v>4</v>
      </c>
      <c r="F808" s="58">
        <v>66.666666666666671</v>
      </c>
      <c r="G808" s="58">
        <v>14</v>
      </c>
      <c r="H808" s="58">
        <v>23.96</v>
      </c>
      <c r="I808" s="58">
        <v>845</v>
      </c>
      <c r="J808" s="58">
        <v>-32.399999999999977</v>
      </c>
      <c r="K808" s="58">
        <v>-3.6927285160702046</v>
      </c>
      <c r="L808" s="58">
        <v>15900</v>
      </c>
      <c r="M808" s="58">
        <v>8325</v>
      </c>
      <c r="N808" s="58">
        <v>15139.55</v>
      </c>
      <c r="O808" s="58">
        <v>16000</v>
      </c>
      <c r="P808" s="58" t="s">
        <v>34</v>
      </c>
      <c r="Q808" s="58">
        <v>11855</v>
      </c>
      <c r="R808" s="58">
        <v>3905</v>
      </c>
      <c r="S808" s="58">
        <v>49.119496855345915</v>
      </c>
      <c r="T808" s="58">
        <v>16616</v>
      </c>
      <c r="U808" s="58">
        <v>18.940000000000001</v>
      </c>
      <c r="V808" s="58">
        <v>5.25</v>
      </c>
      <c r="W808" s="58">
        <v>-1.1500000000000004</v>
      </c>
      <c r="X808" s="58">
        <v>-17.968750000000007</v>
      </c>
      <c r="Y808" s="58">
        <v>456975</v>
      </c>
      <c r="Z808" s="58">
        <v>179850</v>
      </c>
      <c r="AA808" s="58">
        <v>15139.55</v>
      </c>
      <c r="AE808" s="57"/>
    </row>
    <row r="809" spans="1:31" x14ac:dyDescent="0.35">
      <c r="A809" s="56" t="s">
        <v>874</v>
      </c>
      <c r="B809" s="58">
        <v>16000</v>
      </c>
      <c r="C809" s="58" t="s">
        <v>26</v>
      </c>
      <c r="D809" s="58">
        <v>5972</v>
      </c>
      <c r="E809" s="58">
        <v>-169</v>
      </c>
      <c r="F809" s="58">
        <v>-2.7519947891222927</v>
      </c>
      <c r="G809" s="58">
        <v>297</v>
      </c>
      <c r="H809" s="58">
        <v>23.46</v>
      </c>
      <c r="I809" s="58">
        <v>858</v>
      </c>
      <c r="J809" s="58">
        <v>-27.5</v>
      </c>
      <c r="K809" s="58">
        <v>-3.1055900621118013</v>
      </c>
      <c r="L809" s="58">
        <v>41400</v>
      </c>
      <c r="M809" s="58">
        <v>26925</v>
      </c>
      <c r="N809" s="58">
        <v>15139.55</v>
      </c>
      <c r="O809" s="58">
        <v>16000</v>
      </c>
      <c r="P809" s="58" t="s">
        <v>26</v>
      </c>
      <c r="Q809" s="58">
        <v>35445</v>
      </c>
      <c r="R809" s="58">
        <v>1577</v>
      </c>
      <c r="S809" s="58">
        <v>4.656312743592772</v>
      </c>
      <c r="T809" s="58">
        <v>12714</v>
      </c>
      <c r="U809" s="58">
        <v>18.3</v>
      </c>
      <c r="V809" s="58">
        <v>22.1</v>
      </c>
      <c r="W809" s="58">
        <v>-3.25</v>
      </c>
      <c r="X809" s="58">
        <v>-12.820512820512819</v>
      </c>
      <c r="Y809" s="58">
        <v>172425</v>
      </c>
      <c r="Z809" s="58">
        <v>253125</v>
      </c>
      <c r="AA809" s="58">
        <v>15143.3</v>
      </c>
      <c r="AE809" s="57"/>
    </row>
    <row r="810" spans="1:31" x14ac:dyDescent="0.35">
      <c r="A810" s="56" t="s">
        <v>875</v>
      </c>
      <c r="B810" s="58">
        <v>16000</v>
      </c>
      <c r="C810" s="58" t="s">
        <v>64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4875</v>
      </c>
      <c r="M810" s="58">
        <v>4875</v>
      </c>
      <c r="N810" s="58">
        <v>15139.55</v>
      </c>
      <c r="O810" s="58">
        <v>16000</v>
      </c>
      <c r="P810" s="58" t="s">
        <v>64</v>
      </c>
      <c r="Q810" s="58">
        <v>316</v>
      </c>
      <c r="R810" s="58">
        <v>110</v>
      </c>
      <c r="S810" s="58">
        <v>53.398058252427184</v>
      </c>
      <c r="T810" s="58">
        <v>207</v>
      </c>
      <c r="U810" s="58">
        <v>18.510000000000002</v>
      </c>
      <c r="V810" s="58">
        <v>50</v>
      </c>
      <c r="W810" s="58">
        <v>-7.75</v>
      </c>
      <c r="X810" s="58">
        <v>-13.419913419913421</v>
      </c>
      <c r="Y810" s="58">
        <v>10200</v>
      </c>
      <c r="Z810" s="58">
        <v>7275</v>
      </c>
      <c r="AA810" s="58">
        <v>15139.55</v>
      </c>
      <c r="AE810" s="57"/>
    </row>
    <row r="811" spans="1:31" x14ac:dyDescent="0.35">
      <c r="A811" s="56" t="s">
        <v>876</v>
      </c>
      <c r="B811" s="58">
        <v>16000</v>
      </c>
      <c r="C811" s="58" t="s">
        <v>2071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4875</v>
      </c>
      <c r="M811" s="58">
        <v>4875</v>
      </c>
      <c r="N811" s="58">
        <v>15139.55</v>
      </c>
      <c r="O811" s="58">
        <v>16000</v>
      </c>
      <c r="P811" s="58" t="s">
        <v>2071</v>
      </c>
      <c r="Q811" s="58">
        <v>1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10425</v>
      </c>
      <c r="Z811" s="58">
        <v>6000</v>
      </c>
      <c r="AA811" s="58">
        <v>15139.55</v>
      </c>
      <c r="AE811" s="57"/>
    </row>
    <row r="812" spans="1:31" x14ac:dyDescent="0.35">
      <c r="A812" s="56" t="s">
        <v>877</v>
      </c>
      <c r="B812" s="58">
        <v>16000</v>
      </c>
      <c r="C812" s="58" t="s">
        <v>2073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4875</v>
      </c>
      <c r="M812" s="58">
        <v>4875</v>
      </c>
      <c r="N812" s="58">
        <v>15139.55</v>
      </c>
      <c r="O812" s="58">
        <v>16000</v>
      </c>
      <c r="P812" s="58" t="s">
        <v>2073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6675</v>
      </c>
      <c r="Z812" s="58">
        <v>150</v>
      </c>
      <c r="AA812" s="58">
        <v>15139.55</v>
      </c>
      <c r="AE812" s="57"/>
    </row>
    <row r="813" spans="1:31" x14ac:dyDescent="0.35">
      <c r="A813" s="56" t="s">
        <v>878</v>
      </c>
      <c r="B813" s="58">
        <v>16000</v>
      </c>
      <c r="C813" s="58" t="s">
        <v>2074</v>
      </c>
      <c r="D813" s="58">
        <v>0</v>
      </c>
      <c r="E813" s="58">
        <v>0</v>
      </c>
      <c r="F813" s="58">
        <v>0</v>
      </c>
      <c r="G813" s="58">
        <v>0</v>
      </c>
      <c r="H813" s="58">
        <v>0</v>
      </c>
      <c r="I813" s="58">
        <v>0</v>
      </c>
      <c r="J813" s="58">
        <v>0</v>
      </c>
      <c r="K813" s="58">
        <v>0</v>
      </c>
      <c r="L813" s="58">
        <v>4875</v>
      </c>
      <c r="M813" s="58">
        <v>4875</v>
      </c>
      <c r="N813" s="58">
        <v>15143.3</v>
      </c>
      <c r="O813" s="58">
        <v>16000</v>
      </c>
      <c r="P813" s="58" t="s">
        <v>2074</v>
      </c>
      <c r="Q813" s="58">
        <v>0</v>
      </c>
      <c r="R813" s="58">
        <v>0</v>
      </c>
      <c r="S813" s="58">
        <v>0</v>
      </c>
      <c r="T813" s="58">
        <v>0</v>
      </c>
      <c r="U813" s="58">
        <v>0</v>
      </c>
      <c r="V813" s="58">
        <v>0</v>
      </c>
      <c r="W813" s="58">
        <v>0</v>
      </c>
      <c r="X813" s="58">
        <v>0</v>
      </c>
      <c r="Y813" s="58">
        <v>825</v>
      </c>
      <c r="Z813" s="58">
        <v>300</v>
      </c>
      <c r="AA813" s="58">
        <v>15139.55</v>
      </c>
      <c r="AE813" s="57"/>
    </row>
    <row r="814" spans="1:31" x14ac:dyDescent="0.35">
      <c r="A814" s="56" t="s">
        <v>879</v>
      </c>
      <c r="B814" s="58">
        <v>16000</v>
      </c>
      <c r="C814" s="58" t="s">
        <v>2068</v>
      </c>
      <c r="D814" s="58">
        <v>2516</v>
      </c>
      <c r="E814" s="58">
        <v>161</v>
      </c>
      <c r="F814" s="58">
        <v>6.8365180467091298</v>
      </c>
      <c r="G814" s="58">
        <v>316</v>
      </c>
      <c r="H814" s="58">
        <v>22</v>
      </c>
      <c r="I814" s="58">
        <v>890</v>
      </c>
      <c r="J814" s="58">
        <v>-47.600000000000023</v>
      </c>
      <c r="K814" s="58">
        <v>-5.0767918088737218</v>
      </c>
      <c r="L814" s="58">
        <v>13275</v>
      </c>
      <c r="M814" s="58">
        <v>15600</v>
      </c>
      <c r="N814" s="58">
        <v>15139.55</v>
      </c>
      <c r="O814" s="58">
        <v>16000</v>
      </c>
      <c r="P814" s="58" t="s">
        <v>2068</v>
      </c>
      <c r="Q814" s="58">
        <v>11586</v>
      </c>
      <c r="R814" s="58">
        <v>863</v>
      </c>
      <c r="S814" s="58">
        <v>8.048120861699152</v>
      </c>
      <c r="T814" s="58">
        <v>2697</v>
      </c>
      <c r="U814" s="58">
        <v>16.3</v>
      </c>
      <c r="V814" s="58">
        <v>135.65</v>
      </c>
      <c r="W814" s="58">
        <v>-8.0999999999999943</v>
      </c>
      <c r="X814" s="58">
        <v>-5.6347826086956481</v>
      </c>
      <c r="Y814" s="58">
        <v>26100</v>
      </c>
      <c r="Z814" s="58">
        <v>54000</v>
      </c>
      <c r="AA814" s="58">
        <v>15143.3</v>
      </c>
      <c r="AE814" s="57"/>
    </row>
    <row r="815" spans="1:31" x14ac:dyDescent="0.35">
      <c r="A815" s="56" t="s">
        <v>880</v>
      </c>
      <c r="B815" s="58">
        <v>16000</v>
      </c>
      <c r="C815" s="58" t="s">
        <v>2076</v>
      </c>
      <c r="D815" s="58">
        <v>0</v>
      </c>
      <c r="E815" s="58">
        <v>0</v>
      </c>
      <c r="F815" s="58">
        <v>0</v>
      </c>
      <c r="G815" s="58">
        <v>0</v>
      </c>
      <c r="H815" s="58">
        <v>0</v>
      </c>
      <c r="I815" s="58">
        <v>0</v>
      </c>
      <c r="J815" s="58">
        <v>0</v>
      </c>
      <c r="K815" s="58">
        <v>0</v>
      </c>
      <c r="L815" s="58">
        <v>0</v>
      </c>
      <c r="M815" s="58">
        <v>4875</v>
      </c>
      <c r="N815" s="58">
        <v>15139.55</v>
      </c>
      <c r="O815" s="58">
        <v>16000</v>
      </c>
      <c r="P815" s="58" t="s">
        <v>2076</v>
      </c>
      <c r="Q815" s="58">
        <v>0</v>
      </c>
      <c r="R815" s="58">
        <v>0</v>
      </c>
      <c r="S815" s="58">
        <v>0</v>
      </c>
      <c r="T815" s="58">
        <v>0</v>
      </c>
      <c r="U815" s="58">
        <v>0</v>
      </c>
      <c r="V815" s="58">
        <v>0</v>
      </c>
      <c r="W815" s="58">
        <v>0</v>
      </c>
      <c r="X815" s="58">
        <v>0</v>
      </c>
      <c r="Y815" s="58">
        <v>0</v>
      </c>
      <c r="Z815" s="58">
        <v>0</v>
      </c>
      <c r="AA815" s="58">
        <v>15139.55</v>
      </c>
      <c r="AE815" s="57"/>
    </row>
    <row r="816" spans="1:31" x14ac:dyDescent="0.35">
      <c r="A816" s="56" t="s">
        <v>881</v>
      </c>
      <c r="B816" s="58">
        <v>16000</v>
      </c>
      <c r="C816" s="58" t="s">
        <v>2075</v>
      </c>
      <c r="D816" s="58">
        <v>140</v>
      </c>
      <c r="E816" s="58">
        <v>2</v>
      </c>
      <c r="F816" s="58">
        <v>1.4492753623188406</v>
      </c>
      <c r="G816" s="58">
        <v>3</v>
      </c>
      <c r="H816" s="58">
        <v>21.92</v>
      </c>
      <c r="I816" s="58">
        <v>920</v>
      </c>
      <c r="J816" s="58">
        <v>-50.75</v>
      </c>
      <c r="K816" s="58">
        <v>-5.2279165593613186</v>
      </c>
      <c r="L816" s="58">
        <v>12450</v>
      </c>
      <c r="M816" s="58">
        <v>5850</v>
      </c>
      <c r="N816" s="58">
        <v>15143.3</v>
      </c>
      <c r="O816" s="58">
        <v>16000</v>
      </c>
      <c r="P816" s="58" t="s">
        <v>2075</v>
      </c>
      <c r="Q816" s="58">
        <v>1290</v>
      </c>
      <c r="R816" s="58">
        <v>159</v>
      </c>
      <c r="S816" s="58">
        <v>14.058355437665783</v>
      </c>
      <c r="T816" s="58">
        <v>245</v>
      </c>
      <c r="U816" s="58">
        <v>15.61</v>
      </c>
      <c r="V816" s="58">
        <v>229</v>
      </c>
      <c r="W816" s="58">
        <v>-8.25</v>
      </c>
      <c r="X816" s="58">
        <v>-3.4773445732349839</v>
      </c>
      <c r="Y816" s="58">
        <v>17025</v>
      </c>
      <c r="Z816" s="58">
        <v>16650</v>
      </c>
      <c r="AA816" s="58">
        <v>15139.55</v>
      </c>
      <c r="AE816" s="57"/>
    </row>
    <row r="817" spans="1:31" x14ac:dyDescent="0.35">
      <c r="A817" s="56" t="s">
        <v>882</v>
      </c>
      <c r="B817" s="58">
        <v>16000</v>
      </c>
      <c r="C817" s="58" t="s">
        <v>27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2100</v>
      </c>
      <c r="M817" s="58">
        <v>0</v>
      </c>
      <c r="N817" s="58">
        <v>15139.55</v>
      </c>
      <c r="O817" s="58">
        <v>16000</v>
      </c>
      <c r="P817" s="58" t="s">
        <v>27</v>
      </c>
      <c r="Q817" s="58">
        <v>759</v>
      </c>
      <c r="R817" s="58">
        <v>1</v>
      </c>
      <c r="S817" s="58">
        <v>0.13192612137203166</v>
      </c>
      <c r="T817" s="58">
        <v>37</v>
      </c>
      <c r="U817" s="58">
        <v>15.1</v>
      </c>
      <c r="V817" s="58">
        <v>320</v>
      </c>
      <c r="W817" s="58">
        <v>-3.3999999999999773</v>
      </c>
      <c r="X817" s="58">
        <v>-1.0513296227581872</v>
      </c>
      <c r="Y817" s="58">
        <v>24900</v>
      </c>
      <c r="Z817" s="58">
        <v>9900</v>
      </c>
      <c r="AA817" s="58">
        <v>15143.3</v>
      </c>
      <c r="AE817" s="57"/>
    </row>
    <row r="818" spans="1:31" x14ac:dyDescent="0.35">
      <c r="A818" s="56" t="s">
        <v>883</v>
      </c>
      <c r="B818" s="58">
        <v>16000</v>
      </c>
      <c r="C818" s="58" t="s">
        <v>31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1500</v>
      </c>
      <c r="M818" s="58">
        <v>0</v>
      </c>
      <c r="N818" s="58">
        <v>15139.55</v>
      </c>
      <c r="O818" s="58">
        <v>0</v>
      </c>
      <c r="P818" s="58">
        <v>0</v>
      </c>
      <c r="Q818" s="58">
        <v>0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0</v>
      </c>
      <c r="Z818" s="58">
        <v>0</v>
      </c>
      <c r="AA818" s="58">
        <v>0</v>
      </c>
      <c r="AE818" s="57"/>
    </row>
    <row r="819" spans="1:31" x14ac:dyDescent="0.35">
      <c r="A819" s="56" t="s">
        <v>884</v>
      </c>
      <c r="B819" s="58">
        <v>16000</v>
      </c>
      <c r="C819" s="58" t="s">
        <v>29</v>
      </c>
      <c r="D819" s="58">
        <v>432</v>
      </c>
      <c r="E819" s="58">
        <v>12</v>
      </c>
      <c r="F819" s="58">
        <v>2.8571428571428572</v>
      </c>
      <c r="G819" s="58">
        <v>14</v>
      </c>
      <c r="H819" s="58">
        <v>27.24</v>
      </c>
      <c r="I819" s="58">
        <v>1275</v>
      </c>
      <c r="J819" s="58">
        <v>-50.549999999999955</v>
      </c>
      <c r="K819" s="58">
        <v>-3.8135113726377701</v>
      </c>
      <c r="L819" s="58">
        <v>2775</v>
      </c>
      <c r="M819" s="58">
        <v>600</v>
      </c>
      <c r="N819" s="58">
        <v>15139.55</v>
      </c>
      <c r="O819" s="58">
        <v>16000</v>
      </c>
      <c r="P819" s="58" t="s">
        <v>29</v>
      </c>
      <c r="Q819" s="58">
        <v>1058</v>
      </c>
      <c r="R819" s="58">
        <v>7</v>
      </c>
      <c r="S819" s="58">
        <v>0.66603235014272122</v>
      </c>
      <c r="T819" s="58">
        <v>17</v>
      </c>
      <c r="U819" s="58">
        <v>12.75</v>
      </c>
      <c r="V819" s="58">
        <v>875</v>
      </c>
      <c r="W819" s="58">
        <v>27.149999999999977</v>
      </c>
      <c r="X819" s="58">
        <v>3.2022173733561332</v>
      </c>
      <c r="Y819" s="58">
        <v>5100</v>
      </c>
      <c r="Z819" s="58">
        <v>6900</v>
      </c>
      <c r="AA819" s="58">
        <v>15143.3</v>
      </c>
      <c r="AE819" s="57"/>
    </row>
    <row r="820" spans="1:31" x14ac:dyDescent="0.35">
      <c r="A820" s="56" t="s">
        <v>885</v>
      </c>
      <c r="B820" s="58">
        <v>16000</v>
      </c>
      <c r="C820" s="58" t="s">
        <v>33</v>
      </c>
      <c r="D820" s="58">
        <v>60</v>
      </c>
      <c r="E820" s="58">
        <v>-11</v>
      </c>
      <c r="F820" s="58">
        <v>-15.492957746478874</v>
      </c>
      <c r="G820" s="58">
        <v>37</v>
      </c>
      <c r="H820" s="58">
        <v>39.6</v>
      </c>
      <c r="I820" s="58">
        <v>856</v>
      </c>
      <c r="J820" s="58">
        <v>-24.5</v>
      </c>
      <c r="K820" s="58">
        <v>-2.7825099375354911</v>
      </c>
      <c r="L820" s="58">
        <v>25275</v>
      </c>
      <c r="M820" s="58">
        <v>20625</v>
      </c>
      <c r="N820" s="58">
        <v>15143.3</v>
      </c>
      <c r="O820" s="58">
        <v>16000</v>
      </c>
      <c r="P820" s="58" t="s">
        <v>33</v>
      </c>
      <c r="Q820" s="58">
        <v>33860</v>
      </c>
      <c r="R820" s="58">
        <v>-5800</v>
      </c>
      <c r="S820" s="58">
        <v>-14.624306606152295</v>
      </c>
      <c r="T820" s="58">
        <v>58806</v>
      </c>
      <c r="U820" s="58">
        <v>40.28</v>
      </c>
      <c r="V820" s="58">
        <v>0.4</v>
      </c>
      <c r="W820" s="58">
        <v>-0.70000000000000007</v>
      </c>
      <c r="X820" s="58">
        <v>-63.636363636363633</v>
      </c>
      <c r="Y820" s="58">
        <v>4144950</v>
      </c>
      <c r="Z820" s="58">
        <v>152775</v>
      </c>
      <c r="AA820" s="58">
        <v>15139.55</v>
      </c>
      <c r="AE820" s="57"/>
    </row>
    <row r="821" spans="1:31" x14ac:dyDescent="0.35">
      <c r="A821" s="56" t="s">
        <v>886</v>
      </c>
      <c r="B821" s="58">
        <v>16000</v>
      </c>
      <c r="C821" s="58" t="s">
        <v>30</v>
      </c>
      <c r="D821" s="58">
        <v>0</v>
      </c>
      <c r="E821" s="58">
        <v>0</v>
      </c>
      <c r="F821" s="58">
        <v>0</v>
      </c>
      <c r="G821" s="58">
        <v>0</v>
      </c>
      <c r="H821" s="58">
        <v>0</v>
      </c>
      <c r="I821" s="58">
        <v>0</v>
      </c>
      <c r="J821" s="58">
        <v>0</v>
      </c>
      <c r="K821" s="58">
        <v>0</v>
      </c>
      <c r="L821" s="58">
        <v>0</v>
      </c>
      <c r="M821" s="58">
        <v>600</v>
      </c>
      <c r="N821" s="58">
        <v>15139.55</v>
      </c>
      <c r="O821" s="58">
        <v>16000</v>
      </c>
      <c r="P821" s="58" t="s">
        <v>30</v>
      </c>
      <c r="Q821" s="58">
        <v>0</v>
      </c>
      <c r="R821" s="58">
        <v>0</v>
      </c>
      <c r="S821" s="58">
        <v>0</v>
      </c>
      <c r="T821" s="58">
        <v>0</v>
      </c>
      <c r="U821" s="58">
        <v>0</v>
      </c>
      <c r="V821" s="58">
        <v>0</v>
      </c>
      <c r="W821" s="58">
        <v>0</v>
      </c>
      <c r="X821" s="58">
        <v>0</v>
      </c>
      <c r="Y821" s="58">
        <v>0</v>
      </c>
      <c r="Z821" s="58">
        <v>600</v>
      </c>
      <c r="AA821" s="58">
        <v>15139.55</v>
      </c>
      <c r="AE821" s="57"/>
    </row>
    <row r="822" spans="1:31" x14ac:dyDescent="0.35">
      <c r="A822" s="56" t="s">
        <v>887</v>
      </c>
      <c r="B822" s="58">
        <v>16050</v>
      </c>
      <c r="C822" s="58" t="s">
        <v>33</v>
      </c>
      <c r="D822" s="58">
        <v>1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22800</v>
      </c>
      <c r="M822" s="58">
        <v>14700</v>
      </c>
      <c r="N822" s="58">
        <v>15143.3</v>
      </c>
      <c r="O822" s="58">
        <v>16050</v>
      </c>
      <c r="P822" s="58" t="s">
        <v>33</v>
      </c>
      <c r="Q822" s="58">
        <v>198</v>
      </c>
      <c r="R822" s="58">
        <v>-25</v>
      </c>
      <c r="S822" s="58">
        <v>-11.210762331838565</v>
      </c>
      <c r="T822" s="58">
        <v>76</v>
      </c>
      <c r="U822" s="58">
        <v>41.78</v>
      </c>
      <c r="V822" s="58">
        <v>0.4</v>
      </c>
      <c r="W822" s="58">
        <v>-0.6</v>
      </c>
      <c r="X822" s="58">
        <v>-60</v>
      </c>
      <c r="Y822" s="58">
        <v>48900</v>
      </c>
      <c r="Z822" s="58">
        <v>45150</v>
      </c>
      <c r="AA822" s="58">
        <v>15143.3</v>
      </c>
      <c r="AE822" s="57"/>
    </row>
    <row r="823" spans="1:31" x14ac:dyDescent="0.35">
      <c r="A823" s="56" t="s">
        <v>888</v>
      </c>
      <c r="B823" s="58">
        <v>16050</v>
      </c>
      <c r="C823" s="58" t="s">
        <v>26</v>
      </c>
      <c r="D823" s="58">
        <v>0</v>
      </c>
      <c r="E823" s="58">
        <v>0</v>
      </c>
      <c r="F823" s="58">
        <v>0</v>
      </c>
      <c r="G823" s="58">
        <v>0</v>
      </c>
      <c r="H823" s="58">
        <v>0</v>
      </c>
      <c r="I823" s="58">
        <v>0</v>
      </c>
      <c r="J823" s="58">
        <v>0</v>
      </c>
      <c r="K823" s="58">
        <v>0</v>
      </c>
      <c r="L823" s="58">
        <v>19800</v>
      </c>
      <c r="M823" s="58">
        <v>19800</v>
      </c>
      <c r="N823" s="58">
        <v>15139.55</v>
      </c>
      <c r="O823" s="58">
        <v>16050</v>
      </c>
      <c r="P823" s="58" t="s">
        <v>26</v>
      </c>
      <c r="Q823" s="58">
        <v>476</v>
      </c>
      <c r="R823" s="58">
        <v>-11</v>
      </c>
      <c r="S823" s="58">
        <v>-2.2587268993839835</v>
      </c>
      <c r="T823" s="58">
        <v>366</v>
      </c>
      <c r="U823" s="58">
        <v>18.34</v>
      </c>
      <c r="V823" s="58">
        <v>18.3</v>
      </c>
      <c r="W823" s="58">
        <v>-3</v>
      </c>
      <c r="X823" s="58">
        <v>-14.084507042253522</v>
      </c>
      <c r="Y823" s="58">
        <v>95475</v>
      </c>
      <c r="Z823" s="58">
        <v>27750</v>
      </c>
      <c r="AA823" s="58">
        <v>15139.55</v>
      </c>
      <c r="AE823" s="57"/>
    </row>
    <row r="824" spans="1:31" x14ac:dyDescent="0.35">
      <c r="A824" s="56" t="s">
        <v>889</v>
      </c>
      <c r="B824" s="58">
        <v>16050</v>
      </c>
      <c r="C824" s="58" t="s">
        <v>64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4875</v>
      </c>
      <c r="M824" s="58">
        <v>4875</v>
      </c>
      <c r="N824" s="58">
        <v>15143.3</v>
      </c>
      <c r="O824" s="58">
        <v>16050</v>
      </c>
      <c r="P824" s="58" t="s">
        <v>64</v>
      </c>
      <c r="Q824" s="58">
        <v>0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5775</v>
      </c>
      <c r="Z824" s="58">
        <v>75</v>
      </c>
      <c r="AA824" s="58">
        <v>15143.3</v>
      </c>
      <c r="AE824" s="57"/>
    </row>
    <row r="825" spans="1:31" x14ac:dyDescent="0.35">
      <c r="A825" s="56" t="s">
        <v>890</v>
      </c>
      <c r="B825" s="58">
        <v>16050</v>
      </c>
      <c r="C825" s="58" t="s">
        <v>2071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4875</v>
      </c>
      <c r="M825" s="58">
        <v>4875</v>
      </c>
      <c r="N825" s="58">
        <v>15143.3</v>
      </c>
      <c r="O825" s="58">
        <v>16050</v>
      </c>
      <c r="P825" s="58" t="s">
        <v>2071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2775</v>
      </c>
      <c r="Z825" s="58">
        <v>4875</v>
      </c>
      <c r="AA825" s="58">
        <v>15139.55</v>
      </c>
      <c r="AE825" s="57"/>
    </row>
    <row r="826" spans="1:31" x14ac:dyDescent="0.35">
      <c r="A826" s="56" t="s">
        <v>891</v>
      </c>
      <c r="B826" s="58">
        <v>16050</v>
      </c>
      <c r="C826" s="58" t="s">
        <v>2073</v>
      </c>
      <c r="D826" s="58">
        <v>0</v>
      </c>
      <c r="E826" s="58">
        <v>0</v>
      </c>
      <c r="F826" s="58">
        <v>0</v>
      </c>
      <c r="G826" s="58">
        <v>0</v>
      </c>
      <c r="H826" s="58">
        <v>0</v>
      </c>
      <c r="I826" s="58">
        <v>0</v>
      </c>
      <c r="J826" s="58">
        <v>0</v>
      </c>
      <c r="K826" s="58">
        <v>0</v>
      </c>
      <c r="L826" s="58">
        <v>4875</v>
      </c>
      <c r="M826" s="58">
        <v>4875</v>
      </c>
      <c r="N826" s="58">
        <v>15139.55</v>
      </c>
      <c r="O826" s="58">
        <v>16050</v>
      </c>
      <c r="P826" s="58" t="s">
        <v>2073</v>
      </c>
      <c r="Q826" s="58">
        <v>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2775</v>
      </c>
      <c r="Z826" s="58">
        <v>4875</v>
      </c>
      <c r="AA826" s="58">
        <v>15143.3</v>
      </c>
      <c r="AE826" s="57"/>
    </row>
    <row r="827" spans="1:31" x14ac:dyDescent="0.35">
      <c r="A827" s="56" t="s">
        <v>892</v>
      </c>
      <c r="B827" s="58">
        <v>16050</v>
      </c>
      <c r="C827" s="58" t="s">
        <v>2074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4875</v>
      </c>
      <c r="M827" s="58">
        <v>4875</v>
      </c>
      <c r="N827" s="58">
        <v>15143.3</v>
      </c>
      <c r="O827" s="58">
        <v>16050</v>
      </c>
      <c r="P827" s="58" t="s">
        <v>2074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0</v>
      </c>
      <c r="Z827" s="58">
        <v>4875</v>
      </c>
      <c r="AA827" s="58">
        <v>15143.3</v>
      </c>
      <c r="AE827" s="57"/>
    </row>
    <row r="828" spans="1:31" x14ac:dyDescent="0.35">
      <c r="A828" s="56" t="s">
        <v>893</v>
      </c>
      <c r="B828" s="58">
        <v>16050</v>
      </c>
      <c r="C828" s="58" t="s">
        <v>2068</v>
      </c>
      <c r="D828" s="58">
        <v>0</v>
      </c>
      <c r="E828" s="58">
        <v>0</v>
      </c>
      <c r="F828" s="58">
        <v>0</v>
      </c>
      <c r="G828" s="58">
        <v>0</v>
      </c>
      <c r="H828" s="58">
        <v>0</v>
      </c>
      <c r="I828" s="58">
        <v>0</v>
      </c>
      <c r="J828" s="58">
        <v>0</v>
      </c>
      <c r="K828" s="58">
        <v>0</v>
      </c>
      <c r="L828" s="58">
        <v>9075</v>
      </c>
      <c r="M828" s="58">
        <v>4875</v>
      </c>
      <c r="N828" s="58">
        <v>15139.55</v>
      </c>
      <c r="O828" s="58">
        <v>16050</v>
      </c>
      <c r="P828" s="58" t="s">
        <v>2068</v>
      </c>
      <c r="Q828" s="58">
        <v>10</v>
      </c>
      <c r="R828" s="58">
        <v>0</v>
      </c>
      <c r="S828" s="58">
        <v>0</v>
      </c>
      <c r="T828" s="58">
        <v>0</v>
      </c>
      <c r="U828" s="58">
        <v>0</v>
      </c>
      <c r="V828" s="58">
        <v>0</v>
      </c>
      <c r="W828" s="58">
        <v>0</v>
      </c>
      <c r="X828" s="58">
        <v>0</v>
      </c>
      <c r="Y828" s="58">
        <v>5550</v>
      </c>
      <c r="Z828" s="58">
        <v>0</v>
      </c>
      <c r="AA828" s="58">
        <v>15139.55</v>
      </c>
      <c r="AE828" s="57"/>
    </row>
    <row r="829" spans="1:31" x14ac:dyDescent="0.35">
      <c r="A829" s="56" t="s">
        <v>894</v>
      </c>
      <c r="B829" s="58">
        <v>16050</v>
      </c>
      <c r="C829" s="58" t="s">
        <v>2076</v>
      </c>
      <c r="D829" s="58">
        <v>0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0</v>
      </c>
      <c r="M829" s="58">
        <v>4875</v>
      </c>
      <c r="N829" s="58">
        <v>15143.3</v>
      </c>
      <c r="O829" s="58">
        <v>16050</v>
      </c>
      <c r="P829" s="58" t="s">
        <v>2076</v>
      </c>
      <c r="Q829" s="58">
        <v>0</v>
      </c>
      <c r="R829" s="58">
        <v>0</v>
      </c>
      <c r="S829" s="58">
        <v>0</v>
      </c>
      <c r="T829" s="58">
        <v>0</v>
      </c>
      <c r="U829" s="58">
        <v>0</v>
      </c>
      <c r="V829" s="58">
        <v>0</v>
      </c>
      <c r="W829" s="58">
        <v>0</v>
      </c>
      <c r="X829" s="58">
        <v>0</v>
      </c>
      <c r="Y829" s="58">
        <v>0</v>
      </c>
      <c r="Z829" s="58">
        <v>0</v>
      </c>
      <c r="AA829" s="58">
        <v>15139.55</v>
      </c>
      <c r="AE829" s="57"/>
    </row>
    <row r="830" spans="1:31" x14ac:dyDescent="0.35">
      <c r="A830" s="56" t="s">
        <v>895</v>
      </c>
      <c r="B830" s="58">
        <v>16050</v>
      </c>
      <c r="C830" s="58" t="s">
        <v>2075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0</v>
      </c>
      <c r="M830" s="58">
        <v>5025</v>
      </c>
      <c r="N830" s="58">
        <v>15139.55</v>
      </c>
      <c r="O830" s="58">
        <v>16050</v>
      </c>
      <c r="P830" s="58" t="s">
        <v>2075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1950</v>
      </c>
      <c r="Z830" s="58">
        <v>0</v>
      </c>
      <c r="AA830" s="58">
        <v>15143.3</v>
      </c>
      <c r="AE830" s="57"/>
    </row>
    <row r="831" spans="1:31" x14ac:dyDescent="0.35">
      <c r="A831" s="56" t="s">
        <v>896</v>
      </c>
      <c r="B831" s="58">
        <v>16050</v>
      </c>
      <c r="C831" s="58" t="s">
        <v>34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12750</v>
      </c>
      <c r="M831" s="58">
        <v>10050</v>
      </c>
      <c r="N831" s="58">
        <v>15143.3</v>
      </c>
      <c r="O831" s="58">
        <v>16050</v>
      </c>
      <c r="P831" s="58" t="s">
        <v>34</v>
      </c>
      <c r="Q831" s="58">
        <v>225</v>
      </c>
      <c r="R831" s="58">
        <v>72</v>
      </c>
      <c r="S831" s="58">
        <v>47.058823529411768</v>
      </c>
      <c r="T831" s="58">
        <v>504</v>
      </c>
      <c r="U831" s="58">
        <v>19.39</v>
      </c>
      <c r="V831" s="58">
        <v>4.5</v>
      </c>
      <c r="W831" s="58">
        <v>-1.1500000000000004</v>
      </c>
      <c r="X831" s="58">
        <v>-20.353982300884962</v>
      </c>
      <c r="Y831" s="58">
        <v>93600</v>
      </c>
      <c r="Z831" s="58">
        <v>46125</v>
      </c>
      <c r="AA831" s="58">
        <v>15143.3</v>
      </c>
      <c r="AE831" s="57"/>
    </row>
    <row r="832" spans="1:31" x14ac:dyDescent="0.35">
      <c r="A832" s="56" t="s">
        <v>897</v>
      </c>
      <c r="B832" s="58">
        <v>16100</v>
      </c>
      <c r="C832" s="58" t="s">
        <v>34</v>
      </c>
      <c r="D832" s="58">
        <v>0</v>
      </c>
      <c r="E832" s="58">
        <v>0</v>
      </c>
      <c r="F832" s="58">
        <v>0</v>
      </c>
      <c r="G832" s="58">
        <v>0</v>
      </c>
      <c r="H832" s="58">
        <v>0</v>
      </c>
      <c r="I832" s="58">
        <v>0</v>
      </c>
      <c r="J832" s="58">
        <v>0</v>
      </c>
      <c r="K832" s="58">
        <v>0</v>
      </c>
      <c r="L832" s="58">
        <v>9600</v>
      </c>
      <c r="M832" s="58">
        <v>6900</v>
      </c>
      <c r="N832" s="58">
        <v>15143.3</v>
      </c>
      <c r="O832" s="58">
        <v>16100</v>
      </c>
      <c r="P832" s="58" t="s">
        <v>34</v>
      </c>
      <c r="Q832" s="58">
        <v>2181</v>
      </c>
      <c r="R832" s="58">
        <v>819</v>
      </c>
      <c r="S832" s="58">
        <v>60.132158590308372</v>
      </c>
      <c r="T832" s="58">
        <v>4197</v>
      </c>
      <c r="U832" s="58">
        <v>19.79</v>
      </c>
      <c r="V832" s="58">
        <v>3.95</v>
      </c>
      <c r="W832" s="58">
        <v>-1.1499999999999997</v>
      </c>
      <c r="X832" s="58">
        <v>-22.549019607843128</v>
      </c>
      <c r="Y832" s="58">
        <v>112725</v>
      </c>
      <c r="Z832" s="58">
        <v>36900</v>
      </c>
      <c r="AA832" s="58">
        <v>15143.3</v>
      </c>
      <c r="AE832" s="57"/>
    </row>
    <row r="833" spans="1:31" x14ac:dyDescent="0.35">
      <c r="A833" s="56" t="s">
        <v>898</v>
      </c>
      <c r="B833" s="58">
        <v>16100</v>
      </c>
      <c r="C833" s="58" t="s">
        <v>64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4875</v>
      </c>
      <c r="M833" s="58">
        <v>4875</v>
      </c>
      <c r="N833" s="58">
        <v>15139.55</v>
      </c>
      <c r="O833" s="58">
        <v>16100</v>
      </c>
      <c r="P833" s="58" t="s">
        <v>64</v>
      </c>
      <c r="Q833" s="58">
        <v>0</v>
      </c>
      <c r="R833" s="58">
        <v>0</v>
      </c>
      <c r="S833" s="58">
        <v>0</v>
      </c>
      <c r="T833" s="58">
        <v>0</v>
      </c>
      <c r="U833" s="58">
        <v>0</v>
      </c>
      <c r="V833" s="58">
        <v>0</v>
      </c>
      <c r="W833" s="58">
        <v>0</v>
      </c>
      <c r="X833" s="58">
        <v>0</v>
      </c>
      <c r="Y833" s="58">
        <v>9825</v>
      </c>
      <c r="Z833" s="58">
        <v>300</v>
      </c>
      <c r="AA833" s="58">
        <v>15143.3</v>
      </c>
      <c r="AE833" s="57"/>
    </row>
    <row r="834" spans="1:31" x14ac:dyDescent="0.35">
      <c r="A834" s="56" t="s">
        <v>899</v>
      </c>
      <c r="B834" s="58">
        <v>16100</v>
      </c>
      <c r="C834" s="58" t="s">
        <v>2071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4875</v>
      </c>
      <c r="M834" s="58">
        <v>4875</v>
      </c>
      <c r="N834" s="58">
        <v>15143.3</v>
      </c>
      <c r="O834" s="58">
        <v>16100</v>
      </c>
      <c r="P834" s="58" t="s">
        <v>2071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3075</v>
      </c>
      <c r="Z834" s="58">
        <v>0</v>
      </c>
      <c r="AA834" s="58">
        <v>15143.3</v>
      </c>
      <c r="AE834" s="57"/>
    </row>
    <row r="835" spans="1:31" x14ac:dyDescent="0.35">
      <c r="A835" s="56" t="s">
        <v>900</v>
      </c>
      <c r="B835" s="58">
        <v>16100</v>
      </c>
      <c r="C835" s="58" t="s">
        <v>2073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4875</v>
      </c>
      <c r="M835" s="58">
        <v>4875</v>
      </c>
      <c r="N835" s="58">
        <v>15139.55</v>
      </c>
      <c r="O835" s="58">
        <v>16100</v>
      </c>
      <c r="P835" s="58" t="s">
        <v>2073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3375</v>
      </c>
      <c r="Z835" s="58">
        <v>4875</v>
      </c>
      <c r="AA835" s="58">
        <v>15139.55</v>
      </c>
      <c r="AE835" s="57"/>
    </row>
    <row r="836" spans="1:31" x14ac:dyDescent="0.35">
      <c r="A836" s="56" t="s">
        <v>901</v>
      </c>
      <c r="B836" s="58">
        <v>16100</v>
      </c>
      <c r="C836" s="58" t="s">
        <v>2074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4875</v>
      </c>
      <c r="M836" s="58">
        <v>4875</v>
      </c>
      <c r="N836" s="58">
        <v>15139.55</v>
      </c>
      <c r="O836" s="58">
        <v>16100</v>
      </c>
      <c r="P836" s="58" t="s">
        <v>2074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300</v>
      </c>
      <c r="Z836" s="58">
        <v>4875</v>
      </c>
      <c r="AA836" s="58">
        <v>15143.3</v>
      </c>
      <c r="AE836" s="57"/>
    </row>
    <row r="837" spans="1:31" x14ac:dyDescent="0.35">
      <c r="A837" s="56" t="s">
        <v>902</v>
      </c>
      <c r="B837" s="58">
        <v>16100</v>
      </c>
      <c r="C837" s="58" t="s">
        <v>2068</v>
      </c>
      <c r="D837" s="58">
        <v>2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10200</v>
      </c>
      <c r="M837" s="58">
        <v>10200</v>
      </c>
      <c r="N837" s="58">
        <v>15139.55</v>
      </c>
      <c r="O837" s="58">
        <v>16100</v>
      </c>
      <c r="P837" s="58" t="s">
        <v>2068</v>
      </c>
      <c r="Q837" s="58">
        <v>997</v>
      </c>
      <c r="R837" s="58">
        <v>273</v>
      </c>
      <c r="S837" s="58">
        <v>37.707182320441987</v>
      </c>
      <c r="T837" s="58">
        <v>746</v>
      </c>
      <c r="U837" s="58">
        <v>16.02</v>
      </c>
      <c r="V837" s="58">
        <v>108.5</v>
      </c>
      <c r="W837" s="58">
        <v>-9.5499999999999954</v>
      </c>
      <c r="X837" s="58">
        <v>-8.089792460821684</v>
      </c>
      <c r="Y837" s="58">
        <v>25725</v>
      </c>
      <c r="Z837" s="58">
        <v>10875</v>
      </c>
      <c r="AA837" s="58">
        <v>15139.55</v>
      </c>
      <c r="AE837" s="57"/>
    </row>
    <row r="838" spans="1:31" x14ac:dyDescent="0.35">
      <c r="A838" s="56" t="s">
        <v>903</v>
      </c>
      <c r="B838" s="58">
        <v>16100</v>
      </c>
      <c r="C838" s="58" t="s">
        <v>2076</v>
      </c>
      <c r="D838" s="58">
        <v>0</v>
      </c>
      <c r="E838" s="58">
        <v>0</v>
      </c>
      <c r="F838" s="58">
        <v>0</v>
      </c>
      <c r="G838" s="58">
        <v>0</v>
      </c>
      <c r="H838" s="58">
        <v>0</v>
      </c>
      <c r="I838" s="58">
        <v>0</v>
      </c>
      <c r="J838" s="58">
        <v>0</v>
      </c>
      <c r="K838" s="58">
        <v>0</v>
      </c>
      <c r="L838" s="58">
        <v>0</v>
      </c>
      <c r="M838" s="58">
        <v>4875</v>
      </c>
      <c r="N838" s="58">
        <v>15139.55</v>
      </c>
      <c r="O838" s="58">
        <v>16100</v>
      </c>
      <c r="P838" s="58" t="s">
        <v>2076</v>
      </c>
      <c r="Q838" s="58">
        <v>0</v>
      </c>
      <c r="R838" s="58">
        <v>0</v>
      </c>
      <c r="S838" s="58">
        <v>0</v>
      </c>
      <c r="T838" s="58">
        <v>0</v>
      </c>
      <c r="U838" s="58">
        <v>0</v>
      </c>
      <c r="V838" s="58">
        <v>0</v>
      </c>
      <c r="W838" s="58">
        <v>0</v>
      </c>
      <c r="X838" s="58">
        <v>0</v>
      </c>
      <c r="Y838" s="58">
        <v>0</v>
      </c>
      <c r="Z838" s="58">
        <v>4875</v>
      </c>
      <c r="AA838" s="58">
        <v>15139.55</v>
      </c>
      <c r="AE838" s="57"/>
    </row>
    <row r="839" spans="1:31" x14ac:dyDescent="0.35">
      <c r="A839" s="56" t="s">
        <v>904</v>
      </c>
      <c r="B839" s="58">
        <v>16100</v>
      </c>
      <c r="C839" s="58" t="s">
        <v>2075</v>
      </c>
      <c r="D839" s="58">
        <v>0</v>
      </c>
      <c r="E839" s="58">
        <v>0</v>
      </c>
      <c r="F839" s="58">
        <v>0</v>
      </c>
      <c r="G839" s="58">
        <v>0</v>
      </c>
      <c r="H839" s="58">
        <v>0</v>
      </c>
      <c r="I839" s="58">
        <v>0</v>
      </c>
      <c r="J839" s="58">
        <v>0</v>
      </c>
      <c r="K839" s="58">
        <v>0</v>
      </c>
      <c r="L839" s="58">
        <v>0</v>
      </c>
      <c r="M839" s="58">
        <v>5025</v>
      </c>
      <c r="N839" s="58">
        <v>15139.55</v>
      </c>
      <c r="O839" s="58">
        <v>16100</v>
      </c>
      <c r="P839" s="58" t="s">
        <v>2075</v>
      </c>
      <c r="Q839" s="58">
        <v>0</v>
      </c>
      <c r="R839" s="58">
        <v>0</v>
      </c>
      <c r="S839" s="58">
        <v>0</v>
      </c>
      <c r="T839" s="58">
        <v>0</v>
      </c>
      <c r="U839" s="58">
        <v>0</v>
      </c>
      <c r="V839" s="58">
        <v>0</v>
      </c>
      <c r="W839" s="58">
        <v>0</v>
      </c>
      <c r="X839" s="58">
        <v>0</v>
      </c>
      <c r="Y839" s="58">
        <v>4650</v>
      </c>
      <c r="Z839" s="58">
        <v>0</v>
      </c>
      <c r="AA839" s="58">
        <v>15143.3</v>
      </c>
      <c r="AE839" s="57"/>
    </row>
    <row r="840" spans="1:31" x14ac:dyDescent="0.35">
      <c r="A840" s="56" t="s">
        <v>905</v>
      </c>
      <c r="B840" s="58">
        <v>16100</v>
      </c>
      <c r="C840" s="58" t="s">
        <v>33</v>
      </c>
      <c r="D840" s="58">
        <v>1</v>
      </c>
      <c r="E840" s="58">
        <v>0</v>
      </c>
      <c r="F840" s="58">
        <v>0</v>
      </c>
      <c r="G840" s="58">
        <v>0</v>
      </c>
      <c r="H840" s="58">
        <v>0</v>
      </c>
      <c r="I840" s="58">
        <v>0</v>
      </c>
      <c r="J840" s="58">
        <v>0</v>
      </c>
      <c r="K840" s="58">
        <v>0</v>
      </c>
      <c r="L840" s="58">
        <v>19950</v>
      </c>
      <c r="M840" s="58">
        <v>16350</v>
      </c>
      <c r="N840" s="58">
        <v>15139.55</v>
      </c>
      <c r="O840" s="58">
        <v>16100</v>
      </c>
      <c r="P840" s="58" t="s">
        <v>33</v>
      </c>
      <c r="Q840" s="58">
        <v>4472</v>
      </c>
      <c r="R840" s="58">
        <v>-315</v>
      </c>
      <c r="S840" s="58">
        <v>-6.5803217046166704</v>
      </c>
      <c r="T840" s="58">
        <v>5695</v>
      </c>
      <c r="U840" s="58">
        <v>43.76</v>
      </c>
      <c r="V840" s="58">
        <v>0.35</v>
      </c>
      <c r="W840" s="58">
        <v>-0.79999999999999993</v>
      </c>
      <c r="X840" s="58">
        <v>-69.565217391304344</v>
      </c>
      <c r="Y840" s="58">
        <v>525675</v>
      </c>
      <c r="Z840" s="58">
        <v>66975</v>
      </c>
      <c r="AA840" s="58">
        <v>15143.3</v>
      </c>
      <c r="AE840" s="57"/>
    </row>
    <row r="841" spans="1:31" x14ac:dyDescent="0.35">
      <c r="A841" s="56" t="s">
        <v>906</v>
      </c>
      <c r="B841" s="58">
        <v>16100</v>
      </c>
      <c r="C841" s="58" t="s">
        <v>26</v>
      </c>
      <c r="D841" s="58">
        <v>41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18675</v>
      </c>
      <c r="M841" s="58">
        <v>16875</v>
      </c>
      <c r="N841" s="58">
        <v>15139.55</v>
      </c>
      <c r="O841" s="58">
        <v>16100</v>
      </c>
      <c r="P841" s="58" t="s">
        <v>26</v>
      </c>
      <c r="Q841" s="58">
        <v>5437</v>
      </c>
      <c r="R841" s="58">
        <v>160</v>
      </c>
      <c r="S841" s="58">
        <v>3.0320257722190642</v>
      </c>
      <c r="T841" s="58">
        <v>2465</v>
      </c>
      <c r="U841" s="58">
        <v>18.41</v>
      </c>
      <c r="V841" s="58">
        <v>15.2</v>
      </c>
      <c r="W841" s="58">
        <v>-2.1999999999999993</v>
      </c>
      <c r="X841" s="58">
        <v>-12.643678160919537</v>
      </c>
      <c r="Y841" s="58">
        <v>89850</v>
      </c>
      <c r="Z841" s="58">
        <v>32175</v>
      </c>
      <c r="AA841" s="58">
        <v>15143.3</v>
      </c>
      <c r="AE841" s="57"/>
    </row>
    <row r="842" spans="1:31" x14ac:dyDescent="0.35">
      <c r="A842" s="56" t="s">
        <v>907</v>
      </c>
      <c r="B842" s="58">
        <v>16150</v>
      </c>
      <c r="C842" s="58" t="s">
        <v>34</v>
      </c>
      <c r="D842" s="58">
        <v>0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10125</v>
      </c>
      <c r="M842" s="58">
        <v>9975</v>
      </c>
      <c r="N842" s="58">
        <v>15139.55</v>
      </c>
      <c r="O842" s="58">
        <v>16150</v>
      </c>
      <c r="P842" s="58" t="s">
        <v>34</v>
      </c>
      <c r="Q842" s="58">
        <v>57</v>
      </c>
      <c r="R842" s="58">
        <v>46</v>
      </c>
      <c r="S842" s="58">
        <v>418.18181818181819</v>
      </c>
      <c r="T842" s="58">
        <v>114</v>
      </c>
      <c r="U842" s="58">
        <v>20.329999999999998</v>
      </c>
      <c r="V842" s="58">
        <v>3.25</v>
      </c>
      <c r="W842" s="58">
        <v>-1.4500000000000002</v>
      </c>
      <c r="X842" s="58">
        <v>-30.851063829787233</v>
      </c>
      <c r="Y842" s="58">
        <v>32400</v>
      </c>
      <c r="Z842" s="58">
        <v>27900</v>
      </c>
      <c r="AA842" s="58">
        <v>15143.3</v>
      </c>
      <c r="AE842" s="57"/>
    </row>
    <row r="843" spans="1:31" x14ac:dyDescent="0.35">
      <c r="A843" s="56" t="s">
        <v>908</v>
      </c>
      <c r="B843" s="58">
        <v>16150</v>
      </c>
      <c r="C843" s="58" t="s">
        <v>26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15375</v>
      </c>
      <c r="M843" s="58">
        <v>15300</v>
      </c>
      <c r="N843" s="58">
        <v>15143.3</v>
      </c>
      <c r="O843" s="58">
        <v>16150</v>
      </c>
      <c r="P843" s="58" t="s">
        <v>26</v>
      </c>
      <c r="Q843" s="58">
        <v>1558</v>
      </c>
      <c r="R843" s="58">
        <v>12</v>
      </c>
      <c r="S843" s="58">
        <v>0.77619663648124193</v>
      </c>
      <c r="T843" s="58">
        <v>72</v>
      </c>
      <c r="U843" s="58">
        <v>18.579999999999998</v>
      </c>
      <c r="V843" s="58">
        <v>13.5</v>
      </c>
      <c r="W843" s="58">
        <v>-2.6499999999999986</v>
      </c>
      <c r="X843" s="58">
        <v>-16.408668730650149</v>
      </c>
      <c r="Y843" s="58">
        <v>29025</v>
      </c>
      <c r="Z843" s="58">
        <v>17700</v>
      </c>
      <c r="AA843" s="58">
        <v>15139.55</v>
      </c>
      <c r="AE843" s="57"/>
    </row>
    <row r="844" spans="1:31" x14ac:dyDescent="0.35">
      <c r="A844" s="56" t="s">
        <v>909</v>
      </c>
      <c r="B844" s="58">
        <v>16150</v>
      </c>
      <c r="C844" s="58" t="s">
        <v>64</v>
      </c>
      <c r="D844" s="58">
        <v>0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4875</v>
      </c>
      <c r="M844" s="58">
        <v>4875</v>
      </c>
      <c r="N844" s="58">
        <v>15139.55</v>
      </c>
      <c r="O844" s="58">
        <v>16150</v>
      </c>
      <c r="P844" s="58" t="s">
        <v>64</v>
      </c>
      <c r="Q844" s="58">
        <v>1</v>
      </c>
      <c r="R844" s="58">
        <v>0</v>
      </c>
      <c r="S844" s="58">
        <v>0</v>
      </c>
      <c r="T844" s="58">
        <v>0</v>
      </c>
      <c r="U844" s="58">
        <v>0</v>
      </c>
      <c r="V844" s="58">
        <v>0</v>
      </c>
      <c r="W844" s="58">
        <v>0</v>
      </c>
      <c r="X844" s="58">
        <v>0</v>
      </c>
      <c r="Y844" s="58">
        <v>5775</v>
      </c>
      <c r="Z844" s="58">
        <v>5325</v>
      </c>
      <c r="AA844" s="58">
        <v>15139.55</v>
      </c>
      <c r="AE844" s="57"/>
    </row>
    <row r="845" spans="1:31" x14ac:dyDescent="0.35">
      <c r="A845" s="56" t="s">
        <v>910</v>
      </c>
      <c r="B845" s="58">
        <v>16150</v>
      </c>
      <c r="C845" s="58" t="s">
        <v>2071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4875</v>
      </c>
      <c r="M845" s="58">
        <v>4875</v>
      </c>
      <c r="N845" s="58">
        <v>15139.55</v>
      </c>
      <c r="O845" s="58">
        <v>16150</v>
      </c>
      <c r="P845" s="58" t="s">
        <v>2071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2775</v>
      </c>
      <c r="Z845" s="58">
        <v>4875</v>
      </c>
      <c r="AA845" s="58">
        <v>15143.3</v>
      </c>
      <c r="AE845" s="57"/>
    </row>
    <row r="846" spans="1:31" x14ac:dyDescent="0.35">
      <c r="A846" s="56" t="s">
        <v>911</v>
      </c>
      <c r="B846" s="58">
        <v>16150</v>
      </c>
      <c r="C846" s="58" t="s">
        <v>2073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4875</v>
      </c>
      <c r="M846" s="58">
        <v>4875</v>
      </c>
      <c r="N846" s="58">
        <v>15139.55</v>
      </c>
      <c r="O846" s="58">
        <v>16150</v>
      </c>
      <c r="P846" s="58" t="s">
        <v>2073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2775</v>
      </c>
      <c r="Z846" s="58">
        <v>4875</v>
      </c>
      <c r="AA846" s="58">
        <v>15143.3</v>
      </c>
      <c r="AE846" s="57"/>
    </row>
    <row r="847" spans="1:31" x14ac:dyDescent="0.35">
      <c r="A847" s="56" t="s">
        <v>912</v>
      </c>
      <c r="B847" s="58">
        <v>16150</v>
      </c>
      <c r="C847" s="58" t="s">
        <v>2074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4875</v>
      </c>
      <c r="M847" s="58">
        <v>4875</v>
      </c>
      <c r="N847" s="58">
        <v>15139.55</v>
      </c>
      <c r="O847" s="58">
        <v>16150</v>
      </c>
      <c r="P847" s="58" t="s">
        <v>2074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0</v>
      </c>
      <c r="Z847" s="58">
        <v>4875</v>
      </c>
      <c r="AA847" s="58">
        <v>15139.55</v>
      </c>
      <c r="AE847" s="57"/>
    </row>
    <row r="848" spans="1:31" x14ac:dyDescent="0.35">
      <c r="A848" s="56" t="s">
        <v>913</v>
      </c>
      <c r="B848" s="58">
        <v>16150</v>
      </c>
      <c r="C848" s="58" t="s">
        <v>2068</v>
      </c>
      <c r="D848" s="58">
        <v>0</v>
      </c>
      <c r="E848" s="58">
        <v>0</v>
      </c>
      <c r="F848" s="58">
        <v>0</v>
      </c>
      <c r="G848" s="58">
        <v>0</v>
      </c>
      <c r="H848" s="58">
        <v>0</v>
      </c>
      <c r="I848" s="58">
        <v>0</v>
      </c>
      <c r="J848" s="58">
        <v>0</v>
      </c>
      <c r="K848" s="58">
        <v>0</v>
      </c>
      <c r="L848" s="58">
        <v>9225</v>
      </c>
      <c r="M848" s="58">
        <v>4875</v>
      </c>
      <c r="N848" s="58">
        <v>15139.55</v>
      </c>
      <c r="O848" s="58">
        <v>16150</v>
      </c>
      <c r="P848" s="58" t="s">
        <v>2068</v>
      </c>
      <c r="Q848" s="58">
        <v>0</v>
      </c>
      <c r="R848" s="58">
        <v>0</v>
      </c>
      <c r="S848" s="58">
        <v>0</v>
      </c>
      <c r="T848" s="58">
        <v>0</v>
      </c>
      <c r="U848" s="58">
        <v>0</v>
      </c>
      <c r="V848" s="58">
        <v>0</v>
      </c>
      <c r="W848" s="58">
        <v>0</v>
      </c>
      <c r="X848" s="58">
        <v>0</v>
      </c>
      <c r="Y848" s="58">
        <v>6225</v>
      </c>
      <c r="Z848" s="58">
        <v>0</v>
      </c>
      <c r="AA848" s="58">
        <v>15143.3</v>
      </c>
      <c r="AE848" s="57"/>
    </row>
    <row r="849" spans="1:31" x14ac:dyDescent="0.35">
      <c r="A849" s="56" t="s">
        <v>914</v>
      </c>
      <c r="B849" s="58">
        <v>16150</v>
      </c>
      <c r="C849" s="58" t="s">
        <v>2076</v>
      </c>
      <c r="D849" s="58">
        <v>0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4875</v>
      </c>
      <c r="M849" s="58">
        <v>4875</v>
      </c>
      <c r="N849" s="58">
        <v>15139.55</v>
      </c>
      <c r="O849" s="58">
        <v>16150</v>
      </c>
      <c r="P849" s="58" t="s">
        <v>2076</v>
      </c>
      <c r="Q849" s="58">
        <v>0</v>
      </c>
      <c r="R849" s="58">
        <v>0</v>
      </c>
      <c r="S849" s="58">
        <v>0</v>
      </c>
      <c r="T849" s="58">
        <v>0</v>
      </c>
      <c r="U849" s="58">
        <v>0</v>
      </c>
      <c r="V849" s="58">
        <v>0</v>
      </c>
      <c r="W849" s="58">
        <v>0</v>
      </c>
      <c r="X849" s="58">
        <v>0</v>
      </c>
      <c r="Y849" s="58">
        <v>0</v>
      </c>
      <c r="Z849" s="58">
        <v>75</v>
      </c>
      <c r="AA849" s="58">
        <v>15139.55</v>
      </c>
      <c r="AE849" s="57"/>
    </row>
    <row r="850" spans="1:31" x14ac:dyDescent="0.35">
      <c r="A850" s="56" t="s">
        <v>915</v>
      </c>
      <c r="B850" s="58">
        <v>16150</v>
      </c>
      <c r="C850" s="58" t="s">
        <v>2075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0</v>
      </c>
      <c r="M850" s="58">
        <v>5025</v>
      </c>
      <c r="N850" s="58">
        <v>15139.55</v>
      </c>
      <c r="O850" s="58">
        <v>16150</v>
      </c>
      <c r="P850" s="58" t="s">
        <v>2075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1050</v>
      </c>
      <c r="Z850" s="58">
        <v>0</v>
      </c>
      <c r="AA850" s="58">
        <v>15143.3</v>
      </c>
      <c r="AE850" s="57"/>
    </row>
    <row r="851" spans="1:31" x14ac:dyDescent="0.35">
      <c r="A851" s="56" t="s">
        <v>916</v>
      </c>
      <c r="B851" s="58">
        <v>16150</v>
      </c>
      <c r="C851" s="58" t="s">
        <v>33</v>
      </c>
      <c r="D851" s="58">
        <v>5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18450</v>
      </c>
      <c r="M851" s="58">
        <v>14850</v>
      </c>
      <c r="N851" s="58">
        <v>15139.55</v>
      </c>
      <c r="O851" s="58">
        <v>16150</v>
      </c>
      <c r="P851" s="58" t="s">
        <v>33</v>
      </c>
      <c r="Q851" s="58">
        <v>112</v>
      </c>
      <c r="R851" s="58">
        <v>1</v>
      </c>
      <c r="S851" s="58">
        <v>0.9009009009009008</v>
      </c>
      <c r="T851" s="58">
        <v>180</v>
      </c>
      <c r="U851" s="58">
        <v>44.44</v>
      </c>
      <c r="V851" s="58">
        <v>0.3</v>
      </c>
      <c r="W851" s="58">
        <v>-0.75</v>
      </c>
      <c r="X851" s="58">
        <v>-71.428571428571431</v>
      </c>
      <c r="Y851" s="58">
        <v>3750</v>
      </c>
      <c r="Z851" s="58">
        <v>43050</v>
      </c>
      <c r="AA851" s="58">
        <v>15139.55</v>
      </c>
      <c r="AE851" s="57"/>
    </row>
    <row r="852" spans="1:31" x14ac:dyDescent="0.35">
      <c r="A852" s="56" t="s">
        <v>917</v>
      </c>
      <c r="B852" s="58">
        <v>16200</v>
      </c>
      <c r="C852" s="58" t="s">
        <v>33</v>
      </c>
      <c r="D852" s="58">
        <v>3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741525</v>
      </c>
      <c r="M852" s="58">
        <v>17025</v>
      </c>
      <c r="N852" s="58">
        <v>15139.55</v>
      </c>
      <c r="O852" s="58">
        <v>16200</v>
      </c>
      <c r="P852" s="58" t="s">
        <v>33</v>
      </c>
      <c r="Q852" s="58">
        <v>6421</v>
      </c>
      <c r="R852" s="58">
        <v>-2484</v>
      </c>
      <c r="S852" s="58">
        <v>-27.89444132509826</v>
      </c>
      <c r="T852" s="58">
        <v>7038</v>
      </c>
      <c r="U852" s="58">
        <v>46.35</v>
      </c>
      <c r="V852" s="58">
        <v>0.35</v>
      </c>
      <c r="W852" s="58">
        <v>-0.70000000000000007</v>
      </c>
      <c r="X852" s="58">
        <v>-66.666666666666671</v>
      </c>
      <c r="Y852" s="58">
        <v>401550</v>
      </c>
      <c r="Z852" s="58">
        <v>78375</v>
      </c>
      <c r="AA852" s="58">
        <v>15139.55</v>
      </c>
      <c r="AE852" s="57"/>
    </row>
    <row r="853" spans="1:31" x14ac:dyDescent="0.35">
      <c r="A853" s="56" t="s">
        <v>918</v>
      </c>
      <c r="B853" s="58">
        <v>16200</v>
      </c>
      <c r="C853" s="58" t="s">
        <v>34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7050</v>
      </c>
      <c r="M853" s="58">
        <v>7050</v>
      </c>
      <c r="N853" s="58">
        <v>15143.3</v>
      </c>
      <c r="O853" s="58">
        <v>16200</v>
      </c>
      <c r="P853" s="58" t="s">
        <v>34</v>
      </c>
      <c r="Q853" s="58">
        <v>2526</v>
      </c>
      <c r="R853" s="58">
        <v>1318</v>
      </c>
      <c r="S853" s="58">
        <v>109.10596026490066</v>
      </c>
      <c r="T853" s="58">
        <v>5631</v>
      </c>
      <c r="U853" s="58">
        <v>21.03</v>
      </c>
      <c r="V853" s="58">
        <v>3.4</v>
      </c>
      <c r="W853" s="58">
        <v>-0.85000000000000009</v>
      </c>
      <c r="X853" s="58">
        <v>-20</v>
      </c>
      <c r="Y853" s="58">
        <v>154800</v>
      </c>
      <c r="Z853" s="58">
        <v>43800</v>
      </c>
      <c r="AA853" s="58">
        <v>15139.55</v>
      </c>
      <c r="AE853" s="57"/>
    </row>
    <row r="854" spans="1:31" x14ac:dyDescent="0.35">
      <c r="A854" s="56" t="s">
        <v>919</v>
      </c>
      <c r="B854" s="58">
        <v>16200</v>
      </c>
      <c r="C854" s="58" t="s">
        <v>64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4875</v>
      </c>
      <c r="M854" s="58">
        <v>4875</v>
      </c>
      <c r="N854" s="58">
        <v>15143.3</v>
      </c>
      <c r="O854" s="58">
        <v>16200</v>
      </c>
      <c r="P854" s="58" t="s">
        <v>64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9975</v>
      </c>
      <c r="Z854" s="58">
        <v>5250</v>
      </c>
      <c r="AA854" s="58">
        <v>15139.55</v>
      </c>
      <c r="AE854" s="57"/>
    </row>
    <row r="855" spans="1:31" x14ac:dyDescent="0.35">
      <c r="A855" s="56" t="s">
        <v>920</v>
      </c>
      <c r="B855" s="58">
        <v>16200</v>
      </c>
      <c r="C855" s="58" t="s">
        <v>2071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4875</v>
      </c>
      <c r="M855" s="58">
        <v>4875</v>
      </c>
      <c r="N855" s="58">
        <v>15139.55</v>
      </c>
      <c r="O855" s="58">
        <v>16200</v>
      </c>
      <c r="P855" s="58" t="s">
        <v>2071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3075</v>
      </c>
      <c r="Z855" s="58">
        <v>0</v>
      </c>
      <c r="AA855" s="58">
        <v>15139.55</v>
      </c>
      <c r="AE855" s="57"/>
    </row>
    <row r="856" spans="1:31" x14ac:dyDescent="0.35">
      <c r="A856" s="56" t="s">
        <v>921</v>
      </c>
      <c r="B856" s="58">
        <v>16200</v>
      </c>
      <c r="C856" s="58" t="s">
        <v>2073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4875</v>
      </c>
      <c r="M856" s="58">
        <v>4875</v>
      </c>
      <c r="N856" s="58">
        <v>15143.3</v>
      </c>
      <c r="O856" s="58">
        <v>16200</v>
      </c>
      <c r="P856" s="58" t="s">
        <v>2073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3375</v>
      </c>
      <c r="Z856" s="58">
        <v>4875</v>
      </c>
      <c r="AA856" s="58">
        <v>15139.55</v>
      </c>
      <c r="AE856" s="57"/>
    </row>
    <row r="857" spans="1:31" x14ac:dyDescent="0.35">
      <c r="A857" s="56" t="s">
        <v>922</v>
      </c>
      <c r="B857" s="58">
        <v>16200</v>
      </c>
      <c r="C857" s="58" t="s">
        <v>2074</v>
      </c>
      <c r="D857" s="58">
        <v>0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4875</v>
      </c>
      <c r="M857" s="58">
        <v>4875</v>
      </c>
      <c r="N857" s="58">
        <v>15143.3</v>
      </c>
      <c r="O857" s="58">
        <v>16200</v>
      </c>
      <c r="P857" s="58" t="s">
        <v>2074</v>
      </c>
      <c r="Q857" s="58">
        <v>0</v>
      </c>
      <c r="R857" s="58">
        <v>0</v>
      </c>
      <c r="S857" s="58">
        <v>0</v>
      </c>
      <c r="T857" s="58">
        <v>0</v>
      </c>
      <c r="U857" s="58">
        <v>0</v>
      </c>
      <c r="V857" s="58">
        <v>0</v>
      </c>
      <c r="W857" s="58">
        <v>0</v>
      </c>
      <c r="X857" s="58">
        <v>0</v>
      </c>
      <c r="Y857" s="58">
        <v>300</v>
      </c>
      <c r="Z857" s="58">
        <v>4875</v>
      </c>
      <c r="AA857" s="58">
        <v>15139.55</v>
      </c>
      <c r="AE857" s="57"/>
    </row>
    <row r="858" spans="1:31" x14ac:dyDescent="0.35">
      <c r="A858" s="56" t="s">
        <v>923</v>
      </c>
      <c r="B858" s="58">
        <v>16200</v>
      </c>
      <c r="C858" s="58" t="s">
        <v>2068</v>
      </c>
      <c r="D858" s="58">
        <v>0</v>
      </c>
      <c r="E858" s="58">
        <v>0</v>
      </c>
      <c r="F858" s="58">
        <v>0</v>
      </c>
      <c r="G858" s="58">
        <v>0</v>
      </c>
      <c r="H858" s="58">
        <v>0</v>
      </c>
      <c r="I858" s="58">
        <v>0</v>
      </c>
      <c r="J858" s="58">
        <v>0</v>
      </c>
      <c r="K858" s="58">
        <v>0</v>
      </c>
      <c r="L858" s="58">
        <v>13575</v>
      </c>
      <c r="M858" s="58">
        <v>13575</v>
      </c>
      <c r="N858" s="58">
        <v>15139.55</v>
      </c>
      <c r="O858" s="58">
        <v>16200</v>
      </c>
      <c r="P858" s="58" t="s">
        <v>2068</v>
      </c>
      <c r="Q858" s="58">
        <v>1094</v>
      </c>
      <c r="R858" s="58">
        <v>266</v>
      </c>
      <c r="S858" s="58">
        <v>32.125603864734302</v>
      </c>
      <c r="T858" s="58">
        <v>697</v>
      </c>
      <c r="U858" s="58">
        <v>15.87</v>
      </c>
      <c r="V858" s="58">
        <v>88</v>
      </c>
      <c r="W858" s="58">
        <v>-10.25</v>
      </c>
      <c r="X858" s="58">
        <v>-10.432569974554708</v>
      </c>
      <c r="Y858" s="58">
        <v>32850</v>
      </c>
      <c r="Z858" s="58">
        <v>12000</v>
      </c>
      <c r="AA858" s="58">
        <v>15139.55</v>
      </c>
      <c r="AE858" s="57"/>
    </row>
    <row r="859" spans="1:31" x14ac:dyDescent="0.35">
      <c r="A859" s="56" t="s">
        <v>924</v>
      </c>
      <c r="B859" s="58">
        <v>16200</v>
      </c>
      <c r="C859" s="58" t="s">
        <v>2076</v>
      </c>
      <c r="D859" s="58">
        <v>0</v>
      </c>
      <c r="E859" s="58">
        <v>0</v>
      </c>
      <c r="F859" s="58">
        <v>0</v>
      </c>
      <c r="G859" s="58">
        <v>0</v>
      </c>
      <c r="H859" s="58">
        <v>0</v>
      </c>
      <c r="I859" s="58">
        <v>0</v>
      </c>
      <c r="J859" s="58">
        <v>0</v>
      </c>
      <c r="K859" s="58">
        <v>0</v>
      </c>
      <c r="L859" s="58">
        <v>4875</v>
      </c>
      <c r="M859" s="58">
        <v>4875</v>
      </c>
      <c r="N859" s="58">
        <v>15143.3</v>
      </c>
      <c r="O859" s="58">
        <v>16200</v>
      </c>
      <c r="P859" s="58" t="s">
        <v>2076</v>
      </c>
      <c r="Q859" s="58">
        <v>0</v>
      </c>
      <c r="R859" s="58">
        <v>0</v>
      </c>
      <c r="S859" s="58">
        <v>0</v>
      </c>
      <c r="T859" s="58">
        <v>0</v>
      </c>
      <c r="U859" s="58">
        <v>0</v>
      </c>
      <c r="V859" s="58">
        <v>0</v>
      </c>
      <c r="W859" s="58">
        <v>0</v>
      </c>
      <c r="X859" s="58">
        <v>0</v>
      </c>
      <c r="Y859" s="58">
        <v>0</v>
      </c>
      <c r="Z859" s="58">
        <v>4875</v>
      </c>
      <c r="AA859" s="58">
        <v>15139.55</v>
      </c>
      <c r="AE859" s="57"/>
    </row>
    <row r="860" spans="1:31" x14ac:dyDescent="0.35">
      <c r="A860" s="56" t="s">
        <v>925</v>
      </c>
      <c r="B860" s="58">
        <v>16200</v>
      </c>
      <c r="C860" s="58" t="s">
        <v>2075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0</v>
      </c>
      <c r="M860" s="58">
        <v>5025</v>
      </c>
      <c r="N860" s="58">
        <v>15139.55</v>
      </c>
      <c r="O860" s="58">
        <v>16200</v>
      </c>
      <c r="P860" s="58" t="s">
        <v>2075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4575</v>
      </c>
      <c r="Z860" s="58">
        <v>0</v>
      </c>
      <c r="AA860" s="58">
        <v>15139.55</v>
      </c>
      <c r="AE860" s="57"/>
    </row>
    <row r="861" spans="1:31" x14ac:dyDescent="0.35">
      <c r="A861" s="56" t="s">
        <v>926</v>
      </c>
      <c r="B861" s="58">
        <v>16200</v>
      </c>
      <c r="C861" s="58" t="s">
        <v>26</v>
      </c>
      <c r="D861" s="58">
        <v>45</v>
      </c>
      <c r="E861" s="58">
        <v>1</v>
      </c>
      <c r="F861" s="58">
        <v>2.2727272727272729</v>
      </c>
      <c r="G861" s="58">
        <v>5</v>
      </c>
      <c r="H861" s="58">
        <v>23.7</v>
      </c>
      <c r="I861" s="58">
        <v>1029.7</v>
      </c>
      <c r="J861" s="58">
        <v>-27.25</v>
      </c>
      <c r="K861" s="58">
        <v>-2.5781730450825489</v>
      </c>
      <c r="L861" s="58">
        <v>18300</v>
      </c>
      <c r="M861" s="58">
        <v>16950</v>
      </c>
      <c r="N861" s="58">
        <v>15143.3</v>
      </c>
      <c r="O861" s="58">
        <v>16200</v>
      </c>
      <c r="P861" s="58" t="s">
        <v>26</v>
      </c>
      <c r="Q861" s="58">
        <v>6098</v>
      </c>
      <c r="R861" s="58">
        <v>312</v>
      </c>
      <c r="S861" s="58">
        <v>5.3923263048738335</v>
      </c>
      <c r="T861" s="58">
        <v>3077</v>
      </c>
      <c r="U861" s="58">
        <v>18.73</v>
      </c>
      <c r="V861" s="58">
        <v>11.05</v>
      </c>
      <c r="W861" s="58">
        <v>-1.5999999999999996</v>
      </c>
      <c r="X861" s="58">
        <v>-12.648221343873514</v>
      </c>
      <c r="Y861" s="58">
        <v>95550</v>
      </c>
      <c r="Z861" s="58">
        <v>41550</v>
      </c>
      <c r="AA861" s="58">
        <v>15139.55</v>
      </c>
      <c r="AE861" s="57"/>
    </row>
    <row r="862" spans="1:31" x14ac:dyDescent="0.35">
      <c r="A862" s="56" t="s">
        <v>927</v>
      </c>
      <c r="B862" s="58">
        <v>16250</v>
      </c>
      <c r="C862" s="58" t="s">
        <v>33</v>
      </c>
      <c r="D862" s="58">
        <v>0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14775</v>
      </c>
      <c r="M862" s="58">
        <v>14700</v>
      </c>
      <c r="N862" s="58">
        <v>15139.55</v>
      </c>
      <c r="O862" s="58">
        <v>16250</v>
      </c>
      <c r="P862" s="58" t="s">
        <v>33</v>
      </c>
      <c r="Q862" s="58">
        <v>113</v>
      </c>
      <c r="R862" s="58">
        <v>14</v>
      </c>
      <c r="S862" s="58">
        <v>14.141414141414142</v>
      </c>
      <c r="T862" s="58">
        <v>56</v>
      </c>
      <c r="U862" s="58">
        <v>45.29</v>
      </c>
      <c r="V862" s="58">
        <v>0.15</v>
      </c>
      <c r="W862" s="58">
        <v>-0.75</v>
      </c>
      <c r="X862" s="58">
        <v>-83.333333333333329</v>
      </c>
      <c r="Y862" s="58">
        <v>18150</v>
      </c>
      <c r="Z862" s="58">
        <v>50175</v>
      </c>
      <c r="AA862" s="58">
        <v>15143.3</v>
      </c>
      <c r="AE862" s="57"/>
    </row>
    <row r="863" spans="1:31" x14ac:dyDescent="0.35">
      <c r="A863" s="56" t="s">
        <v>928</v>
      </c>
      <c r="B863" s="58">
        <v>16250</v>
      </c>
      <c r="C863" s="58" t="s">
        <v>26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15975</v>
      </c>
      <c r="M863" s="58">
        <v>15300</v>
      </c>
      <c r="N863" s="58">
        <v>15143.3</v>
      </c>
      <c r="O863" s="58">
        <v>16250</v>
      </c>
      <c r="P863" s="58" t="s">
        <v>26</v>
      </c>
      <c r="Q863" s="58">
        <v>53</v>
      </c>
      <c r="R863" s="58">
        <v>39</v>
      </c>
      <c r="S863" s="58">
        <v>278.57142857142856</v>
      </c>
      <c r="T863" s="58">
        <v>74</v>
      </c>
      <c r="U863" s="58">
        <v>18.96</v>
      </c>
      <c r="V863" s="58">
        <v>9.9499999999999993</v>
      </c>
      <c r="W863" s="58">
        <v>-4.5500000000000007</v>
      </c>
      <c r="X863" s="58">
        <v>-31.379310344827591</v>
      </c>
      <c r="Y863" s="58">
        <v>25800</v>
      </c>
      <c r="Z863" s="58">
        <v>16125</v>
      </c>
      <c r="AA863" s="58">
        <v>15139.55</v>
      </c>
      <c r="AE863" s="57"/>
    </row>
    <row r="864" spans="1:31" x14ac:dyDescent="0.35">
      <c r="A864" s="56" t="s">
        <v>929</v>
      </c>
      <c r="B864" s="58">
        <v>16250</v>
      </c>
      <c r="C864" s="58" t="s">
        <v>64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4875</v>
      </c>
      <c r="M864" s="58">
        <v>4875</v>
      </c>
      <c r="N864" s="58">
        <v>15139.55</v>
      </c>
      <c r="O864" s="58">
        <v>16250</v>
      </c>
      <c r="P864" s="58" t="s">
        <v>64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5775</v>
      </c>
      <c r="Z864" s="58">
        <v>5250</v>
      </c>
      <c r="AA864" s="58">
        <v>15143.3</v>
      </c>
      <c r="AE864" s="57"/>
    </row>
    <row r="865" spans="1:31" x14ac:dyDescent="0.35">
      <c r="A865" s="56" t="s">
        <v>930</v>
      </c>
      <c r="B865" s="58">
        <v>16250</v>
      </c>
      <c r="C865" s="58" t="s">
        <v>2071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4875</v>
      </c>
      <c r="M865" s="58">
        <v>4875</v>
      </c>
      <c r="N865" s="58">
        <v>15143.3</v>
      </c>
      <c r="O865" s="58">
        <v>16250</v>
      </c>
      <c r="P865" s="58" t="s">
        <v>2071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2775</v>
      </c>
      <c r="Z865" s="58">
        <v>0</v>
      </c>
      <c r="AA865" s="58">
        <v>15139.55</v>
      </c>
      <c r="AE865" s="57"/>
    </row>
    <row r="866" spans="1:31" x14ac:dyDescent="0.35">
      <c r="A866" s="56" t="s">
        <v>931</v>
      </c>
      <c r="B866" s="58">
        <v>16250</v>
      </c>
      <c r="C866" s="58" t="s">
        <v>2073</v>
      </c>
      <c r="D866" s="58">
        <v>0</v>
      </c>
      <c r="E866" s="58">
        <v>0</v>
      </c>
      <c r="F866" s="58">
        <v>0</v>
      </c>
      <c r="G866" s="58">
        <v>0</v>
      </c>
      <c r="H866" s="58">
        <v>0</v>
      </c>
      <c r="I866" s="58">
        <v>0</v>
      </c>
      <c r="J866" s="58">
        <v>0</v>
      </c>
      <c r="K866" s="58">
        <v>0</v>
      </c>
      <c r="L866" s="58">
        <v>4875</v>
      </c>
      <c r="M866" s="58">
        <v>4875</v>
      </c>
      <c r="N866" s="58">
        <v>15143.3</v>
      </c>
      <c r="O866" s="58">
        <v>16250</v>
      </c>
      <c r="P866" s="58" t="s">
        <v>2073</v>
      </c>
      <c r="Q866" s="58">
        <v>0</v>
      </c>
      <c r="R866" s="58">
        <v>0</v>
      </c>
      <c r="S866" s="58">
        <v>0</v>
      </c>
      <c r="T866" s="58">
        <v>0</v>
      </c>
      <c r="U866" s="58">
        <v>0</v>
      </c>
      <c r="V866" s="58">
        <v>0</v>
      </c>
      <c r="W866" s="58">
        <v>0</v>
      </c>
      <c r="X866" s="58">
        <v>0</v>
      </c>
      <c r="Y866" s="58">
        <v>2775</v>
      </c>
      <c r="Z866" s="58">
        <v>4875</v>
      </c>
      <c r="AA866" s="58">
        <v>15143.3</v>
      </c>
      <c r="AE866" s="57"/>
    </row>
    <row r="867" spans="1:31" x14ac:dyDescent="0.35">
      <c r="A867" s="56" t="s">
        <v>932</v>
      </c>
      <c r="B867" s="58">
        <v>16250</v>
      </c>
      <c r="C867" s="58" t="s">
        <v>2074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4875</v>
      </c>
      <c r="N867" s="58">
        <v>15143.3</v>
      </c>
      <c r="O867" s="58">
        <v>16250</v>
      </c>
      <c r="P867" s="58" t="s">
        <v>2074</v>
      </c>
      <c r="Q867" s="58">
        <v>0</v>
      </c>
      <c r="R867" s="58">
        <v>0</v>
      </c>
      <c r="S867" s="58">
        <v>0</v>
      </c>
      <c r="T867" s="58">
        <v>0</v>
      </c>
      <c r="U867" s="58">
        <v>0</v>
      </c>
      <c r="V867" s="58">
        <v>0</v>
      </c>
      <c r="W867" s="58">
        <v>0</v>
      </c>
      <c r="X867" s="58">
        <v>0</v>
      </c>
      <c r="Y867" s="58">
        <v>0</v>
      </c>
      <c r="Z867" s="58">
        <v>4875</v>
      </c>
      <c r="AA867" s="58">
        <v>15143.3</v>
      </c>
      <c r="AE867" s="57"/>
    </row>
    <row r="868" spans="1:31" x14ac:dyDescent="0.35">
      <c r="A868" s="56" t="s">
        <v>933</v>
      </c>
      <c r="B868" s="58">
        <v>16250</v>
      </c>
      <c r="C868" s="58" t="s">
        <v>2068</v>
      </c>
      <c r="D868" s="58">
        <v>0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9075</v>
      </c>
      <c r="M868" s="58">
        <v>4875</v>
      </c>
      <c r="N868" s="58">
        <v>15143.3</v>
      </c>
      <c r="O868" s="58">
        <v>16250</v>
      </c>
      <c r="P868" s="58" t="s">
        <v>2068</v>
      </c>
      <c r="Q868" s="58">
        <v>0</v>
      </c>
      <c r="R868" s="58">
        <v>0</v>
      </c>
      <c r="S868" s="58">
        <v>0</v>
      </c>
      <c r="T868" s="58">
        <v>0</v>
      </c>
      <c r="U868" s="58">
        <v>0</v>
      </c>
      <c r="V868" s="58">
        <v>0</v>
      </c>
      <c r="W868" s="58">
        <v>0</v>
      </c>
      <c r="X868" s="58">
        <v>0</v>
      </c>
      <c r="Y868" s="58">
        <v>4650</v>
      </c>
      <c r="Z868" s="58">
        <v>0</v>
      </c>
      <c r="AA868" s="58">
        <v>15139.55</v>
      </c>
      <c r="AE868" s="57"/>
    </row>
    <row r="869" spans="1:31" x14ac:dyDescent="0.35">
      <c r="A869" s="56" t="s">
        <v>934</v>
      </c>
      <c r="B869" s="58">
        <v>16250</v>
      </c>
      <c r="C869" s="58" t="s">
        <v>2076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15139.55</v>
      </c>
      <c r="O869" s="58">
        <v>16250</v>
      </c>
      <c r="P869" s="58" t="s">
        <v>2076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15139.55</v>
      </c>
      <c r="AE869" s="57"/>
    </row>
    <row r="870" spans="1:31" x14ac:dyDescent="0.35">
      <c r="A870" s="56" t="s">
        <v>935</v>
      </c>
      <c r="B870" s="58">
        <v>16250</v>
      </c>
      <c r="C870" s="58" t="s">
        <v>2075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5400</v>
      </c>
      <c r="M870" s="58">
        <v>5025</v>
      </c>
      <c r="N870" s="58">
        <v>15139.55</v>
      </c>
      <c r="O870" s="58">
        <v>16250</v>
      </c>
      <c r="P870" s="58" t="s">
        <v>2075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900</v>
      </c>
      <c r="Z870" s="58">
        <v>0</v>
      </c>
      <c r="AA870" s="58">
        <v>15139.55</v>
      </c>
      <c r="AE870" s="57"/>
    </row>
    <row r="871" spans="1:31" x14ac:dyDescent="0.35">
      <c r="A871" s="56" t="s">
        <v>936</v>
      </c>
      <c r="B871" s="58">
        <v>16250</v>
      </c>
      <c r="C871" s="58" t="s">
        <v>34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9750</v>
      </c>
      <c r="M871" s="58">
        <v>9750</v>
      </c>
      <c r="N871" s="58">
        <v>15143.3</v>
      </c>
      <c r="O871" s="58">
        <v>16250</v>
      </c>
      <c r="P871" s="58" t="s">
        <v>34</v>
      </c>
      <c r="Q871" s="58">
        <v>15</v>
      </c>
      <c r="R871" s="58">
        <v>5</v>
      </c>
      <c r="S871" s="58">
        <v>50</v>
      </c>
      <c r="T871" s="58">
        <v>101</v>
      </c>
      <c r="U871" s="58">
        <v>22.12</v>
      </c>
      <c r="V871" s="58">
        <v>3.3</v>
      </c>
      <c r="W871" s="58">
        <v>-1.0499999999999998</v>
      </c>
      <c r="X871" s="58">
        <v>-24.137931034482762</v>
      </c>
      <c r="Y871" s="58">
        <v>25725</v>
      </c>
      <c r="Z871" s="58">
        <v>24000</v>
      </c>
      <c r="AA871" s="58">
        <v>15139.55</v>
      </c>
      <c r="AE871" s="57"/>
    </row>
    <row r="872" spans="1:31" x14ac:dyDescent="0.35">
      <c r="A872" s="56" t="s">
        <v>937</v>
      </c>
      <c r="B872" s="58">
        <v>16300</v>
      </c>
      <c r="C872" s="58" t="s">
        <v>33</v>
      </c>
      <c r="D872" s="58">
        <v>1</v>
      </c>
      <c r="E872" s="58">
        <v>-5</v>
      </c>
      <c r="F872" s="58">
        <v>-83.333333333333329</v>
      </c>
      <c r="G872" s="58">
        <v>6</v>
      </c>
      <c r="H872" s="58">
        <v>0</v>
      </c>
      <c r="I872" s="58">
        <v>1120</v>
      </c>
      <c r="J872" s="58">
        <v>-76.700000000000045</v>
      </c>
      <c r="K872" s="58">
        <v>-6.4092922202724196</v>
      </c>
      <c r="L872" s="58">
        <v>15150</v>
      </c>
      <c r="M872" s="58">
        <v>15150</v>
      </c>
      <c r="N872" s="58">
        <v>15143.3</v>
      </c>
      <c r="O872" s="58">
        <v>16300</v>
      </c>
      <c r="P872" s="58" t="s">
        <v>33</v>
      </c>
      <c r="Q872" s="58">
        <v>2942</v>
      </c>
      <c r="R872" s="58">
        <v>590</v>
      </c>
      <c r="S872" s="58">
        <v>25.085034013605441</v>
      </c>
      <c r="T872" s="58">
        <v>2469</v>
      </c>
      <c r="U872" s="58">
        <v>49.28</v>
      </c>
      <c r="V872" s="58">
        <v>0.3</v>
      </c>
      <c r="W872" s="58">
        <v>-0.64999999999999991</v>
      </c>
      <c r="X872" s="58">
        <v>-68.421052631578931</v>
      </c>
      <c r="Y872" s="58">
        <v>216075</v>
      </c>
      <c r="Z872" s="58">
        <v>52650</v>
      </c>
      <c r="AA872" s="58">
        <v>15139.55</v>
      </c>
      <c r="AE872" s="57"/>
    </row>
    <row r="873" spans="1:31" x14ac:dyDescent="0.35">
      <c r="A873" s="56" t="s">
        <v>938</v>
      </c>
      <c r="B873" s="58">
        <v>16300</v>
      </c>
      <c r="C873" s="58" t="s">
        <v>34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6900</v>
      </c>
      <c r="M873" s="58">
        <v>6900</v>
      </c>
      <c r="N873" s="58">
        <v>15139.55</v>
      </c>
      <c r="O873" s="58">
        <v>16300</v>
      </c>
      <c r="P873" s="58" t="s">
        <v>34</v>
      </c>
      <c r="Q873" s="58">
        <v>621</v>
      </c>
      <c r="R873" s="58">
        <v>41</v>
      </c>
      <c r="S873" s="58">
        <v>7.068965517241379</v>
      </c>
      <c r="T873" s="58">
        <v>1216</v>
      </c>
      <c r="U873" s="58">
        <v>22.53</v>
      </c>
      <c r="V873" s="58">
        <v>2.95</v>
      </c>
      <c r="W873" s="58">
        <v>-0.69999999999999973</v>
      </c>
      <c r="X873" s="58">
        <v>-19.178082191780817</v>
      </c>
      <c r="Y873" s="58">
        <v>105525</v>
      </c>
      <c r="Z873" s="58">
        <v>29325</v>
      </c>
      <c r="AA873" s="58">
        <v>15143.3</v>
      </c>
      <c r="AE873" s="57"/>
    </row>
    <row r="874" spans="1:31" x14ac:dyDescent="0.35">
      <c r="A874" s="56" t="s">
        <v>939</v>
      </c>
      <c r="B874" s="58">
        <v>16300</v>
      </c>
      <c r="C874" s="58" t="s">
        <v>26</v>
      </c>
      <c r="D874" s="58">
        <v>8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21375</v>
      </c>
      <c r="M874" s="58">
        <v>20025</v>
      </c>
      <c r="N874" s="58">
        <v>15143.3</v>
      </c>
      <c r="O874" s="58">
        <v>16300</v>
      </c>
      <c r="P874" s="58" t="s">
        <v>26</v>
      </c>
      <c r="Q874" s="58">
        <v>4566</v>
      </c>
      <c r="R874" s="58">
        <v>171</v>
      </c>
      <c r="S874" s="58">
        <v>3.8907849829351537</v>
      </c>
      <c r="T874" s="58">
        <v>1557</v>
      </c>
      <c r="U874" s="58">
        <v>19.18</v>
      </c>
      <c r="V874" s="58">
        <v>8.6999999999999993</v>
      </c>
      <c r="W874" s="58">
        <v>-1.2000000000000011</v>
      </c>
      <c r="X874" s="58">
        <v>-12.121212121212132</v>
      </c>
      <c r="Y874" s="58">
        <v>108750</v>
      </c>
      <c r="Z874" s="58">
        <v>26475</v>
      </c>
      <c r="AA874" s="58">
        <v>15143.3</v>
      </c>
      <c r="AE874" s="57"/>
    </row>
    <row r="875" spans="1:31" x14ac:dyDescent="0.35">
      <c r="A875" s="56" t="s">
        <v>940</v>
      </c>
      <c r="B875" s="58">
        <v>16300</v>
      </c>
      <c r="C875" s="58" t="s">
        <v>64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4875</v>
      </c>
      <c r="M875" s="58">
        <v>4875</v>
      </c>
      <c r="N875" s="58">
        <v>15143.3</v>
      </c>
      <c r="O875" s="58">
        <v>16300</v>
      </c>
      <c r="P875" s="58" t="s">
        <v>64</v>
      </c>
      <c r="Q875" s="58">
        <v>0</v>
      </c>
      <c r="R875" s="58">
        <v>0</v>
      </c>
      <c r="S875" s="58">
        <v>0</v>
      </c>
      <c r="T875" s="58">
        <v>0</v>
      </c>
      <c r="U875" s="58">
        <v>0</v>
      </c>
      <c r="V875" s="58">
        <v>0</v>
      </c>
      <c r="W875" s="58">
        <v>0</v>
      </c>
      <c r="X875" s="58">
        <v>0</v>
      </c>
      <c r="Y875" s="58">
        <v>9075</v>
      </c>
      <c r="Z875" s="58">
        <v>5175</v>
      </c>
      <c r="AA875" s="58">
        <v>15139.55</v>
      </c>
      <c r="AE875" s="57"/>
    </row>
    <row r="876" spans="1:31" x14ac:dyDescent="0.35">
      <c r="A876" s="56" t="s">
        <v>941</v>
      </c>
      <c r="B876" s="58">
        <v>16300</v>
      </c>
      <c r="C876" s="58" t="s">
        <v>2071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4875</v>
      </c>
      <c r="N876" s="58">
        <v>15139.55</v>
      </c>
      <c r="O876" s="58">
        <v>16300</v>
      </c>
      <c r="P876" s="58" t="s">
        <v>2071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3375</v>
      </c>
      <c r="Z876" s="58">
        <v>0</v>
      </c>
      <c r="AA876" s="58">
        <v>15139.55</v>
      </c>
      <c r="AE876" s="57"/>
    </row>
    <row r="877" spans="1:31" x14ac:dyDescent="0.35">
      <c r="A877" s="56" t="s">
        <v>942</v>
      </c>
      <c r="B877" s="58">
        <v>16300</v>
      </c>
      <c r="C877" s="58" t="s">
        <v>2073</v>
      </c>
      <c r="D877" s="58">
        <v>0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4875</v>
      </c>
      <c r="M877" s="58">
        <v>4875</v>
      </c>
      <c r="N877" s="58">
        <v>15139.55</v>
      </c>
      <c r="O877" s="58">
        <v>16300</v>
      </c>
      <c r="P877" s="58" t="s">
        <v>2073</v>
      </c>
      <c r="Q877" s="58">
        <v>0</v>
      </c>
      <c r="R877" s="58">
        <v>0</v>
      </c>
      <c r="S877" s="58">
        <v>0</v>
      </c>
      <c r="T877" s="58">
        <v>0</v>
      </c>
      <c r="U877" s="58">
        <v>0</v>
      </c>
      <c r="V877" s="58">
        <v>0</v>
      </c>
      <c r="W877" s="58">
        <v>0</v>
      </c>
      <c r="X877" s="58">
        <v>0</v>
      </c>
      <c r="Y877" s="58">
        <v>3375</v>
      </c>
      <c r="Z877" s="58">
        <v>4875</v>
      </c>
      <c r="AA877" s="58">
        <v>15143.3</v>
      </c>
      <c r="AE877" s="57"/>
    </row>
    <row r="878" spans="1:31" x14ac:dyDescent="0.35">
      <c r="A878" s="56" t="s">
        <v>943</v>
      </c>
      <c r="B878" s="58">
        <v>16300</v>
      </c>
      <c r="C878" s="58" t="s">
        <v>2074</v>
      </c>
      <c r="D878" s="58">
        <v>0</v>
      </c>
      <c r="E878" s="58">
        <v>0</v>
      </c>
      <c r="F878" s="58">
        <v>0</v>
      </c>
      <c r="G878" s="58">
        <v>0</v>
      </c>
      <c r="H878" s="58">
        <v>0</v>
      </c>
      <c r="I878" s="58">
        <v>0</v>
      </c>
      <c r="J878" s="58">
        <v>0</v>
      </c>
      <c r="K878" s="58">
        <v>0</v>
      </c>
      <c r="L878" s="58">
        <v>4875</v>
      </c>
      <c r="M878" s="58">
        <v>4875</v>
      </c>
      <c r="N878" s="58">
        <v>15143.3</v>
      </c>
      <c r="O878" s="58">
        <v>16300</v>
      </c>
      <c r="P878" s="58" t="s">
        <v>2074</v>
      </c>
      <c r="Q878" s="58">
        <v>0</v>
      </c>
      <c r="R878" s="58">
        <v>0</v>
      </c>
      <c r="S878" s="58">
        <v>0</v>
      </c>
      <c r="T878" s="58">
        <v>0</v>
      </c>
      <c r="U878" s="58">
        <v>0</v>
      </c>
      <c r="V878" s="58">
        <v>0</v>
      </c>
      <c r="W878" s="58">
        <v>0</v>
      </c>
      <c r="X878" s="58">
        <v>0</v>
      </c>
      <c r="Y878" s="58">
        <v>300</v>
      </c>
      <c r="Z878" s="58">
        <v>4875</v>
      </c>
      <c r="AA878" s="58">
        <v>15143.3</v>
      </c>
      <c r="AE878" s="57"/>
    </row>
    <row r="879" spans="1:31" x14ac:dyDescent="0.35">
      <c r="A879" s="56" t="s">
        <v>944</v>
      </c>
      <c r="B879" s="58">
        <v>16300</v>
      </c>
      <c r="C879" s="58" t="s">
        <v>2068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13575</v>
      </c>
      <c r="M879" s="58">
        <v>10200</v>
      </c>
      <c r="N879" s="58">
        <v>15143.3</v>
      </c>
      <c r="O879" s="58">
        <v>16300</v>
      </c>
      <c r="P879" s="58" t="s">
        <v>2068</v>
      </c>
      <c r="Q879" s="58">
        <v>874</v>
      </c>
      <c r="R879" s="58">
        <v>164</v>
      </c>
      <c r="S879" s="58">
        <v>23.098591549295776</v>
      </c>
      <c r="T879" s="58">
        <v>462</v>
      </c>
      <c r="U879" s="58">
        <v>15.7</v>
      </c>
      <c r="V879" s="58">
        <v>72</v>
      </c>
      <c r="W879" s="58">
        <v>-5.75</v>
      </c>
      <c r="X879" s="58">
        <v>-7.395498392282958</v>
      </c>
      <c r="Y879" s="58">
        <v>31050</v>
      </c>
      <c r="Z879" s="58">
        <v>13500</v>
      </c>
      <c r="AA879" s="58">
        <v>15139.55</v>
      </c>
      <c r="AE879" s="57"/>
    </row>
    <row r="880" spans="1:31" x14ac:dyDescent="0.35">
      <c r="A880" s="56" t="s">
        <v>945</v>
      </c>
      <c r="B880" s="58">
        <v>16300</v>
      </c>
      <c r="C880" s="58" t="s">
        <v>2076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15139.55</v>
      </c>
      <c r="O880" s="58">
        <v>16300</v>
      </c>
      <c r="P880" s="58" t="s">
        <v>2076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0</v>
      </c>
      <c r="Z880" s="58">
        <v>4875</v>
      </c>
      <c r="AA880" s="58">
        <v>15139.55</v>
      </c>
      <c r="AE880" s="57"/>
    </row>
    <row r="881" spans="1:31" x14ac:dyDescent="0.35">
      <c r="A881" s="56" t="s">
        <v>946</v>
      </c>
      <c r="B881" s="58">
        <v>16300</v>
      </c>
      <c r="C881" s="58" t="s">
        <v>2075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5400</v>
      </c>
      <c r="M881" s="58">
        <v>5025</v>
      </c>
      <c r="N881" s="58">
        <v>15139.55</v>
      </c>
      <c r="O881" s="58">
        <v>16300</v>
      </c>
      <c r="P881" s="58" t="s">
        <v>2075</v>
      </c>
      <c r="Q881" s="58">
        <v>2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7050</v>
      </c>
      <c r="Z881" s="58">
        <v>225</v>
      </c>
      <c r="AA881" s="58">
        <v>15143.3</v>
      </c>
      <c r="AE881" s="57"/>
    </row>
    <row r="882" spans="1:31" x14ac:dyDescent="0.35">
      <c r="A882" s="56" t="s">
        <v>947</v>
      </c>
      <c r="B882" s="58">
        <v>16350</v>
      </c>
      <c r="C882" s="58" t="s">
        <v>33</v>
      </c>
      <c r="D882" s="58">
        <v>0</v>
      </c>
      <c r="E882" s="58">
        <v>0</v>
      </c>
      <c r="F882" s="58">
        <v>0</v>
      </c>
      <c r="G882" s="58">
        <v>0</v>
      </c>
      <c r="H882" s="58">
        <v>0</v>
      </c>
      <c r="I882" s="58">
        <v>0</v>
      </c>
      <c r="J882" s="58">
        <v>0</v>
      </c>
      <c r="K882" s="58">
        <v>0</v>
      </c>
      <c r="L882" s="58">
        <v>14700</v>
      </c>
      <c r="M882" s="58">
        <v>14700</v>
      </c>
      <c r="N882" s="58">
        <v>15139.55</v>
      </c>
      <c r="O882" s="58">
        <v>16350</v>
      </c>
      <c r="P882" s="58" t="s">
        <v>33</v>
      </c>
      <c r="Q882" s="58">
        <v>20</v>
      </c>
      <c r="R882" s="58">
        <v>6</v>
      </c>
      <c r="S882" s="58">
        <v>42.857142857142854</v>
      </c>
      <c r="T882" s="58">
        <v>7</v>
      </c>
      <c r="U882" s="58">
        <v>52.78</v>
      </c>
      <c r="V882" s="58">
        <v>0.35</v>
      </c>
      <c r="W882" s="58">
        <v>-0.55000000000000004</v>
      </c>
      <c r="X882" s="58">
        <v>-61.111111111111114</v>
      </c>
      <c r="Y882" s="58">
        <v>825</v>
      </c>
      <c r="Z882" s="58">
        <v>50700</v>
      </c>
      <c r="AA882" s="58">
        <v>15143.3</v>
      </c>
      <c r="AE882" s="57"/>
    </row>
    <row r="883" spans="1:31" x14ac:dyDescent="0.35">
      <c r="A883" s="56" t="s">
        <v>948</v>
      </c>
      <c r="B883" s="58">
        <v>16350</v>
      </c>
      <c r="C883" s="58" t="s">
        <v>34</v>
      </c>
      <c r="D883" s="58">
        <v>0</v>
      </c>
      <c r="E883" s="58">
        <v>0</v>
      </c>
      <c r="F883" s="58">
        <v>0</v>
      </c>
      <c r="G883" s="58">
        <v>0</v>
      </c>
      <c r="H883" s="58">
        <v>0</v>
      </c>
      <c r="I883" s="58">
        <v>0</v>
      </c>
      <c r="J883" s="58">
        <v>0</v>
      </c>
      <c r="K883" s="58">
        <v>0</v>
      </c>
      <c r="L883" s="58">
        <v>9750</v>
      </c>
      <c r="M883" s="58">
        <v>9750</v>
      </c>
      <c r="N883" s="58">
        <v>15139.55</v>
      </c>
      <c r="O883" s="58">
        <v>16350</v>
      </c>
      <c r="P883" s="58" t="s">
        <v>34</v>
      </c>
      <c r="Q883" s="58">
        <v>2</v>
      </c>
      <c r="R883" s="58">
        <v>0</v>
      </c>
      <c r="S883" s="58">
        <v>0</v>
      </c>
      <c r="T883" s="58">
        <v>0</v>
      </c>
      <c r="U883" s="58">
        <v>0</v>
      </c>
      <c r="V883" s="58">
        <v>0</v>
      </c>
      <c r="W883" s="58">
        <v>0</v>
      </c>
      <c r="X883" s="58">
        <v>0</v>
      </c>
      <c r="Y883" s="58">
        <v>30750</v>
      </c>
      <c r="Z883" s="58">
        <v>20325</v>
      </c>
      <c r="AA883" s="58">
        <v>15139.55</v>
      </c>
      <c r="AE883" s="57"/>
    </row>
    <row r="884" spans="1:31" x14ac:dyDescent="0.35">
      <c r="A884" s="56" t="s">
        <v>949</v>
      </c>
      <c r="B884" s="58">
        <v>16350</v>
      </c>
      <c r="C884" s="58" t="s">
        <v>64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4875</v>
      </c>
      <c r="M884" s="58">
        <v>4875</v>
      </c>
      <c r="N884" s="58">
        <v>15139.55</v>
      </c>
      <c r="O884" s="58">
        <v>16350</v>
      </c>
      <c r="P884" s="58" t="s">
        <v>64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5775</v>
      </c>
      <c r="Z884" s="58">
        <v>5250</v>
      </c>
      <c r="AA884" s="58">
        <v>15143.3</v>
      </c>
      <c r="AE884" s="57"/>
    </row>
    <row r="885" spans="1:31" x14ac:dyDescent="0.35">
      <c r="A885" s="56" t="s">
        <v>950</v>
      </c>
      <c r="B885" s="58">
        <v>16350</v>
      </c>
      <c r="C885" s="58" t="s">
        <v>2071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4875</v>
      </c>
      <c r="M885" s="58">
        <v>4875</v>
      </c>
      <c r="N885" s="58">
        <v>15143.3</v>
      </c>
      <c r="O885" s="58">
        <v>16350</v>
      </c>
      <c r="P885" s="58" t="s">
        <v>2071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2775</v>
      </c>
      <c r="Z885" s="58">
        <v>0</v>
      </c>
      <c r="AA885" s="58">
        <v>15139.55</v>
      </c>
      <c r="AE885" s="57"/>
    </row>
    <row r="886" spans="1:31" x14ac:dyDescent="0.35">
      <c r="A886" s="56" t="s">
        <v>951</v>
      </c>
      <c r="B886" s="58">
        <v>16350</v>
      </c>
      <c r="C886" s="58" t="s">
        <v>2073</v>
      </c>
      <c r="D886" s="58">
        <v>0</v>
      </c>
      <c r="E886" s="58">
        <v>0</v>
      </c>
      <c r="F886" s="58">
        <v>0</v>
      </c>
      <c r="G886" s="58">
        <v>0</v>
      </c>
      <c r="H886" s="58">
        <v>0</v>
      </c>
      <c r="I886" s="58">
        <v>0</v>
      </c>
      <c r="J886" s="58">
        <v>0</v>
      </c>
      <c r="K886" s="58">
        <v>0</v>
      </c>
      <c r="L886" s="58">
        <v>4875</v>
      </c>
      <c r="M886" s="58">
        <v>4875</v>
      </c>
      <c r="N886" s="58">
        <v>15139.55</v>
      </c>
      <c r="O886" s="58">
        <v>16350</v>
      </c>
      <c r="P886" s="58" t="s">
        <v>2073</v>
      </c>
      <c r="Q886" s="58">
        <v>0</v>
      </c>
      <c r="R886" s="58">
        <v>0</v>
      </c>
      <c r="S886" s="58">
        <v>0</v>
      </c>
      <c r="T886" s="58">
        <v>0</v>
      </c>
      <c r="U886" s="58">
        <v>0</v>
      </c>
      <c r="V886" s="58">
        <v>0</v>
      </c>
      <c r="W886" s="58">
        <v>0</v>
      </c>
      <c r="X886" s="58">
        <v>0</v>
      </c>
      <c r="Y886" s="58">
        <v>2775</v>
      </c>
      <c r="Z886" s="58">
        <v>4875</v>
      </c>
      <c r="AA886" s="58">
        <v>15139.55</v>
      </c>
      <c r="AE886" s="57"/>
    </row>
    <row r="887" spans="1:31" x14ac:dyDescent="0.35">
      <c r="A887" s="56" t="s">
        <v>952</v>
      </c>
      <c r="B887" s="58">
        <v>16350</v>
      </c>
      <c r="C887" s="58" t="s">
        <v>2074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4875</v>
      </c>
      <c r="N887" s="58">
        <v>15143.3</v>
      </c>
      <c r="O887" s="58">
        <v>16350</v>
      </c>
      <c r="P887" s="58" t="s">
        <v>2074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15139.55</v>
      </c>
      <c r="AE887" s="57"/>
    </row>
    <row r="888" spans="1:31" x14ac:dyDescent="0.35">
      <c r="A888" s="56" t="s">
        <v>953</v>
      </c>
      <c r="B888" s="58">
        <v>16350</v>
      </c>
      <c r="C888" s="58" t="s">
        <v>2068</v>
      </c>
      <c r="D888" s="58">
        <v>0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9075</v>
      </c>
      <c r="M888" s="58">
        <v>4875</v>
      </c>
      <c r="N888" s="58">
        <v>15139.55</v>
      </c>
      <c r="O888" s="58">
        <v>16350</v>
      </c>
      <c r="P888" s="58" t="s">
        <v>2068</v>
      </c>
      <c r="Q888" s="58">
        <v>0</v>
      </c>
      <c r="R888" s="58">
        <v>0</v>
      </c>
      <c r="S888" s="58">
        <v>0</v>
      </c>
      <c r="T888" s="58">
        <v>0</v>
      </c>
      <c r="U888" s="58">
        <v>0</v>
      </c>
      <c r="V888" s="58">
        <v>0</v>
      </c>
      <c r="W888" s="58">
        <v>0</v>
      </c>
      <c r="X888" s="58">
        <v>0</v>
      </c>
      <c r="Y888" s="58">
        <v>5550</v>
      </c>
      <c r="Z888" s="58">
        <v>0</v>
      </c>
      <c r="AA888" s="58">
        <v>15143.3</v>
      </c>
      <c r="AE888" s="57"/>
    </row>
    <row r="889" spans="1:31" x14ac:dyDescent="0.35">
      <c r="A889" s="56" t="s">
        <v>954</v>
      </c>
      <c r="B889" s="58">
        <v>16350</v>
      </c>
      <c r="C889" s="58" t="s">
        <v>2076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15143.3</v>
      </c>
      <c r="O889" s="58">
        <v>16350</v>
      </c>
      <c r="P889" s="58" t="s">
        <v>2076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15143.3</v>
      </c>
      <c r="AE889" s="57"/>
    </row>
    <row r="890" spans="1:31" x14ac:dyDescent="0.35">
      <c r="A890" s="56" t="s">
        <v>955</v>
      </c>
      <c r="B890" s="58">
        <v>16350</v>
      </c>
      <c r="C890" s="58" t="s">
        <v>2075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5400</v>
      </c>
      <c r="M890" s="58">
        <v>5025</v>
      </c>
      <c r="N890" s="58">
        <v>15139.55</v>
      </c>
      <c r="O890" s="58">
        <v>16350</v>
      </c>
      <c r="P890" s="58" t="s">
        <v>2075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3150</v>
      </c>
      <c r="Z890" s="58">
        <v>5025</v>
      </c>
      <c r="AA890" s="58">
        <v>15139.55</v>
      </c>
      <c r="AE890" s="57"/>
    </row>
    <row r="891" spans="1:31" x14ac:dyDescent="0.35">
      <c r="A891" s="56" t="s">
        <v>956</v>
      </c>
      <c r="B891" s="58">
        <v>16350</v>
      </c>
      <c r="C891" s="58" t="s">
        <v>26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15975</v>
      </c>
      <c r="M891" s="58">
        <v>15225</v>
      </c>
      <c r="N891" s="58">
        <v>15139.55</v>
      </c>
      <c r="O891" s="58">
        <v>16350</v>
      </c>
      <c r="P891" s="58" t="s">
        <v>26</v>
      </c>
      <c r="Q891" s="58">
        <v>61</v>
      </c>
      <c r="R891" s="58">
        <v>13</v>
      </c>
      <c r="S891" s="58">
        <v>27.083333333333332</v>
      </c>
      <c r="T891" s="58">
        <v>22</v>
      </c>
      <c r="U891" s="58">
        <v>19.57</v>
      </c>
      <c r="V891" s="58">
        <v>7.9</v>
      </c>
      <c r="W891" s="58">
        <v>-1.1500000000000004</v>
      </c>
      <c r="X891" s="58">
        <v>-12.707182320441992</v>
      </c>
      <c r="Y891" s="58">
        <v>29700</v>
      </c>
      <c r="Z891" s="58">
        <v>16050</v>
      </c>
      <c r="AA891" s="58">
        <v>15139.55</v>
      </c>
      <c r="AE891" s="57"/>
    </row>
    <row r="892" spans="1:31" x14ac:dyDescent="0.35">
      <c r="A892" s="56" t="s">
        <v>957</v>
      </c>
      <c r="B892" s="58">
        <v>16400</v>
      </c>
      <c r="C892" s="58" t="s">
        <v>34</v>
      </c>
      <c r="D892" s="58">
        <v>0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6525</v>
      </c>
      <c r="M892" s="58">
        <v>9900</v>
      </c>
      <c r="N892" s="58">
        <v>15143.3</v>
      </c>
      <c r="O892" s="58">
        <v>16400</v>
      </c>
      <c r="P892" s="58" t="s">
        <v>34</v>
      </c>
      <c r="Q892" s="58">
        <v>278</v>
      </c>
      <c r="R892" s="58">
        <v>71</v>
      </c>
      <c r="S892" s="58">
        <v>34.29951690821256</v>
      </c>
      <c r="T892" s="58">
        <v>383</v>
      </c>
      <c r="U892" s="58">
        <v>23.98</v>
      </c>
      <c r="V892" s="58">
        <v>2.75</v>
      </c>
      <c r="W892" s="58">
        <v>-0.35000000000000009</v>
      </c>
      <c r="X892" s="58">
        <v>-11.290322580645164</v>
      </c>
      <c r="Y892" s="58">
        <v>107025</v>
      </c>
      <c r="Z892" s="58">
        <v>40950</v>
      </c>
      <c r="AA892" s="58">
        <v>15143.3</v>
      </c>
      <c r="AE892" s="57"/>
    </row>
    <row r="893" spans="1:31" x14ac:dyDescent="0.35">
      <c r="A893" s="56" t="s">
        <v>958</v>
      </c>
      <c r="B893" s="58">
        <v>16400</v>
      </c>
      <c r="C893" s="58" t="s">
        <v>64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4875</v>
      </c>
      <c r="N893" s="58">
        <v>15143.3</v>
      </c>
      <c r="O893" s="58">
        <v>16400</v>
      </c>
      <c r="P893" s="58" t="s">
        <v>64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9975</v>
      </c>
      <c r="Z893" s="58">
        <v>5175</v>
      </c>
      <c r="AA893" s="58">
        <v>15143.3</v>
      </c>
      <c r="AE893" s="57"/>
    </row>
    <row r="894" spans="1:31" x14ac:dyDescent="0.35">
      <c r="A894" s="56" t="s">
        <v>959</v>
      </c>
      <c r="B894" s="58">
        <v>16400</v>
      </c>
      <c r="C894" s="58" t="s">
        <v>2071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4875</v>
      </c>
      <c r="M894" s="58">
        <v>4875</v>
      </c>
      <c r="N894" s="58">
        <v>15139.55</v>
      </c>
      <c r="O894" s="58">
        <v>16400</v>
      </c>
      <c r="P894" s="58" t="s">
        <v>2071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3075</v>
      </c>
      <c r="Z894" s="58">
        <v>0</v>
      </c>
      <c r="AA894" s="58">
        <v>15139.55</v>
      </c>
      <c r="AE894" s="57"/>
    </row>
    <row r="895" spans="1:31" x14ac:dyDescent="0.35">
      <c r="A895" s="56" t="s">
        <v>960</v>
      </c>
      <c r="B895" s="58">
        <v>16400</v>
      </c>
      <c r="C895" s="58" t="s">
        <v>2073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4875</v>
      </c>
      <c r="M895" s="58">
        <v>4875</v>
      </c>
      <c r="N895" s="58">
        <v>15139.55</v>
      </c>
      <c r="O895" s="58">
        <v>16400</v>
      </c>
      <c r="P895" s="58" t="s">
        <v>2073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3375</v>
      </c>
      <c r="Z895" s="58">
        <v>0</v>
      </c>
      <c r="AA895" s="58">
        <v>15143.3</v>
      </c>
      <c r="AE895" s="57"/>
    </row>
    <row r="896" spans="1:31" x14ac:dyDescent="0.35">
      <c r="A896" s="56" t="s">
        <v>961</v>
      </c>
      <c r="B896" s="58">
        <v>16400</v>
      </c>
      <c r="C896" s="58" t="s">
        <v>2074</v>
      </c>
      <c r="D896" s="58">
        <v>0</v>
      </c>
      <c r="E896" s="58">
        <v>0</v>
      </c>
      <c r="F896" s="58">
        <v>0</v>
      </c>
      <c r="G896" s="58">
        <v>0</v>
      </c>
      <c r="H896" s="58">
        <v>0</v>
      </c>
      <c r="I896" s="58">
        <v>0</v>
      </c>
      <c r="J896" s="58">
        <v>0</v>
      </c>
      <c r="K896" s="58">
        <v>0</v>
      </c>
      <c r="L896" s="58">
        <v>4875</v>
      </c>
      <c r="M896" s="58">
        <v>4875</v>
      </c>
      <c r="N896" s="58">
        <v>15143.3</v>
      </c>
      <c r="O896" s="58">
        <v>16400</v>
      </c>
      <c r="P896" s="58" t="s">
        <v>2074</v>
      </c>
      <c r="Q896" s="58">
        <v>0</v>
      </c>
      <c r="R896" s="58">
        <v>0</v>
      </c>
      <c r="S896" s="58">
        <v>0</v>
      </c>
      <c r="T896" s="58">
        <v>0</v>
      </c>
      <c r="U896" s="58">
        <v>0</v>
      </c>
      <c r="V896" s="58">
        <v>0</v>
      </c>
      <c r="W896" s="58">
        <v>0</v>
      </c>
      <c r="X896" s="58">
        <v>0</v>
      </c>
      <c r="Y896" s="58">
        <v>300</v>
      </c>
      <c r="Z896" s="58">
        <v>4875</v>
      </c>
      <c r="AA896" s="58">
        <v>15139.55</v>
      </c>
      <c r="AE896" s="57"/>
    </row>
    <row r="897" spans="1:31" x14ac:dyDescent="0.35">
      <c r="A897" s="56" t="s">
        <v>962</v>
      </c>
      <c r="B897" s="58">
        <v>16400</v>
      </c>
      <c r="C897" s="58" t="s">
        <v>2068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13575</v>
      </c>
      <c r="M897" s="58">
        <v>10200</v>
      </c>
      <c r="N897" s="58">
        <v>15139.55</v>
      </c>
      <c r="O897" s="58">
        <v>16400</v>
      </c>
      <c r="P897" s="58" t="s">
        <v>2068</v>
      </c>
      <c r="Q897" s="58">
        <v>447</v>
      </c>
      <c r="R897" s="58">
        <v>52</v>
      </c>
      <c r="S897" s="58">
        <v>13.164556962025316</v>
      </c>
      <c r="T897" s="58">
        <v>117</v>
      </c>
      <c r="U897" s="58">
        <v>15.79</v>
      </c>
      <c r="V897" s="58">
        <v>56.3</v>
      </c>
      <c r="W897" s="58">
        <v>-6.4500000000000028</v>
      </c>
      <c r="X897" s="58">
        <v>-10.278884462151398</v>
      </c>
      <c r="Y897" s="58">
        <v>29475</v>
      </c>
      <c r="Z897" s="58">
        <v>11400</v>
      </c>
      <c r="AA897" s="58">
        <v>15139.55</v>
      </c>
      <c r="AE897" s="57"/>
    </row>
    <row r="898" spans="1:31" x14ac:dyDescent="0.35">
      <c r="A898" s="56" t="s">
        <v>963</v>
      </c>
      <c r="B898" s="58">
        <v>16400</v>
      </c>
      <c r="C898" s="58" t="s">
        <v>2076</v>
      </c>
      <c r="D898" s="58">
        <v>0</v>
      </c>
      <c r="E898" s="58">
        <v>0</v>
      </c>
      <c r="F898" s="58">
        <v>0</v>
      </c>
      <c r="G898" s="58">
        <v>0</v>
      </c>
      <c r="H898" s="58">
        <v>0</v>
      </c>
      <c r="I898" s="58">
        <v>0</v>
      </c>
      <c r="J898" s="58">
        <v>0</v>
      </c>
      <c r="K898" s="58">
        <v>0</v>
      </c>
      <c r="L898" s="58">
        <v>4875</v>
      </c>
      <c r="M898" s="58">
        <v>4875</v>
      </c>
      <c r="N898" s="58">
        <v>15139.55</v>
      </c>
      <c r="O898" s="58">
        <v>16400</v>
      </c>
      <c r="P898" s="58" t="s">
        <v>2076</v>
      </c>
      <c r="Q898" s="58">
        <v>0</v>
      </c>
      <c r="R898" s="58">
        <v>0</v>
      </c>
      <c r="S898" s="58">
        <v>0</v>
      </c>
      <c r="T898" s="58">
        <v>0</v>
      </c>
      <c r="U898" s="58">
        <v>0</v>
      </c>
      <c r="V898" s="58">
        <v>0</v>
      </c>
      <c r="W898" s="58">
        <v>0</v>
      </c>
      <c r="X898" s="58">
        <v>0</v>
      </c>
      <c r="Y898" s="58">
        <v>0</v>
      </c>
      <c r="Z898" s="58">
        <v>4875</v>
      </c>
      <c r="AA898" s="58">
        <v>15139.55</v>
      </c>
      <c r="AE898" s="57"/>
    </row>
    <row r="899" spans="1:31" x14ac:dyDescent="0.35">
      <c r="A899" s="56" t="s">
        <v>964</v>
      </c>
      <c r="B899" s="58">
        <v>16400</v>
      </c>
      <c r="C899" s="58" t="s">
        <v>2075</v>
      </c>
      <c r="D899" s="58">
        <v>0</v>
      </c>
      <c r="E899" s="58">
        <v>0</v>
      </c>
      <c r="F899" s="58">
        <v>0</v>
      </c>
      <c r="G899" s="58">
        <v>0</v>
      </c>
      <c r="H899" s="58">
        <v>0</v>
      </c>
      <c r="I899" s="58">
        <v>0</v>
      </c>
      <c r="J899" s="58">
        <v>0</v>
      </c>
      <c r="K899" s="58">
        <v>0</v>
      </c>
      <c r="L899" s="58">
        <v>5400</v>
      </c>
      <c r="M899" s="58">
        <v>5025</v>
      </c>
      <c r="N899" s="58">
        <v>15139.55</v>
      </c>
      <c r="O899" s="58">
        <v>16400</v>
      </c>
      <c r="P899" s="58" t="s">
        <v>2075</v>
      </c>
      <c r="Q899" s="58">
        <v>0</v>
      </c>
      <c r="R899" s="58">
        <v>0</v>
      </c>
      <c r="S899" s="58">
        <v>0</v>
      </c>
      <c r="T899" s="58">
        <v>0</v>
      </c>
      <c r="U899" s="58">
        <v>0</v>
      </c>
      <c r="V899" s="58">
        <v>0</v>
      </c>
      <c r="W899" s="58">
        <v>0</v>
      </c>
      <c r="X899" s="58">
        <v>0</v>
      </c>
      <c r="Y899" s="58">
        <v>6525</v>
      </c>
      <c r="Z899" s="58">
        <v>5100</v>
      </c>
      <c r="AA899" s="58">
        <v>15143.3</v>
      </c>
      <c r="AE899" s="57"/>
    </row>
    <row r="900" spans="1:31" x14ac:dyDescent="0.35">
      <c r="A900" s="56" t="s">
        <v>965</v>
      </c>
      <c r="B900" s="58">
        <v>16400</v>
      </c>
      <c r="C900" s="58" t="s">
        <v>33</v>
      </c>
      <c r="D900" s="58">
        <v>1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14700</v>
      </c>
      <c r="M900" s="58">
        <v>14700</v>
      </c>
      <c r="N900" s="58">
        <v>15139.55</v>
      </c>
      <c r="O900" s="58">
        <v>16400</v>
      </c>
      <c r="P900" s="58" t="s">
        <v>33</v>
      </c>
      <c r="Q900" s="58">
        <v>2749</v>
      </c>
      <c r="R900" s="58">
        <v>121</v>
      </c>
      <c r="S900" s="58">
        <v>4.6042617960426178</v>
      </c>
      <c r="T900" s="58">
        <v>1912</v>
      </c>
      <c r="U900" s="58">
        <v>53.86</v>
      </c>
      <c r="V900" s="58">
        <v>0.3</v>
      </c>
      <c r="W900" s="58">
        <v>-0.60000000000000009</v>
      </c>
      <c r="X900" s="58">
        <v>-66.666666666666671</v>
      </c>
      <c r="Y900" s="58">
        <v>188925</v>
      </c>
      <c r="Z900" s="58">
        <v>53625</v>
      </c>
      <c r="AA900" s="58">
        <v>15143.3</v>
      </c>
      <c r="AE900" s="57"/>
    </row>
    <row r="901" spans="1:31" x14ac:dyDescent="0.35">
      <c r="A901" s="56" t="s">
        <v>966</v>
      </c>
      <c r="B901" s="58">
        <v>16400</v>
      </c>
      <c r="C901" s="58" t="s">
        <v>26</v>
      </c>
      <c r="D901" s="58">
        <v>11</v>
      </c>
      <c r="E901" s="58">
        <v>0</v>
      </c>
      <c r="F901" s="58">
        <v>0</v>
      </c>
      <c r="G901" s="58">
        <v>1</v>
      </c>
      <c r="H901" s="58">
        <v>26.9</v>
      </c>
      <c r="I901" s="58">
        <v>1228.5</v>
      </c>
      <c r="J901" s="58">
        <v>-17</v>
      </c>
      <c r="K901" s="58">
        <v>-1.3649136892814131</v>
      </c>
      <c r="L901" s="58">
        <v>20325</v>
      </c>
      <c r="M901" s="58">
        <v>20325</v>
      </c>
      <c r="N901" s="58">
        <v>15143.3</v>
      </c>
      <c r="O901" s="58">
        <v>16400</v>
      </c>
      <c r="P901" s="58" t="s">
        <v>26</v>
      </c>
      <c r="Q901" s="58">
        <v>1153</v>
      </c>
      <c r="R901" s="58">
        <v>63</v>
      </c>
      <c r="S901" s="58">
        <v>5.7798165137614683</v>
      </c>
      <c r="T901" s="58">
        <v>1165</v>
      </c>
      <c r="U901" s="58">
        <v>19.940000000000001</v>
      </c>
      <c r="V901" s="58">
        <v>7.3</v>
      </c>
      <c r="W901" s="58">
        <v>-1.4500000000000002</v>
      </c>
      <c r="X901" s="58">
        <v>-16.571428571428573</v>
      </c>
      <c r="Y901" s="58">
        <v>101550</v>
      </c>
      <c r="Z901" s="58">
        <v>24900</v>
      </c>
      <c r="AA901" s="58">
        <v>15139.55</v>
      </c>
      <c r="AE901" s="57"/>
    </row>
    <row r="902" spans="1:31" x14ac:dyDescent="0.35">
      <c r="A902" s="56" t="s">
        <v>967</v>
      </c>
      <c r="B902" s="58">
        <v>16450</v>
      </c>
      <c r="C902" s="58" t="s">
        <v>34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9750</v>
      </c>
      <c r="M902" s="58">
        <v>9750</v>
      </c>
      <c r="N902" s="58">
        <v>15143.3</v>
      </c>
      <c r="O902" s="58">
        <v>16450</v>
      </c>
      <c r="P902" s="58" t="s">
        <v>34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27525</v>
      </c>
      <c r="Z902" s="58">
        <v>28950</v>
      </c>
      <c r="AA902" s="58">
        <v>15139.55</v>
      </c>
      <c r="AE902" s="57"/>
    </row>
    <row r="903" spans="1:31" x14ac:dyDescent="0.35">
      <c r="A903" s="56" t="s">
        <v>968</v>
      </c>
      <c r="B903" s="58">
        <v>16450</v>
      </c>
      <c r="C903" s="58" t="s">
        <v>26</v>
      </c>
      <c r="D903" s="58">
        <v>0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16125</v>
      </c>
      <c r="M903" s="58">
        <v>15225</v>
      </c>
      <c r="N903" s="58">
        <v>15143.3</v>
      </c>
      <c r="O903" s="58">
        <v>16450</v>
      </c>
      <c r="P903" s="58" t="s">
        <v>26</v>
      </c>
      <c r="Q903" s="58">
        <v>68</v>
      </c>
      <c r="R903" s="58">
        <v>1</v>
      </c>
      <c r="S903" s="58">
        <v>1.4925373134328359</v>
      </c>
      <c r="T903" s="58">
        <v>2</v>
      </c>
      <c r="U903" s="58">
        <v>20.52</v>
      </c>
      <c r="V903" s="58">
        <v>7.2</v>
      </c>
      <c r="W903" s="58">
        <v>-0.64999999999999947</v>
      </c>
      <c r="X903" s="58">
        <v>-8.2802547770700574</v>
      </c>
      <c r="Y903" s="58">
        <v>36225</v>
      </c>
      <c r="Z903" s="58">
        <v>21375</v>
      </c>
      <c r="AA903" s="58">
        <v>15143.3</v>
      </c>
      <c r="AE903" s="57"/>
    </row>
    <row r="904" spans="1:31" x14ac:dyDescent="0.35">
      <c r="A904" s="56" t="s">
        <v>969</v>
      </c>
      <c r="B904" s="58">
        <v>16450</v>
      </c>
      <c r="C904" s="58" t="s">
        <v>64</v>
      </c>
      <c r="D904" s="58">
        <v>0</v>
      </c>
      <c r="E904" s="58">
        <v>0</v>
      </c>
      <c r="F904" s="58">
        <v>0</v>
      </c>
      <c r="G904" s="58">
        <v>0</v>
      </c>
      <c r="H904" s="58">
        <v>0</v>
      </c>
      <c r="I904" s="58">
        <v>0</v>
      </c>
      <c r="J904" s="58">
        <v>0</v>
      </c>
      <c r="K904" s="58">
        <v>0</v>
      </c>
      <c r="L904" s="58">
        <v>4875</v>
      </c>
      <c r="M904" s="58">
        <v>4875</v>
      </c>
      <c r="N904" s="58">
        <v>15143.3</v>
      </c>
      <c r="O904" s="58">
        <v>16450</v>
      </c>
      <c r="P904" s="58" t="s">
        <v>64</v>
      </c>
      <c r="Q904" s="58">
        <v>0</v>
      </c>
      <c r="R904" s="58">
        <v>0</v>
      </c>
      <c r="S904" s="58">
        <v>0</v>
      </c>
      <c r="T904" s="58">
        <v>0</v>
      </c>
      <c r="U904" s="58">
        <v>0</v>
      </c>
      <c r="V904" s="58">
        <v>0</v>
      </c>
      <c r="W904" s="58">
        <v>0</v>
      </c>
      <c r="X904" s="58">
        <v>0</v>
      </c>
      <c r="Y904" s="58">
        <v>6225</v>
      </c>
      <c r="Z904" s="58">
        <v>5175</v>
      </c>
      <c r="AA904" s="58">
        <v>15139.55</v>
      </c>
      <c r="AE904" s="57"/>
    </row>
    <row r="905" spans="1:31" x14ac:dyDescent="0.35">
      <c r="A905" s="56" t="s">
        <v>970</v>
      </c>
      <c r="B905" s="58">
        <v>16450</v>
      </c>
      <c r="C905" s="58" t="s">
        <v>2071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15139.55</v>
      </c>
      <c r="O905" s="58">
        <v>16450</v>
      </c>
      <c r="P905" s="58" t="s">
        <v>2071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2775</v>
      </c>
      <c r="Z905" s="58">
        <v>0</v>
      </c>
      <c r="AA905" s="58">
        <v>15139.55</v>
      </c>
      <c r="AE905" s="57"/>
    </row>
    <row r="906" spans="1:31" x14ac:dyDescent="0.35">
      <c r="A906" s="56" t="s">
        <v>971</v>
      </c>
      <c r="B906" s="58">
        <v>16450</v>
      </c>
      <c r="C906" s="58" t="s">
        <v>2073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4875</v>
      </c>
      <c r="M906" s="58">
        <v>4875</v>
      </c>
      <c r="N906" s="58">
        <v>15139.55</v>
      </c>
      <c r="O906" s="58">
        <v>16450</v>
      </c>
      <c r="P906" s="58" t="s">
        <v>2073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2775</v>
      </c>
      <c r="Z906" s="58">
        <v>0</v>
      </c>
      <c r="AA906" s="58">
        <v>15139.55</v>
      </c>
      <c r="AE906" s="57"/>
    </row>
    <row r="907" spans="1:31" x14ac:dyDescent="0.35">
      <c r="A907" s="56" t="s">
        <v>972</v>
      </c>
      <c r="B907" s="58">
        <v>16450</v>
      </c>
      <c r="C907" s="58" t="s">
        <v>2074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4875</v>
      </c>
      <c r="N907" s="58">
        <v>15139.55</v>
      </c>
      <c r="O907" s="58">
        <v>16450</v>
      </c>
      <c r="P907" s="58" t="s">
        <v>2074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4875</v>
      </c>
      <c r="AA907" s="58">
        <v>15143.3</v>
      </c>
      <c r="AE907" s="57"/>
    </row>
    <row r="908" spans="1:31" x14ac:dyDescent="0.35">
      <c r="A908" s="56" t="s">
        <v>973</v>
      </c>
      <c r="B908" s="58">
        <v>16450</v>
      </c>
      <c r="C908" s="58" t="s">
        <v>2068</v>
      </c>
      <c r="D908" s="58">
        <v>0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9150</v>
      </c>
      <c r="M908" s="58">
        <v>8250</v>
      </c>
      <c r="N908" s="58">
        <v>15143.3</v>
      </c>
      <c r="O908" s="58">
        <v>16450</v>
      </c>
      <c r="P908" s="58" t="s">
        <v>2068</v>
      </c>
      <c r="Q908" s="58">
        <v>0</v>
      </c>
      <c r="R908" s="58">
        <v>0</v>
      </c>
      <c r="S908" s="58">
        <v>0</v>
      </c>
      <c r="T908" s="58">
        <v>0</v>
      </c>
      <c r="U908" s="58">
        <v>0</v>
      </c>
      <c r="V908" s="58">
        <v>0</v>
      </c>
      <c r="W908" s="58">
        <v>0</v>
      </c>
      <c r="X908" s="58">
        <v>0</v>
      </c>
      <c r="Y908" s="58">
        <v>7575</v>
      </c>
      <c r="Z908" s="58">
        <v>0</v>
      </c>
      <c r="AA908" s="58">
        <v>15139.55</v>
      </c>
      <c r="AE908" s="57"/>
    </row>
    <row r="909" spans="1:31" x14ac:dyDescent="0.35">
      <c r="A909" s="56" t="s">
        <v>974</v>
      </c>
      <c r="B909" s="58">
        <v>16450</v>
      </c>
      <c r="C909" s="58" t="s">
        <v>2076</v>
      </c>
      <c r="D909" s="58">
        <v>0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4875</v>
      </c>
      <c r="M909" s="58">
        <v>4875</v>
      </c>
      <c r="N909" s="58">
        <v>15139.55</v>
      </c>
      <c r="O909" s="58">
        <v>16450</v>
      </c>
      <c r="P909" s="58" t="s">
        <v>2076</v>
      </c>
      <c r="Q909" s="58">
        <v>0</v>
      </c>
      <c r="R909" s="58">
        <v>0</v>
      </c>
      <c r="S909" s="58">
        <v>0</v>
      </c>
      <c r="T909" s="58">
        <v>0</v>
      </c>
      <c r="U909" s="58">
        <v>0</v>
      </c>
      <c r="V909" s="58">
        <v>0</v>
      </c>
      <c r="W909" s="58">
        <v>0</v>
      </c>
      <c r="X909" s="58">
        <v>0</v>
      </c>
      <c r="Y909" s="58">
        <v>75</v>
      </c>
      <c r="Z909" s="58">
        <v>4875</v>
      </c>
      <c r="AA909" s="58">
        <v>15139.55</v>
      </c>
      <c r="AE909" s="57"/>
    </row>
    <row r="910" spans="1:31" x14ac:dyDescent="0.35">
      <c r="A910" s="56" t="s">
        <v>975</v>
      </c>
      <c r="B910" s="58">
        <v>16450</v>
      </c>
      <c r="C910" s="58" t="s">
        <v>2075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5400</v>
      </c>
      <c r="M910" s="58">
        <v>5025</v>
      </c>
      <c r="N910" s="58">
        <v>15139.55</v>
      </c>
      <c r="O910" s="58">
        <v>16450</v>
      </c>
      <c r="P910" s="58" t="s">
        <v>2075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3300</v>
      </c>
      <c r="Z910" s="58">
        <v>5025</v>
      </c>
      <c r="AA910" s="58">
        <v>15139.55</v>
      </c>
      <c r="AE910" s="57"/>
    </row>
    <row r="911" spans="1:31" x14ac:dyDescent="0.35">
      <c r="A911" s="56" t="s">
        <v>976</v>
      </c>
      <c r="B911" s="58">
        <v>16450</v>
      </c>
      <c r="C911" s="58" t="s">
        <v>33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14700</v>
      </c>
      <c r="M911" s="58">
        <v>14700</v>
      </c>
      <c r="N911" s="58">
        <v>15139.55</v>
      </c>
      <c r="O911" s="58">
        <v>16450</v>
      </c>
      <c r="P911" s="58" t="s">
        <v>33</v>
      </c>
      <c r="Q911" s="58">
        <v>16</v>
      </c>
      <c r="R911" s="58">
        <v>3</v>
      </c>
      <c r="S911" s="58">
        <v>23.076923076923077</v>
      </c>
      <c r="T911" s="58">
        <v>6</v>
      </c>
      <c r="U911" s="58">
        <v>55.71</v>
      </c>
      <c r="V911" s="58">
        <v>0.3</v>
      </c>
      <c r="W911" s="58">
        <v>-0.5</v>
      </c>
      <c r="X911" s="58">
        <v>-62.5</v>
      </c>
      <c r="Y911" s="58">
        <v>1725</v>
      </c>
      <c r="Z911" s="58">
        <v>47700</v>
      </c>
      <c r="AA911" s="58">
        <v>15139.55</v>
      </c>
      <c r="AE911" s="57"/>
    </row>
    <row r="912" spans="1:31" x14ac:dyDescent="0.35">
      <c r="A912" s="56" t="s">
        <v>977</v>
      </c>
      <c r="B912" s="58">
        <v>16500</v>
      </c>
      <c r="C912" s="58" t="s">
        <v>29</v>
      </c>
      <c r="D912" s="58">
        <v>3</v>
      </c>
      <c r="E912" s="58">
        <v>0</v>
      </c>
      <c r="F912" s="58">
        <v>0</v>
      </c>
      <c r="G912" s="58">
        <v>1</v>
      </c>
      <c r="H912" s="58">
        <v>27.69</v>
      </c>
      <c r="I912" s="58">
        <v>1545</v>
      </c>
      <c r="J912" s="58">
        <v>-330</v>
      </c>
      <c r="K912" s="58">
        <v>-17.599999999999998</v>
      </c>
      <c r="L912" s="58">
        <v>225</v>
      </c>
      <c r="M912" s="58">
        <v>675</v>
      </c>
      <c r="N912" s="58">
        <v>15143.3</v>
      </c>
      <c r="O912" s="58">
        <v>16500</v>
      </c>
      <c r="P912" s="58" t="s">
        <v>29</v>
      </c>
      <c r="Q912" s="58">
        <v>235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2325</v>
      </c>
      <c r="AA912" s="58">
        <v>15139.55</v>
      </c>
      <c r="AE912" s="57"/>
    </row>
    <row r="913" spans="1:31" x14ac:dyDescent="0.35">
      <c r="A913" s="56" t="s">
        <v>978</v>
      </c>
      <c r="B913" s="58">
        <v>16500</v>
      </c>
      <c r="C913" s="58" t="s">
        <v>34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6675</v>
      </c>
      <c r="M913" s="58">
        <v>10050</v>
      </c>
      <c r="N913" s="58">
        <v>15143.3</v>
      </c>
      <c r="O913" s="58">
        <v>16500</v>
      </c>
      <c r="P913" s="58" t="s">
        <v>34</v>
      </c>
      <c r="Q913" s="58">
        <v>4038</v>
      </c>
      <c r="R913" s="58">
        <v>2754</v>
      </c>
      <c r="S913" s="58">
        <v>214.48598130841123</v>
      </c>
      <c r="T913" s="58">
        <v>4340</v>
      </c>
      <c r="U913" s="58">
        <v>25.57</v>
      </c>
      <c r="V913" s="58">
        <v>2.8</v>
      </c>
      <c r="W913" s="58">
        <v>-0.25</v>
      </c>
      <c r="X913" s="58">
        <v>-8.1967213114754109</v>
      </c>
      <c r="Y913" s="58">
        <v>248700</v>
      </c>
      <c r="Z913" s="58">
        <v>177075</v>
      </c>
      <c r="AA913" s="58">
        <v>15139.55</v>
      </c>
      <c r="AE913" s="57"/>
    </row>
    <row r="914" spans="1:31" x14ac:dyDescent="0.35">
      <c r="A914" s="56" t="s">
        <v>979</v>
      </c>
      <c r="B914" s="58">
        <v>16500</v>
      </c>
      <c r="C914" s="58" t="s">
        <v>64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4875</v>
      </c>
      <c r="N914" s="58">
        <v>15143.3</v>
      </c>
      <c r="O914" s="58">
        <v>16500</v>
      </c>
      <c r="P914" s="58" t="s">
        <v>64</v>
      </c>
      <c r="Q914" s="58">
        <v>95</v>
      </c>
      <c r="R914" s="58">
        <v>19</v>
      </c>
      <c r="S914" s="58">
        <v>25</v>
      </c>
      <c r="T914" s="58">
        <v>56</v>
      </c>
      <c r="U914" s="58">
        <v>18.64</v>
      </c>
      <c r="V914" s="58">
        <v>11.55</v>
      </c>
      <c r="W914" s="58">
        <v>-2</v>
      </c>
      <c r="X914" s="58">
        <v>-14.760147601476014</v>
      </c>
      <c r="Y914" s="58">
        <v>28050</v>
      </c>
      <c r="Z914" s="58">
        <v>15600</v>
      </c>
      <c r="AA914" s="58">
        <v>15139.55</v>
      </c>
      <c r="AE914" s="57"/>
    </row>
    <row r="915" spans="1:31" x14ac:dyDescent="0.35">
      <c r="A915" s="56" t="s">
        <v>980</v>
      </c>
      <c r="B915" s="58">
        <v>16500</v>
      </c>
      <c r="C915" s="58" t="s">
        <v>2071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15143.3</v>
      </c>
      <c r="O915" s="58">
        <v>16500</v>
      </c>
      <c r="P915" s="58" t="s">
        <v>2071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8625</v>
      </c>
      <c r="Z915" s="58">
        <v>1200</v>
      </c>
      <c r="AA915" s="58">
        <v>15139.55</v>
      </c>
      <c r="AE915" s="57"/>
    </row>
    <row r="916" spans="1:31" x14ac:dyDescent="0.35">
      <c r="A916" s="56" t="s">
        <v>981</v>
      </c>
      <c r="B916" s="58">
        <v>16500</v>
      </c>
      <c r="C916" s="58" t="s">
        <v>2073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15139.55</v>
      </c>
      <c r="O916" s="58">
        <v>16500</v>
      </c>
      <c r="P916" s="58" t="s">
        <v>2073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8025</v>
      </c>
      <c r="Z916" s="58">
        <v>5175</v>
      </c>
      <c r="AA916" s="58">
        <v>15143.3</v>
      </c>
      <c r="AE916" s="57"/>
    </row>
    <row r="917" spans="1:31" x14ac:dyDescent="0.35">
      <c r="A917" s="56" t="s">
        <v>982</v>
      </c>
      <c r="B917" s="58">
        <v>16500</v>
      </c>
      <c r="C917" s="58" t="s">
        <v>2074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4875</v>
      </c>
      <c r="M917" s="58">
        <v>4875</v>
      </c>
      <c r="N917" s="58">
        <v>15143.3</v>
      </c>
      <c r="O917" s="58">
        <v>16500</v>
      </c>
      <c r="P917" s="58" t="s">
        <v>2074</v>
      </c>
      <c r="Q917" s="58">
        <v>0</v>
      </c>
      <c r="R917" s="58">
        <v>0</v>
      </c>
      <c r="S917" s="58">
        <v>0</v>
      </c>
      <c r="T917" s="58">
        <v>0</v>
      </c>
      <c r="U917" s="58">
        <v>0</v>
      </c>
      <c r="V917" s="58">
        <v>0</v>
      </c>
      <c r="W917" s="58">
        <v>0</v>
      </c>
      <c r="X917" s="58">
        <v>0</v>
      </c>
      <c r="Y917" s="58">
        <v>300</v>
      </c>
      <c r="Z917" s="58">
        <v>5175</v>
      </c>
      <c r="AA917" s="58">
        <v>15139.55</v>
      </c>
      <c r="AE917" s="57"/>
    </row>
    <row r="918" spans="1:31" x14ac:dyDescent="0.35">
      <c r="A918" s="56" t="s">
        <v>983</v>
      </c>
      <c r="B918" s="58">
        <v>16500</v>
      </c>
      <c r="C918" s="58" t="s">
        <v>2068</v>
      </c>
      <c r="D918" s="58">
        <v>1010</v>
      </c>
      <c r="E918" s="58">
        <v>76</v>
      </c>
      <c r="F918" s="58">
        <v>8.1370449678800849</v>
      </c>
      <c r="G918" s="58">
        <v>100</v>
      </c>
      <c r="H918" s="58">
        <v>23.59</v>
      </c>
      <c r="I918" s="58">
        <v>1300</v>
      </c>
      <c r="J918" s="58">
        <v>-21.799999999999955</v>
      </c>
      <c r="K918" s="58">
        <v>-1.6492661522166707</v>
      </c>
      <c r="L918" s="58">
        <v>13425</v>
      </c>
      <c r="M918" s="58">
        <v>13425</v>
      </c>
      <c r="N918" s="58">
        <v>15143.3</v>
      </c>
      <c r="O918" s="58">
        <v>16500</v>
      </c>
      <c r="P918" s="58" t="s">
        <v>2068</v>
      </c>
      <c r="Q918" s="58">
        <v>8863</v>
      </c>
      <c r="R918" s="58">
        <v>-105</v>
      </c>
      <c r="S918" s="58">
        <v>-1.1708296164139165</v>
      </c>
      <c r="T918" s="58">
        <v>1553</v>
      </c>
      <c r="U918" s="58">
        <v>15.77</v>
      </c>
      <c r="V918" s="58">
        <v>48.25</v>
      </c>
      <c r="W918" s="58">
        <v>-5.75</v>
      </c>
      <c r="X918" s="58">
        <v>-10.648148148148149</v>
      </c>
      <c r="Y918" s="58">
        <v>57675</v>
      </c>
      <c r="Z918" s="58">
        <v>51975</v>
      </c>
      <c r="AA918" s="58">
        <v>15139.55</v>
      </c>
      <c r="AE918" s="57"/>
    </row>
    <row r="919" spans="1:31" x14ac:dyDescent="0.35">
      <c r="A919" s="56" t="s">
        <v>984</v>
      </c>
      <c r="B919" s="58">
        <v>16500</v>
      </c>
      <c r="C919" s="58" t="s">
        <v>2076</v>
      </c>
      <c r="D919" s="58">
        <v>0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4875</v>
      </c>
      <c r="M919" s="58">
        <v>4875</v>
      </c>
      <c r="N919" s="58">
        <v>15139.55</v>
      </c>
      <c r="O919" s="58">
        <v>16500</v>
      </c>
      <c r="P919" s="58" t="s">
        <v>2076</v>
      </c>
      <c r="Q919" s="58">
        <v>0</v>
      </c>
      <c r="R919" s="58">
        <v>0</v>
      </c>
      <c r="S919" s="58">
        <v>0</v>
      </c>
      <c r="T919" s="58">
        <v>0</v>
      </c>
      <c r="U919" s="58">
        <v>0</v>
      </c>
      <c r="V919" s="58">
        <v>0</v>
      </c>
      <c r="W919" s="58">
        <v>0</v>
      </c>
      <c r="X919" s="58">
        <v>0</v>
      </c>
      <c r="Y919" s="58">
        <v>75</v>
      </c>
      <c r="Z919" s="58">
        <v>0</v>
      </c>
      <c r="AA919" s="58">
        <v>15139.55</v>
      </c>
      <c r="AE919" s="57"/>
    </row>
    <row r="920" spans="1:31" x14ac:dyDescent="0.35">
      <c r="A920" s="56" t="s">
        <v>985</v>
      </c>
      <c r="B920" s="58">
        <v>16500</v>
      </c>
      <c r="C920" s="58" t="s">
        <v>2075</v>
      </c>
      <c r="D920" s="58">
        <v>11</v>
      </c>
      <c r="E920" s="58">
        <v>1</v>
      </c>
      <c r="F920" s="58">
        <v>10</v>
      </c>
      <c r="G920" s="58">
        <v>3</v>
      </c>
      <c r="H920" s="58">
        <v>23.29</v>
      </c>
      <c r="I920" s="58">
        <v>1297.45</v>
      </c>
      <c r="J920" s="58">
        <v>-29.149999999999864</v>
      </c>
      <c r="K920" s="58">
        <v>-2.1973466003316648</v>
      </c>
      <c r="L920" s="58">
        <v>9975</v>
      </c>
      <c r="M920" s="58">
        <v>10050</v>
      </c>
      <c r="N920" s="58">
        <v>15139.55</v>
      </c>
      <c r="O920" s="58">
        <v>16500</v>
      </c>
      <c r="P920" s="58" t="s">
        <v>2075</v>
      </c>
      <c r="Q920" s="58">
        <v>1671</v>
      </c>
      <c r="R920" s="58">
        <v>28</v>
      </c>
      <c r="S920" s="58">
        <v>1.704199634814364</v>
      </c>
      <c r="T920" s="58">
        <v>93</v>
      </c>
      <c r="U920" s="58">
        <v>15.29</v>
      </c>
      <c r="V920" s="58">
        <v>107</v>
      </c>
      <c r="W920" s="58">
        <v>-7.5999999999999943</v>
      </c>
      <c r="X920" s="58">
        <v>-6.6317626527050564</v>
      </c>
      <c r="Y920" s="58">
        <v>13950</v>
      </c>
      <c r="Z920" s="58">
        <v>8400</v>
      </c>
      <c r="AA920" s="58">
        <v>15143.3</v>
      </c>
      <c r="AE920" s="57"/>
    </row>
    <row r="921" spans="1:31" x14ac:dyDescent="0.35">
      <c r="A921" s="56" t="s">
        <v>986</v>
      </c>
      <c r="B921" s="58">
        <v>16500</v>
      </c>
      <c r="C921" s="58" t="s">
        <v>27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2025</v>
      </c>
      <c r="M921" s="58">
        <v>0</v>
      </c>
      <c r="N921" s="58">
        <v>15139.55</v>
      </c>
      <c r="O921" s="58">
        <v>16500</v>
      </c>
      <c r="P921" s="58" t="s">
        <v>27</v>
      </c>
      <c r="Q921" s="58">
        <v>548</v>
      </c>
      <c r="R921" s="58">
        <v>0</v>
      </c>
      <c r="S921" s="58">
        <v>0</v>
      </c>
      <c r="T921" s="58">
        <v>6</v>
      </c>
      <c r="U921" s="58">
        <v>15.29</v>
      </c>
      <c r="V921" s="58">
        <v>185</v>
      </c>
      <c r="W921" s="58">
        <v>4.75</v>
      </c>
      <c r="X921" s="58">
        <v>2.6352288488210815</v>
      </c>
      <c r="Y921" s="58">
        <v>13350</v>
      </c>
      <c r="Z921" s="58">
        <v>9450</v>
      </c>
      <c r="AA921" s="58">
        <v>15143.3</v>
      </c>
      <c r="AE921" s="57"/>
    </row>
    <row r="922" spans="1:31" x14ac:dyDescent="0.35">
      <c r="A922" s="56" t="s">
        <v>987</v>
      </c>
      <c r="B922" s="58">
        <v>16500</v>
      </c>
      <c r="C922" s="58" t="s">
        <v>31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1200</v>
      </c>
      <c r="M922" s="58">
        <v>0</v>
      </c>
      <c r="N922" s="58">
        <v>15139.55</v>
      </c>
      <c r="O922" s="58">
        <v>0</v>
      </c>
      <c r="P922" s="58">
        <v>0</v>
      </c>
      <c r="Q922" s="58">
        <v>0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0</v>
      </c>
      <c r="Z922" s="58">
        <v>0</v>
      </c>
      <c r="AA922" s="58">
        <v>0</v>
      </c>
      <c r="AE922" s="57"/>
    </row>
    <row r="923" spans="1:31" x14ac:dyDescent="0.35">
      <c r="A923" s="56" t="s">
        <v>988</v>
      </c>
      <c r="B923" s="58">
        <v>16500</v>
      </c>
      <c r="C923" s="58" t="s">
        <v>33</v>
      </c>
      <c r="D923" s="58">
        <v>2</v>
      </c>
      <c r="E923" s="58">
        <v>0</v>
      </c>
      <c r="F923" s="58">
        <v>0</v>
      </c>
      <c r="G923" s="58">
        <v>0</v>
      </c>
      <c r="H923" s="58">
        <v>0</v>
      </c>
      <c r="I923" s="58">
        <v>0</v>
      </c>
      <c r="J923" s="58">
        <v>0</v>
      </c>
      <c r="K923" s="58">
        <v>0</v>
      </c>
      <c r="L923" s="58">
        <v>15525</v>
      </c>
      <c r="M923" s="58">
        <v>15225</v>
      </c>
      <c r="N923" s="58">
        <v>15143.3</v>
      </c>
      <c r="O923" s="58">
        <v>16500</v>
      </c>
      <c r="P923" s="58" t="s">
        <v>33</v>
      </c>
      <c r="Q923" s="58">
        <v>26455</v>
      </c>
      <c r="R923" s="58">
        <v>-3138</v>
      </c>
      <c r="S923" s="58">
        <v>-10.603859020714358</v>
      </c>
      <c r="T923" s="58">
        <v>21859</v>
      </c>
      <c r="U923" s="58">
        <v>56.59</v>
      </c>
      <c r="V923" s="58">
        <v>0.3</v>
      </c>
      <c r="W923" s="58">
        <v>-0.60000000000000009</v>
      </c>
      <c r="X923" s="58">
        <v>-66.666666666666671</v>
      </c>
      <c r="Y923" s="58">
        <v>1502775</v>
      </c>
      <c r="Z923" s="58">
        <v>172875</v>
      </c>
      <c r="AA923" s="58">
        <v>15139.55</v>
      </c>
      <c r="AE923" s="57"/>
    </row>
    <row r="924" spans="1:31" x14ac:dyDescent="0.35">
      <c r="A924" s="56" t="s">
        <v>989</v>
      </c>
      <c r="B924" s="58">
        <v>16500</v>
      </c>
      <c r="C924" s="58" t="s">
        <v>26</v>
      </c>
      <c r="D924" s="58">
        <v>3778</v>
      </c>
      <c r="E924" s="58">
        <v>-100</v>
      </c>
      <c r="F924" s="58">
        <v>-2.5786487880350695</v>
      </c>
      <c r="G924" s="58">
        <v>126</v>
      </c>
      <c r="H924" s="58">
        <v>28.93</v>
      </c>
      <c r="I924" s="58">
        <v>1327.1</v>
      </c>
      <c r="J924" s="58">
        <v>-24.75</v>
      </c>
      <c r="K924" s="58">
        <v>-1.8308244257868849</v>
      </c>
      <c r="L924" s="58">
        <v>24075</v>
      </c>
      <c r="M924" s="58">
        <v>25350</v>
      </c>
      <c r="N924" s="58">
        <v>15143.3</v>
      </c>
      <c r="O924" s="58">
        <v>16500</v>
      </c>
      <c r="P924" s="58" t="s">
        <v>26</v>
      </c>
      <c r="Q924" s="58">
        <v>18995</v>
      </c>
      <c r="R924" s="58">
        <v>-7</v>
      </c>
      <c r="S924" s="58">
        <v>-3.6838227554994211E-2</v>
      </c>
      <c r="T924" s="58">
        <v>3917</v>
      </c>
      <c r="U924" s="58">
        <v>21.07</v>
      </c>
      <c r="V924" s="58">
        <v>7.05</v>
      </c>
      <c r="W924" s="58">
        <v>-1.1000000000000003</v>
      </c>
      <c r="X924" s="58">
        <v>-13.496932515337429</v>
      </c>
      <c r="Y924" s="58">
        <v>139800</v>
      </c>
      <c r="Z924" s="58">
        <v>159900</v>
      </c>
      <c r="AA924" s="58">
        <v>15139.55</v>
      </c>
      <c r="AE924" s="57"/>
    </row>
    <row r="925" spans="1:31" x14ac:dyDescent="0.35">
      <c r="A925" s="56" t="s">
        <v>990</v>
      </c>
      <c r="B925" s="58">
        <v>16550</v>
      </c>
      <c r="C925" s="58" t="s">
        <v>33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14700</v>
      </c>
      <c r="M925" s="58">
        <v>14700</v>
      </c>
      <c r="N925" s="58">
        <v>15139.55</v>
      </c>
      <c r="O925" s="58">
        <v>16550</v>
      </c>
      <c r="P925" s="58" t="s">
        <v>33</v>
      </c>
      <c r="Q925" s="58">
        <v>61</v>
      </c>
      <c r="R925" s="58">
        <v>-6</v>
      </c>
      <c r="S925" s="58">
        <v>-8.9552238805970141</v>
      </c>
      <c r="T925" s="58">
        <v>34</v>
      </c>
      <c r="U925" s="58">
        <v>57.24</v>
      </c>
      <c r="V925" s="58">
        <v>0.2</v>
      </c>
      <c r="W925" s="58">
        <v>-0.55000000000000004</v>
      </c>
      <c r="X925" s="58">
        <v>-73.333333333333343</v>
      </c>
      <c r="Y925" s="58">
        <v>3000</v>
      </c>
      <c r="Z925" s="58">
        <v>53175</v>
      </c>
      <c r="AA925" s="58">
        <v>15139.55</v>
      </c>
      <c r="AE925" s="57"/>
    </row>
    <row r="926" spans="1:31" x14ac:dyDescent="0.35">
      <c r="A926" s="56" t="s">
        <v>991</v>
      </c>
      <c r="B926" s="58">
        <v>16550</v>
      </c>
      <c r="C926" s="58" t="s">
        <v>26</v>
      </c>
      <c r="D926" s="58">
        <v>1</v>
      </c>
      <c r="E926" s="58">
        <v>0</v>
      </c>
      <c r="F926" s="58">
        <v>0</v>
      </c>
      <c r="G926" s="58">
        <v>0</v>
      </c>
      <c r="H926" s="58">
        <v>0</v>
      </c>
      <c r="I926" s="58">
        <v>0</v>
      </c>
      <c r="J926" s="58">
        <v>0</v>
      </c>
      <c r="K926" s="58">
        <v>0</v>
      </c>
      <c r="L926" s="58">
        <v>15975</v>
      </c>
      <c r="M926" s="58">
        <v>19725</v>
      </c>
      <c r="N926" s="58">
        <v>15139.55</v>
      </c>
      <c r="O926" s="58">
        <v>16550</v>
      </c>
      <c r="P926" s="58" t="s">
        <v>26</v>
      </c>
      <c r="Q926" s="58">
        <v>148</v>
      </c>
      <c r="R926" s="58">
        <v>9</v>
      </c>
      <c r="S926" s="58">
        <v>6.4748201438848918</v>
      </c>
      <c r="T926" s="58">
        <v>45</v>
      </c>
      <c r="U926" s="58">
        <v>21.79</v>
      </c>
      <c r="V926" s="58">
        <v>7.15</v>
      </c>
      <c r="W926" s="58">
        <v>-0.79999999999999982</v>
      </c>
      <c r="X926" s="58">
        <v>-10.062893081761004</v>
      </c>
      <c r="Y926" s="58">
        <v>68325</v>
      </c>
      <c r="Z926" s="58">
        <v>22125</v>
      </c>
      <c r="AA926" s="58">
        <v>15139.55</v>
      </c>
      <c r="AE926" s="57"/>
    </row>
    <row r="927" spans="1:31" x14ac:dyDescent="0.35">
      <c r="A927" s="56" t="s">
        <v>992</v>
      </c>
      <c r="B927" s="58">
        <v>16550</v>
      </c>
      <c r="C927" s="58" t="s">
        <v>64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4875</v>
      </c>
      <c r="M927" s="58">
        <v>4875</v>
      </c>
      <c r="N927" s="58">
        <v>15139.55</v>
      </c>
      <c r="O927" s="58">
        <v>16550</v>
      </c>
      <c r="P927" s="58" t="s">
        <v>64</v>
      </c>
      <c r="Q927" s="58">
        <v>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8550</v>
      </c>
      <c r="Z927" s="58">
        <v>10050</v>
      </c>
      <c r="AA927" s="58">
        <v>15143.3</v>
      </c>
      <c r="AE927" s="57"/>
    </row>
    <row r="928" spans="1:31" x14ac:dyDescent="0.35">
      <c r="A928" s="56" t="s">
        <v>993</v>
      </c>
      <c r="B928" s="58">
        <v>16550</v>
      </c>
      <c r="C928" s="58" t="s">
        <v>2071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4875</v>
      </c>
      <c r="M928" s="58">
        <v>4875</v>
      </c>
      <c r="N928" s="58">
        <v>15143.3</v>
      </c>
      <c r="O928" s="58">
        <v>16550</v>
      </c>
      <c r="P928" s="58" t="s">
        <v>2071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2775</v>
      </c>
      <c r="Z928" s="58">
        <v>0</v>
      </c>
      <c r="AA928" s="58">
        <v>15143.3</v>
      </c>
      <c r="AE928" s="57"/>
    </row>
    <row r="929" spans="1:31" x14ac:dyDescent="0.35">
      <c r="A929" s="56" t="s">
        <v>994</v>
      </c>
      <c r="B929" s="58">
        <v>16550</v>
      </c>
      <c r="C929" s="58" t="s">
        <v>34</v>
      </c>
      <c r="D929" s="58">
        <v>0</v>
      </c>
      <c r="E929" s="58">
        <v>0</v>
      </c>
      <c r="F929" s="58">
        <v>0</v>
      </c>
      <c r="G929" s="58">
        <v>0</v>
      </c>
      <c r="H929" s="58">
        <v>0</v>
      </c>
      <c r="I929" s="58">
        <v>0</v>
      </c>
      <c r="J929" s="58">
        <v>0</v>
      </c>
      <c r="K929" s="58">
        <v>0</v>
      </c>
      <c r="L929" s="58">
        <v>9750</v>
      </c>
      <c r="M929" s="58">
        <v>9750</v>
      </c>
      <c r="N929" s="58">
        <v>15143.3</v>
      </c>
      <c r="O929" s="58">
        <v>16550</v>
      </c>
      <c r="P929" s="58" t="s">
        <v>34</v>
      </c>
      <c r="Q929" s="58">
        <v>0</v>
      </c>
      <c r="R929" s="58">
        <v>0</v>
      </c>
      <c r="S929" s="58">
        <v>0</v>
      </c>
      <c r="T929" s="58">
        <v>0</v>
      </c>
      <c r="U929" s="58">
        <v>0</v>
      </c>
      <c r="V929" s="58">
        <v>0</v>
      </c>
      <c r="W929" s="58">
        <v>0</v>
      </c>
      <c r="X929" s="58">
        <v>0</v>
      </c>
      <c r="Y929" s="58">
        <v>30600</v>
      </c>
      <c r="Z929" s="58">
        <v>22875</v>
      </c>
      <c r="AA929" s="58">
        <v>15139.55</v>
      </c>
      <c r="AE929" s="57"/>
    </row>
    <row r="930" spans="1:31" x14ac:dyDescent="0.35">
      <c r="A930" s="56" t="s">
        <v>995</v>
      </c>
      <c r="B930" s="58">
        <v>16550</v>
      </c>
      <c r="C930" s="58" t="s">
        <v>2074</v>
      </c>
      <c r="D930" s="58">
        <v>0</v>
      </c>
      <c r="E930" s="58">
        <v>0</v>
      </c>
      <c r="F930" s="58">
        <v>0</v>
      </c>
      <c r="G930" s="58">
        <v>0</v>
      </c>
      <c r="H930" s="58">
        <v>0</v>
      </c>
      <c r="I930" s="58">
        <v>0</v>
      </c>
      <c r="J930" s="58">
        <v>0</v>
      </c>
      <c r="K930" s="58">
        <v>0</v>
      </c>
      <c r="L930" s="58">
        <v>4875</v>
      </c>
      <c r="M930" s="58">
        <v>4875</v>
      </c>
      <c r="N930" s="58">
        <v>15139.55</v>
      </c>
      <c r="O930" s="58">
        <v>16550</v>
      </c>
      <c r="P930" s="58" t="s">
        <v>2074</v>
      </c>
      <c r="Q930" s="58">
        <v>0</v>
      </c>
      <c r="R930" s="58">
        <v>0</v>
      </c>
      <c r="S930" s="58">
        <v>0</v>
      </c>
      <c r="T930" s="58">
        <v>0</v>
      </c>
      <c r="U930" s="58">
        <v>0</v>
      </c>
      <c r="V930" s="58">
        <v>0</v>
      </c>
      <c r="W930" s="58">
        <v>0</v>
      </c>
      <c r="X930" s="58">
        <v>0</v>
      </c>
      <c r="Y930" s="58">
        <v>0</v>
      </c>
      <c r="Z930" s="58">
        <v>4875</v>
      </c>
      <c r="AA930" s="58">
        <v>15143.3</v>
      </c>
      <c r="AE930" s="57"/>
    </row>
    <row r="931" spans="1:31" x14ac:dyDescent="0.35">
      <c r="A931" s="56" t="s">
        <v>996</v>
      </c>
      <c r="B931" s="58">
        <v>16550</v>
      </c>
      <c r="C931" s="58" t="s">
        <v>2068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9600</v>
      </c>
      <c r="M931" s="58">
        <v>8250</v>
      </c>
      <c r="N931" s="58">
        <v>15143.3</v>
      </c>
      <c r="O931" s="58">
        <v>16550</v>
      </c>
      <c r="P931" s="58" t="s">
        <v>2068</v>
      </c>
      <c r="Q931" s="58">
        <v>13</v>
      </c>
      <c r="R931" s="58">
        <v>0</v>
      </c>
      <c r="S931" s="58">
        <v>0</v>
      </c>
      <c r="T931" s="58">
        <v>0</v>
      </c>
      <c r="U931" s="58">
        <v>0</v>
      </c>
      <c r="V931" s="58">
        <v>0</v>
      </c>
      <c r="W931" s="58">
        <v>0</v>
      </c>
      <c r="X931" s="58">
        <v>0</v>
      </c>
      <c r="Y931" s="58">
        <v>27300</v>
      </c>
      <c r="Z931" s="58">
        <v>2475</v>
      </c>
      <c r="AA931" s="58">
        <v>15139.55</v>
      </c>
      <c r="AE931" s="57"/>
    </row>
    <row r="932" spans="1:31" x14ac:dyDescent="0.35">
      <c r="A932" s="56" t="s">
        <v>997</v>
      </c>
      <c r="B932" s="58">
        <v>16550</v>
      </c>
      <c r="C932" s="58" t="s">
        <v>2076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15139.55</v>
      </c>
      <c r="O932" s="58">
        <v>16550</v>
      </c>
      <c r="P932" s="58" t="s">
        <v>2076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0</v>
      </c>
      <c r="AA932" s="58">
        <v>15143.3</v>
      </c>
      <c r="AE932" s="57"/>
    </row>
    <row r="933" spans="1:31" x14ac:dyDescent="0.35">
      <c r="A933" s="56" t="s">
        <v>998</v>
      </c>
      <c r="B933" s="58">
        <v>16550</v>
      </c>
      <c r="C933" s="58" t="s">
        <v>2075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5400</v>
      </c>
      <c r="M933" s="58">
        <v>5025</v>
      </c>
      <c r="N933" s="58">
        <v>15139.55</v>
      </c>
      <c r="O933" s="58">
        <v>16550</v>
      </c>
      <c r="P933" s="58" t="s">
        <v>2075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4200</v>
      </c>
      <c r="Z933" s="58">
        <v>900</v>
      </c>
      <c r="AA933" s="58">
        <v>15143.3</v>
      </c>
      <c r="AE933" s="57"/>
    </row>
    <row r="934" spans="1:31" x14ac:dyDescent="0.35">
      <c r="A934" s="56" t="s">
        <v>999</v>
      </c>
      <c r="B934" s="58">
        <v>16550</v>
      </c>
      <c r="C934" s="58" t="s">
        <v>2073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4875</v>
      </c>
      <c r="M934" s="58">
        <v>4875</v>
      </c>
      <c r="N934" s="58">
        <v>15139.55</v>
      </c>
      <c r="O934" s="58">
        <v>16550</v>
      </c>
      <c r="P934" s="58" t="s">
        <v>2073</v>
      </c>
      <c r="Q934" s="58">
        <v>0</v>
      </c>
      <c r="R934" s="58">
        <v>0</v>
      </c>
      <c r="S934" s="58">
        <v>0</v>
      </c>
      <c r="T934" s="58">
        <v>0</v>
      </c>
      <c r="U934" s="58">
        <v>0</v>
      </c>
      <c r="V934" s="58">
        <v>0</v>
      </c>
      <c r="W934" s="58">
        <v>0</v>
      </c>
      <c r="X934" s="58">
        <v>0</v>
      </c>
      <c r="Y934" s="58">
        <v>2775</v>
      </c>
      <c r="Z934" s="58">
        <v>9750</v>
      </c>
      <c r="AA934" s="58">
        <v>15143.3</v>
      </c>
      <c r="AE934" s="57"/>
    </row>
    <row r="935" spans="1:31" x14ac:dyDescent="0.35">
      <c r="A935" s="56" t="s">
        <v>1000</v>
      </c>
      <c r="B935" s="58">
        <v>16600</v>
      </c>
      <c r="C935" s="58" t="s">
        <v>33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14700</v>
      </c>
      <c r="M935" s="58">
        <v>14700</v>
      </c>
      <c r="N935" s="58">
        <v>15139.55</v>
      </c>
      <c r="O935" s="58">
        <v>16600</v>
      </c>
      <c r="P935" s="58" t="s">
        <v>33</v>
      </c>
      <c r="Q935" s="58">
        <v>2762</v>
      </c>
      <c r="R935" s="58">
        <v>467</v>
      </c>
      <c r="S935" s="58">
        <v>20.348583877995644</v>
      </c>
      <c r="T935" s="58">
        <v>1404</v>
      </c>
      <c r="U935" s="58">
        <v>59</v>
      </c>
      <c r="V935" s="58">
        <v>0.25</v>
      </c>
      <c r="W935" s="58">
        <v>-0.55000000000000004</v>
      </c>
      <c r="X935" s="58">
        <v>-68.75</v>
      </c>
      <c r="Y935" s="58">
        <v>77025</v>
      </c>
      <c r="Z935" s="58">
        <v>56700</v>
      </c>
      <c r="AA935" s="58">
        <v>15139.55</v>
      </c>
      <c r="AE935" s="57"/>
    </row>
    <row r="936" spans="1:31" x14ac:dyDescent="0.35">
      <c r="A936" s="56" t="s">
        <v>1001</v>
      </c>
      <c r="B936" s="58">
        <v>16600</v>
      </c>
      <c r="C936" s="58" t="s">
        <v>34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9750</v>
      </c>
      <c r="M936" s="58">
        <v>9750</v>
      </c>
      <c r="N936" s="58">
        <v>15139.55</v>
      </c>
      <c r="O936" s="58">
        <v>16600</v>
      </c>
      <c r="P936" s="58" t="s">
        <v>34</v>
      </c>
      <c r="Q936" s="58">
        <v>113</v>
      </c>
      <c r="R936" s="58">
        <v>68</v>
      </c>
      <c r="S936" s="58">
        <v>151.11111111111111</v>
      </c>
      <c r="T936" s="58">
        <v>89</v>
      </c>
      <c r="U936" s="58">
        <v>26.8</v>
      </c>
      <c r="V936" s="58">
        <v>2.6</v>
      </c>
      <c r="W936" s="58">
        <v>-0.14999999999999991</v>
      </c>
      <c r="X936" s="58">
        <v>-5.4545454545454515</v>
      </c>
      <c r="Y936" s="58">
        <v>111225</v>
      </c>
      <c r="Z936" s="58">
        <v>37200</v>
      </c>
      <c r="AA936" s="58">
        <v>15143.3</v>
      </c>
      <c r="AE936" s="57"/>
    </row>
    <row r="937" spans="1:31" x14ac:dyDescent="0.35">
      <c r="A937" s="56" t="s">
        <v>1002</v>
      </c>
      <c r="B937" s="58">
        <v>16600</v>
      </c>
      <c r="C937" s="58" t="s">
        <v>26</v>
      </c>
      <c r="D937" s="58">
        <v>5</v>
      </c>
      <c r="E937" s="58">
        <v>0</v>
      </c>
      <c r="F937" s="58">
        <v>0</v>
      </c>
      <c r="G937" s="58">
        <v>1</v>
      </c>
      <c r="H937" s="58">
        <v>0</v>
      </c>
      <c r="I937" s="58">
        <v>1376.6</v>
      </c>
      <c r="J937" s="58">
        <v>-68.150000000000091</v>
      </c>
      <c r="K937" s="58">
        <v>-4.7170790794255124</v>
      </c>
      <c r="L937" s="58">
        <v>20100</v>
      </c>
      <c r="M937" s="58">
        <v>19950</v>
      </c>
      <c r="N937" s="58">
        <v>15139.55</v>
      </c>
      <c r="O937" s="58">
        <v>16600</v>
      </c>
      <c r="P937" s="58" t="s">
        <v>26</v>
      </c>
      <c r="Q937" s="58">
        <v>1549</v>
      </c>
      <c r="R937" s="58">
        <v>227</v>
      </c>
      <c r="S937" s="58">
        <v>17.170953101361572</v>
      </c>
      <c r="T937" s="58">
        <v>752</v>
      </c>
      <c r="U937" s="58">
        <v>21.89</v>
      </c>
      <c r="V937" s="58">
        <v>6.15</v>
      </c>
      <c r="W937" s="58">
        <v>-1.3999999999999997</v>
      </c>
      <c r="X937" s="58">
        <v>-18.543046357615889</v>
      </c>
      <c r="Y937" s="58">
        <v>104025</v>
      </c>
      <c r="Z937" s="58">
        <v>67950</v>
      </c>
      <c r="AA937" s="58">
        <v>15139.55</v>
      </c>
      <c r="AE937" s="57"/>
    </row>
    <row r="938" spans="1:31" x14ac:dyDescent="0.35">
      <c r="A938" s="56" t="s">
        <v>1003</v>
      </c>
      <c r="B938" s="58">
        <v>16600</v>
      </c>
      <c r="C938" s="58" t="s">
        <v>64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15139.55</v>
      </c>
      <c r="O938" s="58">
        <v>16600</v>
      </c>
      <c r="P938" s="58" t="s">
        <v>64</v>
      </c>
      <c r="Q938" s="58">
        <v>2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10500</v>
      </c>
      <c r="Z938" s="58">
        <v>7275</v>
      </c>
      <c r="AA938" s="58">
        <v>15143.3</v>
      </c>
      <c r="AE938" s="57"/>
    </row>
    <row r="939" spans="1:31" x14ac:dyDescent="0.35">
      <c r="A939" s="56" t="s">
        <v>1004</v>
      </c>
      <c r="B939" s="58">
        <v>16600</v>
      </c>
      <c r="C939" s="58" t="s">
        <v>2071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15139.55</v>
      </c>
      <c r="O939" s="58">
        <v>16600</v>
      </c>
      <c r="P939" s="58" t="s">
        <v>2071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300</v>
      </c>
      <c r="Z939" s="58">
        <v>0</v>
      </c>
      <c r="AA939" s="58">
        <v>15143.3</v>
      </c>
      <c r="AE939" s="57"/>
    </row>
    <row r="940" spans="1:31" x14ac:dyDescent="0.35">
      <c r="A940" s="56" t="s">
        <v>1005</v>
      </c>
      <c r="B940" s="58">
        <v>16600</v>
      </c>
      <c r="C940" s="58" t="s">
        <v>2073</v>
      </c>
      <c r="D940" s="58">
        <v>0</v>
      </c>
      <c r="E940" s="58">
        <v>0</v>
      </c>
      <c r="F940" s="58">
        <v>0</v>
      </c>
      <c r="G940" s="58">
        <v>0</v>
      </c>
      <c r="H940" s="58">
        <v>0</v>
      </c>
      <c r="I940" s="58">
        <v>0</v>
      </c>
      <c r="J940" s="58">
        <v>0</v>
      </c>
      <c r="K940" s="58">
        <v>0</v>
      </c>
      <c r="L940" s="58">
        <v>4875</v>
      </c>
      <c r="M940" s="58">
        <v>4875</v>
      </c>
      <c r="N940" s="58">
        <v>15139.55</v>
      </c>
      <c r="O940" s="58">
        <v>16600</v>
      </c>
      <c r="P940" s="58" t="s">
        <v>2073</v>
      </c>
      <c r="Q940" s="58">
        <v>0</v>
      </c>
      <c r="R940" s="58">
        <v>0</v>
      </c>
      <c r="S940" s="58">
        <v>0</v>
      </c>
      <c r="T940" s="58">
        <v>0</v>
      </c>
      <c r="U940" s="58">
        <v>0</v>
      </c>
      <c r="V940" s="58">
        <v>0</v>
      </c>
      <c r="W940" s="58">
        <v>0</v>
      </c>
      <c r="X940" s="58">
        <v>0</v>
      </c>
      <c r="Y940" s="58">
        <v>300</v>
      </c>
      <c r="Z940" s="58">
        <v>0</v>
      </c>
      <c r="AA940" s="58">
        <v>15143.3</v>
      </c>
      <c r="AE940" s="57"/>
    </row>
    <row r="941" spans="1:31" x14ac:dyDescent="0.35">
      <c r="A941" s="56" t="s">
        <v>1006</v>
      </c>
      <c r="B941" s="58">
        <v>16600</v>
      </c>
      <c r="C941" s="58" t="s">
        <v>2074</v>
      </c>
      <c r="D941" s="58">
        <v>0</v>
      </c>
      <c r="E941" s="58">
        <v>0</v>
      </c>
      <c r="F941" s="58">
        <v>0</v>
      </c>
      <c r="G941" s="58">
        <v>0</v>
      </c>
      <c r="H941" s="58">
        <v>0</v>
      </c>
      <c r="I941" s="58">
        <v>0</v>
      </c>
      <c r="J941" s="58">
        <v>0</v>
      </c>
      <c r="K941" s="58">
        <v>0</v>
      </c>
      <c r="L941" s="58">
        <v>4875</v>
      </c>
      <c r="M941" s="58">
        <v>4875</v>
      </c>
      <c r="N941" s="58">
        <v>15139.55</v>
      </c>
      <c r="O941" s="58">
        <v>16600</v>
      </c>
      <c r="P941" s="58" t="s">
        <v>2074</v>
      </c>
      <c r="Q941" s="58">
        <v>0</v>
      </c>
      <c r="R941" s="58">
        <v>0</v>
      </c>
      <c r="S941" s="58">
        <v>0</v>
      </c>
      <c r="T941" s="58">
        <v>0</v>
      </c>
      <c r="U941" s="58">
        <v>0</v>
      </c>
      <c r="V941" s="58">
        <v>0</v>
      </c>
      <c r="W941" s="58">
        <v>0</v>
      </c>
      <c r="X941" s="58">
        <v>0</v>
      </c>
      <c r="Y941" s="58">
        <v>300</v>
      </c>
      <c r="Z941" s="58">
        <v>0</v>
      </c>
      <c r="AA941" s="58">
        <v>15143.3</v>
      </c>
      <c r="AE941" s="57"/>
    </row>
    <row r="942" spans="1:31" x14ac:dyDescent="0.35">
      <c r="A942" s="56" t="s">
        <v>1007</v>
      </c>
      <c r="B942" s="58">
        <v>16600</v>
      </c>
      <c r="C942" s="58" t="s">
        <v>2068</v>
      </c>
      <c r="D942" s="58">
        <v>0</v>
      </c>
      <c r="E942" s="58">
        <v>0</v>
      </c>
      <c r="F942" s="58">
        <v>0</v>
      </c>
      <c r="G942" s="58">
        <v>0</v>
      </c>
      <c r="H942" s="58">
        <v>0</v>
      </c>
      <c r="I942" s="58">
        <v>0</v>
      </c>
      <c r="J942" s="58">
        <v>0</v>
      </c>
      <c r="K942" s="58">
        <v>0</v>
      </c>
      <c r="L942" s="58">
        <v>13500</v>
      </c>
      <c r="M942" s="58">
        <v>13500</v>
      </c>
      <c r="N942" s="58">
        <v>15139.55</v>
      </c>
      <c r="O942" s="58">
        <v>16600</v>
      </c>
      <c r="P942" s="58" t="s">
        <v>2068</v>
      </c>
      <c r="Q942" s="58">
        <v>191</v>
      </c>
      <c r="R942" s="58">
        <v>-1</v>
      </c>
      <c r="S942" s="58">
        <v>-0.52083333333333337</v>
      </c>
      <c r="T942" s="58">
        <v>89</v>
      </c>
      <c r="U942" s="58">
        <v>16.02</v>
      </c>
      <c r="V942" s="58">
        <v>40.200000000000003</v>
      </c>
      <c r="W942" s="58">
        <v>-5.7999999999999972</v>
      </c>
      <c r="X942" s="58">
        <v>-12.608695652173909</v>
      </c>
      <c r="Y942" s="58">
        <v>59250</v>
      </c>
      <c r="Z942" s="58">
        <v>13350</v>
      </c>
      <c r="AA942" s="58">
        <v>15139.55</v>
      </c>
      <c r="AE942" s="57"/>
    </row>
    <row r="943" spans="1:31" x14ac:dyDescent="0.35">
      <c r="A943" s="56" t="s">
        <v>1008</v>
      </c>
      <c r="B943" s="58">
        <v>16600</v>
      </c>
      <c r="C943" s="58" t="s">
        <v>2076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15143.3</v>
      </c>
      <c r="O943" s="58">
        <v>0</v>
      </c>
      <c r="P943" s="58">
        <v>0</v>
      </c>
      <c r="Q943" s="58">
        <v>0</v>
      </c>
      <c r="R943" s="58">
        <v>0</v>
      </c>
      <c r="S943" s="58">
        <v>0</v>
      </c>
      <c r="T943" s="58">
        <v>0</v>
      </c>
      <c r="U943" s="58">
        <v>0</v>
      </c>
      <c r="V943" s="58">
        <v>0</v>
      </c>
      <c r="W943" s="58">
        <v>0</v>
      </c>
      <c r="X943" s="58">
        <v>0</v>
      </c>
      <c r="Y943" s="58">
        <v>0</v>
      </c>
      <c r="Z943" s="58">
        <v>0</v>
      </c>
      <c r="AA943" s="58">
        <v>0</v>
      </c>
      <c r="AE943" s="57"/>
    </row>
    <row r="944" spans="1:31" x14ac:dyDescent="0.35">
      <c r="A944" s="56" t="s">
        <v>1009</v>
      </c>
      <c r="B944" s="58">
        <v>16600</v>
      </c>
      <c r="C944" s="58" t="s">
        <v>2075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5550</v>
      </c>
      <c r="M944" s="58">
        <v>5025</v>
      </c>
      <c r="N944" s="58">
        <v>15143.3</v>
      </c>
      <c r="O944" s="58">
        <v>16600</v>
      </c>
      <c r="P944" s="58" t="s">
        <v>2075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7875</v>
      </c>
      <c r="Z944" s="58">
        <v>900</v>
      </c>
      <c r="AA944" s="58">
        <v>15139.55</v>
      </c>
      <c r="AE944" s="57"/>
    </row>
    <row r="945" spans="1:31" x14ac:dyDescent="0.35">
      <c r="A945" s="56" t="s">
        <v>1010</v>
      </c>
      <c r="B945" s="58">
        <v>16650</v>
      </c>
      <c r="C945" s="58" t="s">
        <v>33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14700</v>
      </c>
      <c r="M945" s="58">
        <v>14700</v>
      </c>
      <c r="N945" s="58">
        <v>15143.3</v>
      </c>
      <c r="O945" s="58">
        <v>16650</v>
      </c>
      <c r="P945" s="58" t="s">
        <v>33</v>
      </c>
      <c r="Q945" s="58">
        <v>21</v>
      </c>
      <c r="R945" s="58">
        <v>0</v>
      </c>
      <c r="S945" s="58">
        <v>0</v>
      </c>
      <c r="T945" s="58">
        <v>386</v>
      </c>
      <c r="U945" s="58">
        <v>62.99</v>
      </c>
      <c r="V945" s="58">
        <v>0.3</v>
      </c>
      <c r="W945" s="58">
        <v>-0.3</v>
      </c>
      <c r="X945" s="58">
        <v>-50</v>
      </c>
      <c r="Y945" s="58">
        <v>2850</v>
      </c>
      <c r="Z945" s="58">
        <v>45975</v>
      </c>
      <c r="AA945" s="58">
        <v>15139.55</v>
      </c>
      <c r="AE945" s="57"/>
    </row>
    <row r="946" spans="1:31" x14ac:dyDescent="0.35">
      <c r="A946" s="56" t="s">
        <v>1011</v>
      </c>
      <c r="B946" s="58">
        <v>16650</v>
      </c>
      <c r="C946" s="58" t="s">
        <v>34</v>
      </c>
      <c r="D946" s="58">
        <v>0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9750</v>
      </c>
      <c r="M946" s="58">
        <v>9750</v>
      </c>
      <c r="N946" s="58">
        <v>15143.3</v>
      </c>
      <c r="O946" s="58">
        <v>16650</v>
      </c>
      <c r="P946" s="58" t="s">
        <v>34</v>
      </c>
      <c r="Q946" s="58">
        <v>2</v>
      </c>
      <c r="R946" s="58">
        <v>1</v>
      </c>
      <c r="S946" s="58">
        <v>100</v>
      </c>
      <c r="T946" s="58">
        <v>1</v>
      </c>
      <c r="U946" s="58">
        <v>29.35</v>
      </c>
      <c r="V946" s="58">
        <v>3.95</v>
      </c>
      <c r="W946" s="58">
        <v>-0.75</v>
      </c>
      <c r="X946" s="58">
        <v>-15.957446808510635</v>
      </c>
      <c r="Y946" s="58">
        <v>29925</v>
      </c>
      <c r="Z946" s="58">
        <v>22950</v>
      </c>
      <c r="AA946" s="58">
        <v>15139.55</v>
      </c>
      <c r="AE946" s="57"/>
    </row>
    <row r="947" spans="1:31" x14ac:dyDescent="0.35">
      <c r="A947" s="56" t="s">
        <v>1012</v>
      </c>
      <c r="B947" s="58">
        <v>16650</v>
      </c>
      <c r="C947" s="58" t="s">
        <v>64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15143.3</v>
      </c>
      <c r="O947" s="58">
        <v>16650</v>
      </c>
      <c r="P947" s="58" t="s">
        <v>64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5775</v>
      </c>
      <c r="Z947" s="58">
        <v>10050</v>
      </c>
      <c r="AA947" s="58">
        <v>15139.55</v>
      </c>
      <c r="AE947" s="57"/>
    </row>
    <row r="948" spans="1:31" x14ac:dyDescent="0.35">
      <c r="A948" s="56" t="s">
        <v>1013</v>
      </c>
      <c r="B948" s="58">
        <v>16650</v>
      </c>
      <c r="C948" s="58" t="s">
        <v>2071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15139.55</v>
      </c>
      <c r="O948" s="58">
        <v>0</v>
      </c>
      <c r="P948" s="58">
        <v>0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0</v>
      </c>
      <c r="AA948" s="58">
        <v>0</v>
      </c>
      <c r="AE948" s="57"/>
    </row>
    <row r="949" spans="1:31" x14ac:dyDescent="0.35">
      <c r="A949" s="56" t="s">
        <v>1014</v>
      </c>
      <c r="B949" s="58">
        <v>16650</v>
      </c>
      <c r="C949" s="58" t="s">
        <v>2073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15143.3</v>
      </c>
      <c r="O949" s="58">
        <v>0</v>
      </c>
      <c r="P949" s="58">
        <v>0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0</v>
      </c>
      <c r="Z949" s="58">
        <v>0</v>
      </c>
      <c r="AA949" s="58">
        <v>0</v>
      </c>
      <c r="AE949" s="57"/>
    </row>
    <row r="950" spans="1:31" x14ac:dyDescent="0.35">
      <c r="A950" s="56" t="s">
        <v>1015</v>
      </c>
      <c r="B950" s="58">
        <v>16650</v>
      </c>
      <c r="C950" s="58" t="s">
        <v>2074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4875</v>
      </c>
      <c r="M950" s="58">
        <v>4875</v>
      </c>
      <c r="N950" s="58">
        <v>15139.55</v>
      </c>
      <c r="O950" s="58">
        <v>16650</v>
      </c>
      <c r="P950" s="58" t="s">
        <v>2074</v>
      </c>
      <c r="Q950" s="58">
        <v>0</v>
      </c>
      <c r="R950" s="58">
        <v>0</v>
      </c>
      <c r="S950" s="58">
        <v>0</v>
      </c>
      <c r="T950" s="58">
        <v>0</v>
      </c>
      <c r="U950" s="58">
        <v>0</v>
      </c>
      <c r="V950" s="58">
        <v>0</v>
      </c>
      <c r="W950" s="58">
        <v>0</v>
      </c>
      <c r="X950" s="58">
        <v>0</v>
      </c>
      <c r="Y950" s="58">
        <v>0</v>
      </c>
      <c r="Z950" s="58">
        <v>0</v>
      </c>
      <c r="AA950" s="58">
        <v>15139.55</v>
      </c>
      <c r="AE950" s="57"/>
    </row>
    <row r="951" spans="1:31" x14ac:dyDescent="0.35">
      <c r="A951" s="56" t="s">
        <v>1016</v>
      </c>
      <c r="B951" s="58">
        <v>16650</v>
      </c>
      <c r="C951" s="58" t="s">
        <v>2068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13275</v>
      </c>
      <c r="M951" s="58">
        <v>8325</v>
      </c>
      <c r="N951" s="58">
        <v>15139.55</v>
      </c>
      <c r="O951" s="58">
        <v>16650</v>
      </c>
      <c r="P951" s="58" t="s">
        <v>2068</v>
      </c>
      <c r="Q951" s="58">
        <v>0</v>
      </c>
      <c r="R951" s="58">
        <v>0</v>
      </c>
      <c r="S951" s="58">
        <v>0</v>
      </c>
      <c r="T951" s="58">
        <v>0</v>
      </c>
      <c r="U951" s="58">
        <v>0</v>
      </c>
      <c r="V951" s="58">
        <v>0</v>
      </c>
      <c r="W951" s="58">
        <v>0</v>
      </c>
      <c r="X951" s="58">
        <v>0</v>
      </c>
      <c r="Y951" s="58">
        <v>14925</v>
      </c>
      <c r="Z951" s="58">
        <v>5025</v>
      </c>
      <c r="AA951" s="58">
        <v>15139.55</v>
      </c>
      <c r="AE951" s="57"/>
    </row>
    <row r="952" spans="1:31" x14ac:dyDescent="0.35">
      <c r="A952" s="56" t="s">
        <v>1017</v>
      </c>
      <c r="B952" s="58">
        <v>16650</v>
      </c>
      <c r="C952" s="58" t="s">
        <v>2075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5025</v>
      </c>
      <c r="M952" s="58">
        <v>5025</v>
      </c>
      <c r="N952" s="58">
        <v>15143.3</v>
      </c>
      <c r="O952" s="58">
        <v>16650</v>
      </c>
      <c r="P952" s="58" t="s">
        <v>2075</v>
      </c>
      <c r="Q952" s="58">
        <v>0</v>
      </c>
      <c r="R952" s="58">
        <v>0</v>
      </c>
      <c r="S952" s="58">
        <v>0</v>
      </c>
      <c r="T952" s="58">
        <v>0</v>
      </c>
      <c r="U952" s="58">
        <v>0</v>
      </c>
      <c r="V952" s="58">
        <v>0</v>
      </c>
      <c r="W952" s="58">
        <v>0</v>
      </c>
      <c r="X952" s="58">
        <v>0</v>
      </c>
      <c r="Y952" s="58">
        <v>3300</v>
      </c>
      <c r="Z952" s="58">
        <v>900</v>
      </c>
      <c r="AA952" s="58">
        <v>15139.55</v>
      </c>
      <c r="AE952" s="57"/>
    </row>
    <row r="953" spans="1:31" x14ac:dyDescent="0.35">
      <c r="A953" s="56" t="s">
        <v>1018</v>
      </c>
      <c r="B953" s="58">
        <v>16650</v>
      </c>
      <c r="C953" s="58" t="s">
        <v>26</v>
      </c>
      <c r="D953" s="58">
        <v>0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16275</v>
      </c>
      <c r="M953" s="58">
        <v>15600</v>
      </c>
      <c r="N953" s="58">
        <v>15143.3</v>
      </c>
      <c r="O953" s="58">
        <v>16650</v>
      </c>
      <c r="P953" s="58" t="s">
        <v>26</v>
      </c>
      <c r="Q953" s="58">
        <v>67</v>
      </c>
      <c r="R953" s="58">
        <v>-6</v>
      </c>
      <c r="S953" s="58">
        <v>-8.2191780821917817</v>
      </c>
      <c r="T953" s="58">
        <v>17</v>
      </c>
      <c r="U953" s="58">
        <v>22.36</v>
      </c>
      <c r="V953" s="58">
        <v>5.9</v>
      </c>
      <c r="W953" s="58">
        <v>-0.5</v>
      </c>
      <c r="X953" s="58">
        <v>-7.8125</v>
      </c>
      <c r="Y953" s="58">
        <v>22650</v>
      </c>
      <c r="Z953" s="58">
        <v>23775</v>
      </c>
      <c r="AA953" s="58">
        <v>15139.55</v>
      </c>
      <c r="AE953" s="57"/>
    </row>
    <row r="954" spans="1:31" x14ac:dyDescent="0.35">
      <c r="A954" s="56" t="s">
        <v>1019</v>
      </c>
      <c r="B954" s="58">
        <v>16700</v>
      </c>
      <c r="C954" s="58" t="s">
        <v>33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14700</v>
      </c>
      <c r="M954" s="58">
        <v>14700</v>
      </c>
      <c r="N954" s="58">
        <v>15143.3</v>
      </c>
      <c r="O954" s="58">
        <v>16700</v>
      </c>
      <c r="P954" s="58" t="s">
        <v>33</v>
      </c>
      <c r="Q954" s="58">
        <v>2651</v>
      </c>
      <c r="R954" s="58">
        <v>374</v>
      </c>
      <c r="S954" s="58">
        <v>16.425120772946858</v>
      </c>
      <c r="T954" s="58">
        <v>1993</v>
      </c>
      <c r="U954" s="58">
        <v>60.99</v>
      </c>
      <c r="V954" s="58">
        <v>0.3</v>
      </c>
      <c r="W954" s="58">
        <v>-0.4</v>
      </c>
      <c r="X954" s="58">
        <v>-57.142857142857139</v>
      </c>
      <c r="Y954" s="58">
        <v>92250</v>
      </c>
      <c r="Z954" s="58">
        <v>70125</v>
      </c>
      <c r="AA954" s="58">
        <v>15139.55</v>
      </c>
      <c r="AE954" s="57"/>
    </row>
    <row r="955" spans="1:31" x14ac:dyDescent="0.35">
      <c r="A955" s="56" t="s">
        <v>1020</v>
      </c>
      <c r="B955" s="58">
        <v>16700</v>
      </c>
      <c r="C955" s="58" t="s">
        <v>26</v>
      </c>
      <c r="D955" s="58">
        <v>5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20250</v>
      </c>
      <c r="M955" s="58">
        <v>20100</v>
      </c>
      <c r="N955" s="58">
        <v>15143.3</v>
      </c>
      <c r="O955" s="58">
        <v>16700</v>
      </c>
      <c r="P955" s="58" t="s">
        <v>26</v>
      </c>
      <c r="Q955" s="58">
        <v>436</v>
      </c>
      <c r="R955" s="58">
        <v>-31</v>
      </c>
      <c r="S955" s="58">
        <v>-6.6381156316916492</v>
      </c>
      <c r="T955" s="58">
        <v>174</v>
      </c>
      <c r="U955" s="58">
        <v>22.95</v>
      </c>
      <c r="V955" s="58">
        <v>5.55</v>
      </c>
      <c r="W955" s="58">
        <v>-1.7999999999999998</v>
      </c>
      <c r="X955" s="58">
        <v>-24.489795918367346</v>
      </c>
      <c r="Y955" s="58">
        <v>96750</v>
      </c>
      <c r="Z955" s="58">
        <v>63675</v>
      </c>
      <c r="AA955" s="58">
        <v>15143.3</v>
      </c>
      <c r="AE955" s="57"/>
    </row>
    <row r="956" spans="1:31" x14ac:dyDescent="0.35">
      <c r="A956" s="56" t="s">
        <v>1021</v>
      </c>
      <c r="B956" s="58">
        <v>16700</v>
      </c>
      <c r="C956" s="58" t="s">
        <v>64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15143.3</v>
      </c>
      <c r="O956" s="58">
        <v>16700</v>
      </c>
      <c r="P956" s="58" t="s">
        <v>64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15075</v>
      </c>
      <c r="Z956" s="58">
        <v>6375</v>
      </c>
      <c r="AA956" s="58">
        <v>15143.3</v>
      </c>
      <c r="AE956" s="57"/>
    </row>
    <row r="957" spans="1:31" x14ac:dyDescent="0.35">
      <c r="A957" s="56" t="s">
        <v>1022</v>
      </c>
      <c r="B957" s="58">
        <v>16700</v>
      </c>
      <c r="C957" s="58" t="s">
        <v>2071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4875</v>
      </c>
      <c r="M957" s="58">
        <v>4875</v>
      </c>
      <c r="N957" s="58">
        <v>15143.3</v>
      </c>
      <c r="O957" s="58">
        <v>16700</v>
      </c>
      <c r="P957" s="58" t="s">
        <v>2071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300</v>
      </c>
      <c r="Z957" s="58">
        <v>0</v>
      </c>
      <c r="AA957" s="58">
        <v>15139.55</v>
      </c>
      <c r="AE957" s="57"/>
    </row>
    <row r="958" spans="1:31" x14ac:dyDescent="0.35">
      <c r="A958" s="56" t="s">
        <v>1023</v>
      </c>
      <c r="B958" s="58">
        <v>16700</v>
      </c>
      <c r="C958" s="58" t="s">
        <v>2073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15143.3</v>
      </c>
      <c r="O958" s="58">
        <v>16700</v>
      </c>
      <c r="P958" s="58" t="s">
        <v>2073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450</v>
      </c>
      <c r="Z958" s="58">
        <v>4875</v>
      </c>
      <c r="AA958" s="58">
        <v>15139.55</v>
      </c>
      <c r="AE958" s="57"/>
    </row>
    <row r="959" spans="1:31" x14ac:dyDescent="0.35">
      <c r="A959" s="56" t="s">
        <v>1024</v>
      </c>
      <c r="B959" s="58">
        <v>16700</v>
      </c>
      <c r="C959" s="58" t="s">
        <v>2074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15143.3</v>
      </c>
      <c r="O959" s="58">
        <v>16700</v>
      </c>
      <c r="P959" s="58" t="s">
        <v>2074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0</v>
      </c>
      <c r="AA959" s="58">
        <v>15139.55</v>
      </c>
      <c r="AE959" s="57"/>
    </row>
    <row r="960" spans="1:31" x14ac:dyDescent="0.35">
      <c r="A960" s="56" t="s">
        <v>1025</v>
      </c>
      <c r="B960" s="58">
        <v>16700</v>
      </c>
      <c r="C960" s="58" t="s">
        <v>2068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13425</v>
      </c>
      <c r="M960" s="58">
        <v>13425</v>
      </c>
      <c r="N960" s="58">
        <v>15143.3</v>
      </c>
      <c r="O960" s="58">
        <v>16700</v>
      </c>
      <c r="P960" s="58" t="s">
        <v>2068</v>
      </c>
      <c r="Q960" s="58">
        <v>58</v>
      </c>
      <c r="R960" s="58">
        <v>22</v>
      </c>
      <c r="S960" s="58">
        <v>61.111111111111114</v>
      </c>
      <c r="T960" s="58">
        <v>36</v>
      </c>
      <c r="U960" s="58">
        <v>16.100000000000001</v>
      </c>
      <c r="V960" s="58">
        <v>32.950000000000003</v>
      </c>
      <c r="W960" s="58">
        <v>0.95000000000000284</v>
      </c>
      <c r="X960" s="58">
        <v>2.9687500000000089</v>
      </c>
      <c r="Y960" s="58">
        <v>56025</v>
      </c>
      <c r="Z960" s="58">
        <v>12675</v>
      </c>
      <c r="AA960" s="58">
        <v>15139.55</v>
      </c>
      <c r="AE960" s="57"/>
    </row>
    <row r="961" spans="1:31" x14ac:dyDescent="0.35">
      <c r="A961" s="56" t="s">
        <v>1026</v>
      </c>
      <c r="B961" s="58">
        <v>16700</v>
      </c>
      <c r="C961" s="58" t="s">
        <v>2075</v>
      </c>
      <c r="D961" s="58">
        <v>0</v>
      </c>
      <c r="E961" s="58">
        <v>0</v>
      </c>
      <c r="F961" s="58">
        <v>0</v>
      </c>
      <c r="G961" s="58">
        <v>0</v>
      </c>
      <c r="H961" s="58">
        <v>0</v>
      </c>
      <c r="I961" s="58">
        <v>0</v>
      </c>
      <c r="J961" s="58">
        <v>0</v>
      </c>
      <c r="K961" s="58">
        <v>0</v>
      </c>
      <c r="L961" s="58">
        <v>5025</v>
      </c>
      <c r="M961" s="58">
        <v>5025</v>
      </c>
      <c r="N961" s="58">
        <v>15143.3</v>
      </c>
      <c r="O961" s="58">
        <v>16700</v>
      </c>
      <c r="P961" s="58" t="s">
        <v>2075</v>
      </c>
      <c r="Q961" s="58">
        <v>0</v>
      </c>
      <c r="R961" s="58">
        <v>0</v>
      </c>
      <c r="S961" s="58">
        <v>0</v>
      </c>
      <c r="T961" s="58">
        <v>0</v>
      </c>
      <c r="U961" s="58">
        <v>0</v>
      </c>
      <c r="V961" s="58">
        <v>0</v>
      </c>
      <c r="W961" s="58">
        <v>0</v>
      </c>
      <c r="X961" s="58">
        <v>0</v>
      </c>
      <c r="Y961" s="58">
        <v>6900</v>
      </c>
      <c r="Z961" s="58">
        <v>900</v>
      </c>
      <c r="AA961" s="58">
        <v>15139.55</v>
      </c>
      <c r="AE961" s="57"/>
    </row>
    <row r="962" spans="1:31" x14ac:dyDescent="0.35">
      <c r="A962" s="56" t="s">
        <v>1027</v>
      </c>
      <c r="B962" s="58">
        <v>16700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9750</v>
      </c>
      <c r="M962" s="58">
        <v>9750</v>
      </c>
      <c r="N962" s="58">
        <v>15143.3</v>
      </c>
      <c r="O962" s="58">
        <v>16700</v>
      </c>
      <c r="P962" s="58" t="s">
        <v>34</v>
      </c>
      <c r="Q962" s="58">
        <v>289</v>
      </c>
      <c r="R962" s="58">
        <v>104</v>
      </c>
      <c r="S962" s="58">
        <v>56.216216216216218</v>
      </c>
      <c r="T962" s="58">
        <v>177</v>
      </c>
      <c r="U962" s="58">
        <v>28.41</v>
      </c>
      <c r="V962" s="58">
        <v>2.5499999999999998</v>
      </c>
      <c r="W962" s="58">
        <v>0</v>
      </c>
      <c r="X962" s="58">
        <v>0</v>
      </c>
      <c r="Y962" s="58">
        <v>95475</v>
      </c>
      <c r="Z962" s="58">
        <v>39075</v>
      </c>
      <c r="AA962" s="58">
        <v>15139.55</v>
      </c>
      <c r="AE962" s="57"/>
    </row>
    <row r="963" spans="1:31" x14ac:dyDescent="0.35">
      <c r="A963" s="56" t="s">
        <v>1028</v>
      </c>
      <c r="B963" s="58">
        <v>16750</v>
      </c>
      <c r="C963" s="58" t="s">
        <v>33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14700</v>
      </c>
      <c r="M963" s="58">
        <v>14700</v>
      </c>
      <c r="N963" s="58">
        <v>15139.55</v>
      </c>
      <c r="O963" s="58">
        <v>16750</v>
      </c>
      <c r="P963" s="58" t="s">
        <v>33</v>
      </c>
      <c r="Q963" s="58">
        <v>69</v>
      </c>
      <c r="R963" s="58">
        <v>-42</v>
      </c>
      <c r="S963" s="58">
        <v>-37.837837837837839</v>
      </c>
      <c r="T963" s="58">
        <v>521</v>
      </c>
      <c r="U963" s="58">
        <v>62.68</v>
      </c>
      <c r="V963" s="58">
        <v>0.15</v>
      </c>
      <c r="W963" s="58">
        <v>-0.4</v>
      </c>
      <c r="X963" s="58">
        <v>-72.727272727272734</v>
      </c>
      <c r="Y963" s="58">
        <v>7725</v>
      </c>
      <c r="Z963" s="58">
        <v>41925</v>
      </c>
      <c r="AA963" s="58">
        <v>15139.55</v>
      </c>
      <c r="AE963" s="57"/>
    </row>
    <row r="964" spans="1:31" x14ac:dyDescent="0.35">
      <c r="A964" s="56" t="s">
        <v>1029</v>
      </c>
      <c r="B964" s="58">
        <v>16750</v>
      </c>
      <c r="C964" s="58" t="s">
        <v>34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9750</v>
      </c>
      <c r="M964" s="58">
        <v>9750</v>
      </c>
      <c r="N964" s="58">
        <v>15139.55</v>
      </c>
      <c r="O964" s="58">
        <v>16750</v>
      </c>
      <c r="P964" s="58" t="s">
        <v>34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26625</v>
      </c>
      <c r="Z964" s="58">
        <v>22575</v>
      </c>
      <c r="AA964" s="58">
        <v>15143.3</v>
      </c>
      <c r="AE964" s="57"/>
    </row>
    <row r="965" spans="1:31" x14ac:dyDescent="0.35">
      <c r="A965" s="56" t="s">
        <v>1030</v>
      </c>
      <c r="B965" s="58">
        <v>16750</v>
      </c>
      <c r="C965" s="58" t="s">
        <v>26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19725</v>
      </c>
      <c r="M965" s="58">
        <v>19725</v>
      </c>
      <c r="N965" s="58">
        <v>15139.55</v>
      </c>
      <c r="O965" s="58">
        <v>16750</v>
      </c>
      <c r="P965" s="58" t="s">
        <v>26</v>
      </c>
      <c r="Q965" s="58">
        <v>72</v>
      </c>
      <c r="R965" s="58">
        <v>13</v>
      </c>
      <c r="S965" s="58">
        <v>22.033898305084747</v>
      </c>
      <c r="T965" s="58">
        <v>31</v>
      </c>
      <c r="U965" s="58">
        <v>23.65</v>
      </c>
      <c r="V965" s="58">
        <v>6</v>
      </c>
      <c r="W965" s="58">
        <v>-0.20000000000000015</v>
      </c>
      <c r="X965" s="58">
        <v>-3.2258064516129057</v>
      </c>
      <c r="Y965" s="58">
        <v>34275</v>
      </c>
      <c r="Z965" s="58">
        <v>24825</v>
      </c>
      <c r="AA965" s="58">
        <v>15143.3</v>
      </c>
      <c r="AE965" s="57"/>
    </row>
    <row r="966" spans="1:31" x14ac:dyDescent="0.35">
      <c r="A966" s="56" t="s">
        <v>1031</v>
      </c>
      <c r="B966" s="58">
        <v>16750</v>
      </c>
      <c r="C966" s="58" t="s">
        <v>64</v>
      </c>
      <c r="D966" s="58">
        <v>0</v>
      </c>
      <c r="E966" s="58">
        <v>0</v>
      </c>
      <c r="F966" s="58">
        <v>0</v>
      </c>
      <c r="G966" s="58">
        <v>0</v>
      </c>
      <c r="H966" s="58">
        <v>0</v>
      </c>
      <c r="I966" s="58">
        <v>0</v>
      </c>
      <c r="J966" s="58">
        <v>0</v>
      </c>
      <c r="K966" s="58">
        <v>0</v>
      </c>
      <c r="L966" s="58">
        <v>4875</v>
      </c>
      <c r="M966" s="58">
        <v>4875</v>
      </c>
      <c r="N966" s="58">
        <v>15139.55</v>
      </c>
      <c r="O966" s="58">
        <v>16750</v>
      </c>
      <c r="P966" s="58" t="s">
        <v>64</v>
      </c>
      <c r="Q966" s="58">
        <v>0</v>
      </c>
      <c r="R966" s="58">
        <v>0</v>
      </c>
      <c r="S966" s="58">
        <v>0</v>
      </c>
      <c r="T966" s="58">
        <v>0</v>
      </c>
      <c r="U966" s="58">
        <v>0</v>
      </c>
      <c r="V966" s="58">
        <v>0</v>
      </c>
      <c r="W966" s="58">
        <v>0</v>
      </c>
      <c r="X966" s="58">
        <v>0</v>
      </c>
      <c r="Y966" s="58">
        <v>5775</v>
      </c>
      <c r="Z966" s="58">
        <v>4875</v>
      </c>
      <c r="AA966" s="58">
        <v>15143.3</v>
      </c>
      <c r="AE966" s="57"/>
    </row>
    <row r="967" spans="1:31" x14ac:dyDescent="0.35">
      <c r="A967" s="56" t="s">
        <v>1032</v>
      </c>
      <c r="B967" s="58">
        <v>16750</v>
      </c>
      <c r="C967" s="58" t="s">
        <v>2071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15139.55</v>
      </c>
      <c r="O967" s="58">
        <v>0</v>
      </c>
      <c r="P967" s="58">
        <v>0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0</v>
      </c>
      <c r="AA967" s="58">
        <v>0</v>
      </c>
      <c r="AE967" s="57"/>
    </row>
    <row r="968" spans="1:31" x14ac:dyDescent="0.35">
      <c r="A968" s="56" t="s">
        <v>1033</v>
      </c>
      <c r="B968" s="58">
        <v>16750</v>
      </c>
      <c r="C968" s="58" t="s">
        <v>2073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15139.55</v>
      </c>
      <c r="O968" s="58">
        <v>0</v>
      </c>
      <c r="P968" s="58">
        <v>0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0</v>
      </c>
      <c r="AA968" s="58">
        <v>0</v>
      </c>
      <c r="AE968" s="57"/>
    </row>
    <row r="969" spans="1:31" x14ac:dyDescent="0.35">
      <c r="A969" s="56" t="s">
        <v>1034</v>
      </c>
      <c r="B969" s="58">
        <v>16750</v>
      </c>
      <c r="C969" s="58" t="s">
        <v>2074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15139.55</v>
      </c>
      <c r="O969" s="58">
        <v>16750</v>
      </c>
      <c r="P969" s="58" t="s">
        <v>2074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0</v>
      </c>
      <c r="Z969" s="58">
        <v>0</v>
      </c>
      <c r="AA969" s="58">
        <v>15143.3</v>
      </c>
      <c r="AE969" s="57"/>
    </row>
    <row r="970" spans="1:31" x14ac:dyDescent="0.35">
      <c r="A970" s="56" t="s">
        <v>1035</v>
      </c>
      <c r="B970" s="58">
        <v>16750</v>
      </c>
      <c r="C970" s="58" t="s">
        <v>2068</v>
      </c>
      <c r="D970" s="58">
        <v>0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8925</v>
      </c>
      <c r="M970" s="58">
        <v>8250</v>
      </c>
      <c r="N970" s="58">
        <v>15143.3</v>
      </c>
      <c r="O970" s="58">
        <v>16750</v>
      </c>
      <c r="P970" s="58" t="s">
        <v>2068</v>
      </c>
      <c r="Q970" s="58">
        <v>0</v>
      </c>
      <c r="R970" s="58">
        <v>0</v>
      </c>
      <c r="S970" s="58">
        <v>0</v>
      </c>
      <c r="T970" s="58">
        <v>0</v>
      </c>
      <c r="U970" s="58">
        <v>0</v>
      </c>
      <c r="V970" s="58">
        <v>0</v>
      </c>
      <c r="W970" s="58">
        <v>0</v>
      </c>
      <c r="X970" s="58">
        <v>0</v>
      </c>
      <c r="Y970" s="58">
        <v>13050</v>
      </c>
      <c r="Z970" s="58">
        <v>5025</v>
      </c>
      <c r="AA970" s="58">
        <v>15143.3</v>
      </c>
      <c r="AE970" s="57"/>
    </row>
    <row r="971" spans="1:31" x14ac:dyDescent="0.35">
      <c r="A971" s="56" t="s">
        <v>1036</v>
      </c>
      <c r="B971" s="58">
        <v>16750</v>
      </c>
      <c r="C971" s="58" t="s">
        <v>2075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5025</v>
      </c>
      <c r="M971" s="58">
        <v>5025</v>
      </c>
      <c r="N971" s="58">
        <v>15139.55</v>
      </c>
      <c r="O971" s="58">
        <v>16750</v>
      </c>
      <c r="P971" s="58" t="s">
        <v>2075</v>
      </c>
      <c r="Q971" s="58">
        <v>0</v>
      </c>
      <c r="R971" s="58">
        <v>0</v>
      </c>
      <c r="S971" s="58">
        <v>0</v>
      </c>
      <c r="T971" s="58">
        <v>0</v>
      </c>
      <c r="U971" s="58">
        <v>0</v>
      </c>
      <c r="V971" s="58">
        <v>0</v>
      </c>
      <c r="W971" s="58">
        <v>0</v>
      </c>
      <c r="X971" s="58">
        <v>0</v>
      </c>
      <c r="Y971" s="58">
        <v>6900</v>
      </c>
      <c r="Z971" s="58">
        <v>900</v>
      </c>
      <c r="AA971" s="58">
        <v>15139.55</v>
      </c>
      <c r="AE971" s="57"/>
    </row>
    <row r="972" spans="1:31" x14ac:dyDescent="0.35">
      <c r="A972" s="56" t="s">
        <v>1037</v>
      </c>
      <c r="B972" s="58">
        <v>16800</v>
      </c>
      <c r="C972" s="58" t="s">
        <v>33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10125</v>
      </c>
      <c r="M972" s="58">
        <v>10125</v>
      </c>
      <c r="N972" s="58">
        <v>15143.3</v>
      </c>
      <c r="O972" s="58">
        <v>16800</v>
      </c>
      <c r="P972" s="58" t="s">
        <v>33</v>
      </c>
      <c r="Q972" s="58">
        <v>30985</v>
      </c>
      <c r="R972" s="58">
        <v>103</v>
      </c>
      <c r="S972" s="58">
        <v>0.33352762126805258</v>
      </c>
      <c r="T972" s="58">
        <v>8564</v>
      </c>
      <c r="U972" s="58">
        <v>64.37</v>
      </c>
      <c r="V972" s="58">
        <v>0.15</v>
      </c>
      <c r="W972" s="58">
        <v>-0.45</v>
      </c>
      <c r="X972" s="58">
        <v>-75</v>
      </c>
      <c r="Y972" s="58">
        <v>665475</v>
      </c>
      <c r="Z972" s="58">
        <v>163875</v>
      </c>
      <c r="AA972" s="58">
        <v>15143.3</v>
      </c>
      <c r="AE972" s="57"/>
    </row>
    <row r="973" spans="1:31" x14ac:dyDescent="0.35">
      <c r="A973" s="56" t="s">
        <v>1038</v>
      </c>
      <c r="B973" s="58">
        <v>16800</v>
      </c>
      <c r="C973" s="58" t="s">
        <v>26</v>
      </c>
      <c r="D973" s="58">
        <v>285</v>
      </c>
      <c r="E973" s="58">
        <v>-1</v>
      </c>
      <c r="F973" s="58">
        <v>-0.34965034965034963</v>
      </c>
      <c r="G973" s="58">
        <v>9</v>
      </c>
      <c r="H973" s="58">
        <v>27.94</v>
      </c>
      <c r="I973" s="58">
        <v>1609</v>
      </c>
      <c r="J973" s="58">
        <v>-74.450000000000045</v>
      </c>
      <c r="K973" s="58">
        <v>-4.4224657696991327</v>
      </c>
      <c r="L973" s="58">
        <v>21825</v>
      </c>
      <c r="M973" s="58">
        <v>20175</v>
      </c>
      <c r="N973" s="58">
        <v>15139.55</v>
      </c>
      <c r="O973" s="58">
        <v>16800</v>
      </c>
      <c r="P973" s="58" t="s">
        <v>26</v>
      </c>
      <c r="Q973" s="58">
        <v>6427</v>
      </c>
      <c r="R973" s="58">
        <v>176</v>
      </c>
      <c r="S973" s="58">
        <v>2.8155495120780674</v>
      </c>
      <c r="T973" s="58">
        <v>737</v>
      </c>
      <c r="U973" s="58">
        <v>23.74</v>
      </c>
      <c r="V973" s="58">
        <v>5.15</v>
      </c>
      <c r="W973" s="58">
        <v>-1.5999999999999996</v>
      </c>
      <c r="X973" s="58">
        <v>-23.703703703703699</v>
      </c>
      <c r="Y973" s="58">
        <v>70200</v>
      </c>
      <c r="Z973" s="58">
        <v>62775</v>
      </c>
      <c r="AA973" s="58">
        <v>15143.3</v>
      </c>
      <c r="AE973" s="57"/>
    </row>
    <row r="974" spans="1:31" x14ac:dyDescent="0.35">
      <c r="A974" s="56" t="s">
        <v>1039</v>
      </c>
      <c r="B974" s="58">
        <v>16800</v>
      </c>
      <c r="C974" s="58" t="s">
        <v>64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15143.3</v>
      </c>
      <c r="O974" s="58">
        <v>16800</v>
      </c>
      <c r="P974" s="58" t="s">
        <v>64</v>
      </c>
      <c r="Q974" s="58">
        <v>42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11775</v>
      </c>
      <c r="Z974" s="58">
        <v>8400</v>
      </c>
      <c r="AA974" s="58">
        <v>15139.55</v>
      </c>
      <c r="AE974" s="57"/>
    </row>
    <row r="975" spans="1:31" x14ac:dyDescent="0.35">
      <c r="A975" s="56" t="s">
        <v>1040</v>
      </c>
      <c r="B975" s="58">
        <v>16800</v>
      </c>
      <c r="C975" s="58" t="s">
        <v>2071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4875</v>
      </c>
      <c r="M975" s="58">
        <v>4875</v>
      </c>
      <c r="N975" s="58">
        <v>15143.3</v>
      </c>
      <c r="O975" s="58">
        <v>16800</v>
      </c>
      <c r="P975" s="58" t="s">
        <v>2071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3300</v>
      </c>
      <c r="Z975" s="58">
        <v>6225</v>
      </c>
      <c r="AA975" s="58">
        <v>15139.55</v>
      </c>
      <c r="AE975" s="57"/>
    </row>
    <row r="976" spans="1:31" x14ac:dyDescent="0.35">
      <c r="A976" s="56" t="s">
        <v>1041</v>
      </c>
      <c r="B976" s="58">
        <v>16800</v>
      </c>
      <c r="C976" s="58" t="s">
        <v>2073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15139.55</v>
      </c>
      <c r="O976" s="58">
        <v>16800</v>
      </c>
      <c r="P976" s="58" t="s">
        <v>2073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5100</v>
      </c>
      <c r="Z976" s="58">
        <v>10050</v>
      </c>
      <c r="AA976" s="58">
        <v>15143.3</v>
      </c>
      <c r="AE976" s="57"/>
    </row>
    <row r="977" spans="1:39" x14ac:dyDescent="0.35">
      <c r="A977" s="56" t="s">
        <v>1042</v>
      </c>
      <c r="B977" s="58">
        <v>16800</v>
      </c>
      <c r="C977" s="58" t="s">
        <v>2068</v>
      </c>
      <c r="D977" s="58">
        <v>20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13575</v>
      </c>
      <c r="M977" s="58">
        <v>13575</v>
      </c>
      <c r="N977" s="58">
        <v>15139.55</v>
      </c>
      <c r="O977" s="58">
        <v>16800</v>
      </c>
      <c r="P977" s="58" t="s">
        <v>2068</v>
      </c>
      <c r="Q977" s="58">
        <v>1474</v>
      </c>
      <c r="R977" s="58">
        <v>241</v>
      </c>
      <c r="S977" s="58">
        <v>19.545823195458233</v>
      </c>
      <c r="T977" s="58">
        <v>532</v>
      </c>
      <c r="U977" s="58">
        <v>16.05</v>
      </c>
      <c r="V977" s="58">
        <v>26.1</v>
      </c>
      <c r="W977" s="58">
        <v>-1.9499999999999993</v>
      </c>
      <c r="X977" s="58">
        <v>-6.9518716577540083</v>
      </c>
      <c r="Y977" s="58">
        <v>96525</v>
      </c>
      <c r="Z977" s="58">
        <v>44550</v>
      </c>
      <c r="AA977" s="58">
        <v>15139.55</v>
      </c>
      <c r="AE977" s="57"/>
    </row>
    <row r="978" spans="1:39" x14ac:dyDescent="0.35">
      <c r="A978" s="56" t="s">
        <v>1043</v>
      </c>
      <c r="B978" s="58">
        <v>16800</v>
      </c>
      <c r="C978" s="58" t="s">
        <v>34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10125</v>
      </c>
      <c r="M978" s="58">
        <v>10125</v>
      </c>
      <c r="N978" s="58">
        <v>15139.55</v>
      </c>
      <c r="O978" s="58">
        <v>16800</v>
      </c>
      <c r="P978" s="58" t="s">
        <v>34</v>
      </c>
      <c r="Q978" s="58">
        <v>11934</v>
      </c>
      <c r="R978" s="58">
        <v>7939</v>
      </c>
      <c r="S978" s="58">
        <v>198.72340425531911</v>
      </c>
      <c r="T978" s="58">
        <v>10323</v>
      </c>
      <c r="U978" s="58">
        <v>29.46</v>
      </c>
      <c r="V978" s="58">
        <v>2.4</v>
      </c>
      <c r="W978" s="58">
        <v>-0.10000000000000007</v>
      </c>
      <c r="X978" s="58">
        <v>-4.0000000000000036</v>
      </c>
      <c r="Y978" s="58">
        <v>302700</v>
      </c>
      <c r="Z978" s="58">
        <v>203025</v>
      </c>
      <c r="AA978" s="58">
        <v>15143.3</v>
      </c>
      <c r="AE978" s="57"/>
    </row>
    <row r="979" spans="1:39" x14ac:dyDescent="0.35">
      <c r="A979" s="56" t="s">
        <v>1044</v>
      </c>
      <c r="B979" s="58">
        <v>17000</v>
      </c>
      <c r="C979" s="58" t="s">
        <v>27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2025</v>
      </c>
      <c r="M979" s="58">
        <v>0</v>
      </c>
      <c r="N979" s="58">
        <v>15139.55</v>
      </c>
      <c r="O979" s="58">
        <v>17000</v>
      </c>
      <c r="P979" s="58" t="s">
        <v>27</v>
      </c>
      <c r="Q979" s="58">
        <v>476</v>
      </c>
      <c r="R979" s="58">
        <v>5</v>
      </c>
      <c r="S979" s="58">
        <v>1.0615711252653928</v>
      </c>
      <c r="T979" s="58">
        <v>23</v>
      </c>
      <c r="U979" s="58">
        <v>15.49</v>
      </c>
      <c r="V979" s="58">
        <v>101.2</v>
      </c>
      <c r="W979" s="58">
        <v>-4.9500000000000028</v>
      </c>
      <c r="X979" s="58">
        <v>-4.663212435233163</v>
      </c>
      <c r="Y979" s="58">
        <v>72375</v>
      </c>
      <c r="Z979" s="58">
        <v>10125</v>
      </c>
      <c r="AA979" s="58">
        <v>15143.3</v>
      </c>
      <c r="AE979" s="57"/>
    </row>
    <row r="980" spans="1:39" x14ac:dyDescent="0.35">
      <c r="A980" s="56" t="s">
        <v>1045</v>
      </c>
      <c r="B980" s="58">
        <v>17000</v>
      </c>
      <c r="C980" s="58" t="s">
        <v>31</v>
      </c>
      <c r="D980" s="58">
        <v>0</v>
      </c>
      <c r="E980" s="58">
        <v>0</v>
      </c>
      <c r="F980" s="58">
        <v>0</v>
      </c>
      <c r="G980" s="58">
        <v>0</v>
      </c>
      <c r="H980" s="58">
        <v>0</v>
      </c>
      <c r="I980" s="58">
        <v>0</v>
      </c>
      <c r="J980" s="58">
        <v>0</v>
      </c>
      <c r="K980" s="58">
        <v>0</v>
      </c>
      <c r="L980" s="58">
        <v>1200</v>
      </c>
      <c r="M980" s="58">
        <v>0</v>
      </c>
      <c r="N980" s="58">
        <v>15139.55</v>
      </c>
      <c r="O980" s="58">
        <v>17000</v>
      </c>
      <c r="P980" s="58" t="s">
        <v>31</v>
      </c>
      <c r="Q980" s="58">
        <v>0</v>
      </c>
      <c r="R980" s="58">
        <v>0</v>
      </c>
      <c r="S980" s="58">
        <v>0</v>
      </c>
      <c r="T980" s="58">
        <v>0</v>
      </c>
      <c r="U980" s="58">
        <v>0</v>
      </c>
      <c r="V980" s="58">
        <v>0</v>
      </c>
      <c r="W980" s="58">
        <v>0</v>
      </c>
      <c r="X980" s="58">
        <v>0</v>
      </c>
      <c r="Y980" s="58">
        <v>0</v>
      </c>
      <c r="Z980" s="58">
        <v>525</v>
      </c>
      <c r="AA980" s="58">
        <v>15143.3</v>
      </c>
      <c r="AE980" s="57"/>
    </row>
    <row r="981" spans="1:39" x14ac:dyDescent="0.35">
      <c r="A981" s="56" t="s">
        <v>1046</v>
      </c>
      <c r="B981" s="58">
        <v>17000</v>
      </c>
      <c r="C981" s="58" t="s">
        <v>29</v>
      </c>
      <c r="D981" s="58">
        <v>22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1950</v>
      </c>
      <c r="M981" s="58">
        <v>225</v>
      </c>
      <c r="N981" s="58">
        <v>15139.55</v>
      </c>
      <c r="O981" s="58">
        <v>17000</v>
      </c>
      <c r="P981" s="58" t="s">
        <v>29</v>
      </c>
      <c r="Q981" s="58">
        <v>2360</v>
      </c>
      <c r="R981" s="58">
        <v>-8</v>
      </c>
      <c r="S981" s="58">
        <v>-0.33783783783783783</v>
      </c>
      <c r="T981" s="58">
        <v>14</v>
      </c>
      <c r="U981" s="58">
        <v>11.85</v>
      </c>
      <c r="V981" s="58">
        <v>418</v>
      </c>
      <c r="W981" s="58">
        <v>8</v>
      </c>
      <c r="X981" s="58">
        <v>1.9512195121951219</v>
      </c>
      <c r="Y981" s="58">
        <v>12300</v>
      </c>
      <c r="Z981" s="58">
        <v>3975</v>
      </c>
      <c r="AA981" s="58">
        <v>15139.55</v>
      </c>
      <c r="AE981" s="57"/>
    </row>
    <row r="982" spans="1:39" x14ac:dyDescent="0.35">
      <c r="A982" s="56" t="s">
        <v>1047</v>
      </c>
      <c r="B982" s="58">
        <v>17500</v>
      </c>
      <c r="C982" s="58" t="s">
        <v>27</v>
      </c>
      <c r="D982" s="58">
        <v>0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2025</v>
      </c>
      <c r="M982" s="58">
        <v>0</v>
      </c>
      <c r="N982" s="58">
        <v>15139.55</v>
      </c>
      <c r="O982" s="58">
        <v>17500</v>
      </c>
      <c r="P982" s="58" t="s">
        <v>27</v>
      </c>
      <c r="Q982" s="58">
        <v>91</v>
      </c>
      <c r="R982" s="58">
        <v>5</v>
      </c>
      <c r="S982" s="58">
        <v>5.8139534883720927</v>
      </c>
      <c r="T982" s="58">
        <v>8</v>
      </c>
      <c r="U982" s="58">
        <v>16.07</v>
      </c>
      <c r="V982" s="58">
        <v>57.95</v>
      </c>
      <c r="W982" s="58">
        <v>-3.0499999999999972</v>
      </c>
      <c r="X982" s="58">
        <v>-4.9999999999999956</v>
      </c>
      <c r="Y982" s="58">
        <v>12750</v>
      </c>
      <c r="Z982" s="58">
        <v>3150</v>
      </c>
      <c r="AA982" s="58">
        <v>15139.55</v>
      </c>
      <c r="AE982" s="57"/>
    </row>
    <row r="983" spans="1:39" x14ac:dyDescent="0.35">
      <c r="A983" s="56" t="s">
        <v>1048</v>
      </c>
      <c r="B983" s="58">
        <v>17500</v>
      </c>
      <c r="C983" s="58" t="s">
        <v>31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1200</v>
      </c>
      <c r="M983" s="58">
        <v>0</v>
      </c>
      <c r="N983" s="58">
        <v>15143.3</v>
      </c>
      <c r="O983" s="58">
        <v>17500</v>
      </c>
      <c r="P983" s="58" t="s">
        <v>31</v>
      </c>
      <c r="Q983" s="58">
        <v>1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0</v>
      </c>
      <c r="Z983" s="58">
        <v>900</v>
      </c>
      <c r="AA983" s="58">
        <v>15139.55</v>
      </c>
      <c r="AE983" s="57"/>
    </row>
    <row r="984" spans="1:39" x14ac:dyDescent="0.35">
      <c r="A984" s="56" t="s">
        <v>1049</v>
      </c>
      <c r="B984" s="58">
        <v>17500</v>
      </c>
      <c r="C984" s="58" t="s">
        <v>29</v>
      </c>
      <c r="D984" s="58">
        <v>1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525</v>
      </c>
      <c r="M984" s="58">
        <v>150</v>
      </c>
      <c r="N984" s="58">
        <v>15139.55</v>
      </c>
      <c r="O984" s="58">
        <v>17500</v>
      </c>
      <c r="P984" s="58" t="s">
        <v>29</v>
      </c>
      <c r="Q984" s="58">
        <v>375</v>
      </c>
      <c r="R984" s="58">
        <v>0</v>
      </c>
      <c r="S984" s="58">
        <v>0</v>
      </c>
      <c r="T984" s="58">
        <v>4</v>
      </c>
      <c r="U984" s="58">
        <v>12.3</v>
      </c>
      <c r="V984" s="58">
        <v>300</v>
      </c>
      <c r="W984" s="58">
        <v>9.6999999999999886</v>
      </c>
      <c r="X984" s="58">
        <v>3.3413709955218698</v>
      </c>
      <c r="Y984" s="58">
        <v>6375</v>
      </c>
      <c r="Z984" s="58">
        <v>7500</v>
      </c>
      <c r="AA984" s="58">
        <v>15143.3</v>
      </c>
      <c r="AE984" s="57"/>
    </row>
    <row r="985" spans="1:39" x14ac:dyDescent="0.35">
      <c r="A985" s="56" t="s">
        <v>1050</v>
      </c>
      <c r="B985" s="58">
        <v>18000</v>
      </c>
      <c r="C985" s="58" t="s">
        <v>27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1800</v>
      </c>
      <c r="M985" s="58">
        <v>0</v>
      </c>
      <c r="N985" s="58">
        <v>15143.3</v>
      </c>
      <c r="O985" s="58">
        <v>18000</v>
      </c>
      <c r="P985" s="58" t="s">
        <v>27</v>
      </c>
      <c r="Q985" s="58">
        <v>55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17775</v>
      </c>
      <c r="Z985" s="58">
        <v>6975</v>
      </c>
      <c r="AA985" s="58">
        <v>15139.55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1051</v>
      </c>
      <c r="B986" s="58">
        <v>18000</v>
      </c>
      <c r="C986" s="58" t="s">
        <v>31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900</v>
      </c>
      <c r="M986" s="58">
        <v>0</v>
      </c>
      <c r="N986" s="58">
        <v>15143.3</v>
      </c>
      <c r="O986" s="58">
        <v>18000</v>
      </c>
      <c r="P986" s="58" t="s">
        <v>31</v>
      </c>
      <c r="Q986" s="58">
        <v>0</v>
      </c>
      <c r="R986" s="58">
        <v>0</v>
      </c>
      <c r="S986" s="58">
        <v>0</v>
      </c>
      <c r="T986" s="58">
        <v>0</v>
      </c>
      <c r="U986" s="58">
        <v>0</v>
      </c>
      <c r="V986" s="58">
        <v>0</v>
      </c>
      <c r="W986" s="58">
        <v>0</v>
      </c>
      <c r="X986" s="58">
        <v>0</v>
      </c>
      <c r="Y986" s="58">
        <v>0</v>
      </c>
      <c r="Z986" s="58">
        <v>825</v>
      </c>
      <c r="AA986" s="58">
        <v>15143.3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1052</v>
      </c>
      <c r="B987" s="58">
        <v>18000</v>
      </c>
      <c r="C987" s="58" t="s">
        <v>29</v>
      </c>
      <c r="D987" s="58">
        <v>0</v>
      </c>
      <c r="E987" s="58">
        <v>0</v>
      </c>
      <c r="F987" s="58">
        <v>0</v>
      </c>
      <c r="G987" s="58">
        <v>1</v>
      </c>
      <c r="H987" s="58">
        <v>28.42</v>
      </c>
      <c r="I987" s="58">
        <v>2450</v>
      </c>
      <c r="J987" s="58">
        <v>-543.34999999999991</v>
      </c>
      <c r="K987" s="58">
        <v>-18.151903385838605</v>
      </c>
      <c r="L987" s="58">
        <v>900</v>
      </c>
      <c r="M987" s="58">
        <v>150</v>
      </c>
      <c r="N987" s="58">
        <v>15143.3</v>
      </c>
      <c r="O987" s="58">
        <v>18000</v>
      </c>
      <c r="P987" s="58" t="s">
        <v>29</v>
      </c>
      <c r="Q987" s="58">
        <v>241</v>
      </c>
      <c r="R987" s="58">
        <v>0</v>
      </c>
      <c r="S987" s="58">
        <v>0</v>
      </c>
      <c r="T987" s="58">
        <v>2</v>
      </c>
      <c r="U987" s="58">
        <v>12.37</v>
      </c>
      <c r="V987" s="58">
        <v>200</v>
      </c>
      <c r="W987" s="58">
        <v>0.34999999999999432</v>
      </c>
      <c r="X987" s="58">
        <v>0.17530678687703197</v>
      </c>
      <c r="Y987" s="58">
        <v>4725</v>
      </c>
      <c r="Z987" s="58">
        <v>6225</v>
      </c>
      <c r="AA987" s="58">
        <v>15143.3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1053</v>
      </c>
      <c r="B988" s="58">
        <v>0</v>
      </c>
      <c r="C988" s="58">
        <v>0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0</v>
      </c>
      <c r="M988" s="58">
        <v>0</v>
      </c>
      <c r="N988" s="58">
        <v>0</v>
      </c>
      <c r="O988" s="58">
        <v>18000</v>
      </c>
      <c r="P988" s="58" t="s">
        <v>30</v>
      </c>
      <c r="Q988" s="58">
        <v>1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750</v>
      </c>
      <c r="AA988" s="58">
        <v>15139.55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1054</v>
      </c>
      <c r="B989" s="58">
        <v>0</v>
      </c>
      <c r="C989" s="58">
        <v>0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0</v>
      </c>
      <c r="M989" s="58">
        <v>0</v>
      </c>
      <c r="N989" s="58">
        <v>0</v>
      </c>
      <c r="O989" s="58">
        <v>18000</v>
      </c>
      <c r="P989" s="58" t="s">
        <v>28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0</v>
      </c>
      <c r="Z989" s="58">
        <v>750</v>
      </c>
      <c r="AA989" s="58">
        <v>15143.3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1055</v>
      </c>
      <c r="B990" s="31"/>
      <c r="C990" s="54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1056</v>
      </c>
      <c r="B991" s="31"/>
      <c r="C991" s="54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1057</v>
      </c>
      <c r="B992" s="31"/>
      <c r="C992" s="54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1058</v>
      </c>
      <c r="B993" s="31"/>
      <c r="C993" s="54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1059</v>
      </c>
      <c r="B994" s="31"/>
      <c r="C994" s="54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1060</v>
      </c>
      <c r="B995" s="31"/>
      <c r="C995" s="54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1061</v>
      </c>
      <c r="B996" s="31"/>
      <c r="C996" s="54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1062</v>
      </c>
      <c r="B997" s="31"/>
      <c r="C997" s="54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1063</v>
      </c>
      <c r="B998" s="31"/>
      <c r="C998" s="54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1064</v>
      </c>
      <c r="B999" s="31"/>
      <c r="C999" s="54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1065</v>
      </c>
      <c r="B1000" s="31"/>
      <c r="C1000" s="54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1066</v>
      </c>
      <c r="B1001" s="31"/>
      <c r="C1001" s="54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1067</v>
      </c>
      <c r="B1002" s="31"/>
      <c r="C1002" s="54"/>
      <c r="D1002" s="31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1068</v>
      </c>
      <c r="B1003" s="31"/>
      <c r="C1003" s="54"/>
      <c r="D1003" s="31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1069</v>
      </c>
      <c r="B1004" s="31"/>
      <c r="C1004" s="54"/>
      <c r="D1004" s="31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1070</v>
      </c>
      <c r="B1005" s="31"/>
      <c r="C1005" s="54"/>
      <c r="D1005" s="31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1071</v>
      </c>
      <c r="B1006" s="31"/>
      <c r="C1006" s="54"/>
      <c r="D1006" s="31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1072</v>
      </c>
      <c r="B1007" s="31"/>
      <c r="C1007" s="54"/>
      <c r="D1007" s="31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1073</v>
      </c>
      <c r="B1008" s="31"/>
      <c r="C1008" s="54"/>
      <c r="D1008" s="31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1074</v>
      </c>
      <c r="B1009" s="31"/>
      <c r="C1009" s="54"/>
      <c r="D1009" s="31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1075</v>
      </c>
      <c r="B1010" s="31"/>
      <c r="C1010" s="54"/>
      <c r="D1010" s="31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1076</v>
      </c>
      <c r="B1011" s="31"/>
      <c r="C1011" s="54"/>
      <c r="D1011" s="31"/>
      <c r="E1011" s="31"/>
      <c r="F1011" s="31"/>
      <c r="G1011" s="31"/>
      <c r="H1011" s="31"/>
      <c r="I1011" s="31"/>
      <c r="J1011" s="31"/>
      <c r="K1011" s="31"/>
      <c r="L1011" s="31"/>
      <c r="M1011" s="31"/>
      <c r="N1011" s="31"/>
      <c r="O1011" s="31"/>
      <c r="P1011" s="3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1077</v>
      </c>
      <c r="B1012" s="31"/>
      <c r="C1012" s="54"/>
      <c r="D1012" s="31"/>
      <c r="E1012" s="31"/>
      <c r="F1012" s="31"/>
      <c r="G1012" s="31"/>
      <c r="H1012" s="31"/>
      <c r="I1012" s="31"/>
      <c r="J1012" s="31"/>
      <c r="K1012" s="31"/>
      <c r="L1012" s="31"/>
      <c r="M1012" s="31"/>
      <c r="N1012" s="31"/>
      <c r="O1012" s="31"/>
      <c r="P1012" s="3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1078</v>
      </c>
      <c r="B1013" s="31"/>
      <c r="C1013" s="54"/>
      <c r="D1013" s="31"/>
      <c r="E1013" s="31"/>
      <c r="F1013" s="31"/>
      <c r="G1013" s="31"/>
      <c r="H1013" s="31"/>
      <c r="I1013" s="31"/>
      <c r="J1013" s="31"/>
      <c r="K1013" s="31"/>
      <c r="L1013" s="31"/>
      <c r="M1013" s="31"/>
      <c r="N1013" s="31"/>
      <c r="O1013" s="31"/>
      <c r="P1013" s="3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1079</v>
      </c>
      <c r="B1014" s="31"/>
      <c r="C1014" s="54"/>
      <c r="D1014" s="31"/>
      <c r="E1014" s="31"/>
      <c r="F1014" s="31"/>
      <c r="G1014" s="31"/>
      <c r="H1014" s="31"/>
      <c r="I1014" s="31"/>
      <c r="J1014" s="31"/>
      <c r="K1014" s="31"/>
      <c r="L1014" s="31"/>
      <c r="M1014" s="31"/>
      <c r="N1014" s="31"/>
      <c r="O1014" s="31"/>
      <c r="P1014" s="3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1080</v>
      </c>
      <c r="B1015" s="31"/>
      <c r="C1015" s="54"/>
      <c r="D1015" s="31"/>
      <c r="E1015" s="31"/>
      <c r="F1015" s="31"/>
      <c r="G1015" s="31"/>
      <c r="H1015" s="31"/>
      <c r="I1015" s="31"/>
      <c r="J1015" s="31"/>
      <c r="K1015" s="31"/>
      <c r="L1015" s="31"/>
      <c r="M1015" s="31"/>
      <c r="N1015" s="31"/>
      <c r="O1015" s="31"/>
      <c r="P1015" s="3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1081</v>
      </c>
      <c r="B1016" s="31"/>
      <c r="C1016" s="54"/>
      <c r="D1016" s="31"/>
      <c r="E1016" s="31"/>
      <c r="F1016" s="31"/>
      <c r="G1016" s="31"/>
      <c r="H1016" s="31"/>
      <c r="I1016" s="31"/>
      <c r="J1016" s="31"/>
      <c r="K1016" s="31"/>
      <c r="L1016" s="31"/>
      <c r="M1016" s="31"/>
      <c r="N1016" s="31"/>
      <c r="O1016" s="31"/>
      <c r="P1016" s="3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1082</v>
      </c>
      <c r="B1017" s="31"/>
      <c r="C1017" s="54"/>
      <c r="D1017" s="31"/>
      <c r="E1017" s="31"/>
      <c r="F1017" s="31"/>
      <c r="G1017" s="31"/>
      <c r="H1017" s="31"/>
      <c r="I1017" s="31"/>
      <c r="J1017" s="31"/>
      <c r="K1017" s="31"/>
      <c r="L1017" s="31"/>
      <c r="M1017" s="31"/>
      <c r="N1017" s="31"/>
      <c r="O1017" s="31"/>
      <c r="P1017" s="3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1083</v>
      </c>
      <c r="B1018" s="31"/>
      <c r="C1018" s="54"/>
      <c r="D1018" s="31"/>
      <c r="E1018" s="31"/>
      <c r="F1018" s="31"/>
      <c r="G1018" s="31"/>
      <c r="H1018" s="31"/>
      <c r="I1018" s="31"/>
      <c r="J1018" s="31"/>
      <c r="K1018" s="31"/>
      <c r="L1018" s="31"/>
      <c r="M1018" s="31"/>
      <c r="N1018" s="31"/>
      <c r="O1018" s="31"/>
      <c r="P1018" s="3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1084</v>
      </c>
      <c r="B1019" s="31"/>
      <c r="C1019" s="54"/>
      <c r="D1019" s="31"/>
      <c r="E1019" s="31"/>
      <c r="F1019" s="31"/>
      <c r="G1019" s="31"/>
      <c r="H1019" s="31"/>
      <c r="I1019" s="31"/>
      <c r="J1019" s="31"/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1085</v>
      </c>
      <c r="B1020" s="31"/>
      <c r="C1020" s="54"/>
      <c r="D1020" s="31"/>
      <c r="E1020" s="31"/>
      <c r="F1020" s="31"/>
      <c r="G1020" s="31"/>
      <c r="H1020" s="31"/>
      <c r="I1020" s="31"/>
      <c r="J1020" s="31"/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1086</v>
      </c>
      <c r="B1021" s="31"/>
      <c r="C1021" s="54"/>
      <c r="D1021" s="31"/>
      <c r="E1021" s="31"/>
      <c r="F1021" s="31"/>
      <c r="G1021" s="31"/>
      <c r="H1021" s="31"/>
      <c r="I1021" s="31"/>
      <c r="J1021" s="31"/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1087</v>
      </c>
      <c r="B1022" s="31"/>
      <c r="C1022" s="54"/>
      <c r="D1022" s="31"/>
      <c r="E1022" s="31"/>
      <c r="F1022" s="31"/>
      <c r="G1022" s="31"/>
      <c r="H1022" s="31"/>
      <c r="I1022" s="31"/>
      <c r="J1022" s="31"/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1088</v>
      </c>
      <c r="B1023" s="31"/>
      <c r="C1023" s="54"/>
      <c r="D1023" s="31"/>
      <c r="E1023" s="31"/>
      <c r="F1023" s="31"/>
      <c r="G1023" s="31"/>
      <c r="H1023" s="31"/>
      <c r="I1023" s="31"/>
      <c r="J1023" s="31"/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1089</v>
      </c>
      <c r="B1024" s="31"/>
      <c r="C1024" s="54"/>
      <c r="D1024" s="31"/>
      <c r="E1024" s="31"/>
      <c r="F1024" s="31"/>
      <c r="G1024" s="31"/>
      <c r="H1024" s="31"/>
      <c r="I1024" s="31"/>
      <c r="J1024" s="31"/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1090</v>
      </c>
      <c r="B1025" s="31"/>
      <c r="C1025" s="54"/>
      <c r="D1025" s="31"/>
      <c r="E1025" s="31"/>
      <c r="F1025" s="31"/>
      <c r="G1025" s="31"/>
      <c r="H1025" s="31"/>
      <c r="I1025" s="31"/>
      <c r="J1025" s="31"/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1091</v>
      </c>
      <c r="B1026" s="31"/>
      <c r="C1026" s="54"/>
      <c r="D1026" s="31"/>
      <c r="E1026" s="31"/>
      <c r="F1026" s="31"/>
      <c r="G1026" s="31"/>
      <c r="H1026" s="31"/>
      <c r="I1026" s="31"/>
      <c r="J1026" s="31"/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1092</v>
      </c>
      <c r="B1027" s="31"/>
      <c r="C1027" s="54"/>
      <c r="D1027" s="31"/>
      <c r="E1027" s="31"/>
      <c r="F1027" s="31"/>
      <c r="G1027" s="31"/>
      <c r="H1027" s="31"/>
      <c r="I1027" s="31"/>
      <c r="J1027" s="31"/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1093</v>
      </c>
      <c r="B1028" s="31"/>
      <c r="C1028" s="54"/>
      <c r="D1028" s="31"/>
      <c r="E1028" s="31"/>
      <c r="F1028" s="31"/>
      <c r="G1028" s="31"/>
      <c r="H1028" s="31"/>
      <c r="I1028" s="31"/>
      <c r="J1028" s="31"/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1094</v>
      </c>
      <c r="B1029" s="31"/>
      <c r="C1029" s="54"/>
      <c r="D1029" s="31"/>
      <c r="E1029" s="31"/>
      <c r="F1029" s="31"/>
      <c r="G1029" s="31"/>
      <c r="H1029" s="31"/>
      <c r="I1029" s="31"/>
      <c r="J1029" s="31"/>
      <c r="K1029" s="31"/>
      <c r="L1029" s="31"/>
      <c r="M1029" s="31"/>
      <c r="N1029" s="31"/>
      <c r="O1029" s="31"/>
      <c r="P1029" s="3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1095</v>
      </c>
      <c r="B1030" s="31"/>
      <c r="C1030" s="54"/>
      <c r="D1030" s="31"/>
      <c r="E1030" s="31"/>
      <c r="F1030" s="31"/>
      <c r="G1030" s="3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1096</v>
      </c>
      <c r="B1031" s="31"/>
      <c r="C1031" s="54"/>
      <c r="D1031" s="31"/>
      <c r="E1031" s="31"/>
      <c r="F1031" s="31"/>
      <c r="G1031" s="31"/>
      <c r="H1031" s="31"/>
      <c r="I1031" s="31"/>
      <c r="J1031" s="31"/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1097</v>
      </c>
      <c r="B1032" s="31"/>
      <c r="C1032" s="54"/>
      <c r="D1032" s="31"/>
      <c r="E1032" s="31"/>
      <c r="F1032" s="31"/>
      <c r="G1032" s="31"/>
      <c r="H1032" s="31"/>
      <c r="I1032" s="31"/>
      <c r="J1032" s="31"/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1098</v>
      </c>
      <c r="B1033" s="31"/>
      <c r="C1033" s="54"/>
      <c r="D1033" s="31"/>
      <c r="E1033" s="31"/>
      <c r="F1033" s="31"/>
      <c r="G1033" s="31"/>
      <c r="H1033" s="31"/>
      <c r="I1033" s="31"/>
      <c r="J1033" s="31"/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1099</v>
      </c>
      <c r="B1034" s="31"/>
      <c r="C1034" s="54"/>
      <c r="D1034" s="31"/>
      <c r="E1034" s="31"/>
      <c r="F1034" s="31"/>
      <c r="G1034" s="31"/>
      <c r="H1034" s="31"/>
      <c r="I1034" s="31"/>
      <c r="J1034" s="31"/>
      <c r="K1034" s="31"/>
      <c r="L1034" s="31"/>
      <c r="M1034" s="31"/>
      <c r="N1034" s="31"/>
      <c r="O1034" s="31"/>
      <c r="P1034" s="3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1100</v>
      </c>
      <c r="B1035" s="31"/>
      <c r="C1035" s="54"/>
      <c r="D1035" s="31"/>
      <c r="E1035" s="31"/>
      <c r="F1035" s="31"/>
      <c r="G1035" s="31"/>
      <c r="H1035" s="31"/>
      <c r="I1035" s="31"/>
      <c r="J1035" s="31"/>
      <c r="K1035" s="31"/>
      <c r="L1035" s="31"/>
      <c r="M1035" s="31"/>
      <c r="N1035" s="31"/>
      <c r="O1035" s="31"/>
      <c r="P1035" s="3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1101</v>
      </c>
      <c r="B1036" s="31"/>
      <c r="C1036" s="54"/>
      <c r="D1036" s="31"/>
      <c r="E1036" s="31"/>
      <c r="F1036" s="31"/>
      <c r="G1036" s="31"/>
      <c r="H1036" s="31"/>
      <c r="I1036" s="31"/>
      <c r="J1036" s="31"/>
      <c r="K1036" s="31"/>
      <c r="L1036" s="31"/>
      <c r="M1036" s="31"/>
      <c r="N1036" s="31"/>
      <c r="O1036" s="31"/>
      <c r="P1036" s="3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1102</v>
      </c>
      <c r="B1037" s="31"/>
      <c r="C1037" s="54"/>
      <c r="D1037" s="31"/>
      <c r="E1037" s="31"/>
      <c r="F1037" s="31"/>
      <c r="G1037" s="31"/>
      <c r="H1037" s="31"/>
      <c r="I1037" s="31"/>
      <c r="J1037" s="31"/>
      <c r="K1037" s="31"/>
      <c r="L1037" s="31"/>
      <c r="M1037" s="31"/>
      <c r="N1037" s="31"/>
      <c r="O1037" s="31"/>
      <c r="P1037" s="3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1103</v>
      </c>
      <c r="B1038" s="31"/>
      <c r="C1038" s="54"/>
      <c r="D1038" s="31"/>
      <c r="E1038" s="31"/>
      <c r="F1038" s="31"/>
      <c r="G1038" s="31"/>
      <c r="H1038" s="31"/>
      <c r="I1038" s="31"/>
      <c r="J1038" s="31"/>
      <c r="K1038" s="31"/>
      <c r="L1038" s="31"/>
      <c r="M1038" s="31"/>
      <c r="N1038" s="31"/>
      <c r="O1038" s="31"/>
      <c r="P1038" s="3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1104</v>
      </c>
      <c r="B1039" s="31"/>
      <c r="C1039" s="54"/>
      <c r="D1039" s="31"/>
      <c r="E1039" s="31"/>
      <c r="F1039" s="31"/>
      <c r="G1039" s="31"/>
      <c r="H1039" s="31"/>
      <c r="I1039" s="31"/>
      <c r="J1039" s="31"/>
      <c r="K1039" s="31"/>
      <c r="L1039" s="31"/>
      <c r="M1039" s="31"/>
      <c r="N1039" s="31"/>
      <c r="O1039" s="31"/>
      <c r="P1039" s="3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1105</v>
      </c>
      <c r="B1040" s="31"/>
      <c r="C1040" s="54"/>
      <c r="D1040" s="31"/>
      <c r="E1040" s="31"/>
      <c r="F1040" s="31"/>
      <c r="G1040" s="31"/>
      <c r="H1040" s="31"/>
      <c r="I1040" s="31"/>
      <c r="J1040" s="31"/>
      <c r="K1040" s="31"/>
      <c r="L1040" s="31"/>
      <c r="M1040" s="31"/>
      <c r="N1040" s="31"/>
      <c r="O1040" s="31"/>
      <c r="P1040" s="3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1106</v>
      </c>
      <c r="B1041" s="31"/>
      <c r="C1041" s="54"/>
      <c r="D1041" s="31"/>
      <c r="E1041" s="31"/>
      <c r="F1041" s="31"/>
      <c r="G1041" s="31"/>
      <c r="H1041" s="31"/>
      <c r="I1041" s="31"/>
      <c r="J1041" s="31"/>
      <c r="K1041" s="31"/>
      <c r="L1041" s="31"/>
      <c r="M1041" s="31"/>
      <c r="N1041" s="31"/>
      <c r="O1041" s="31"/>
      <c r="P1041" s="3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1107</v>
      </c>
      <c r="B1042" s="31"/>
      <c r="C1042" s="54"/>
      <c r="D1042" s="31"/>
      <c r="E1042" s="31"/>
      <c r="F1042" s="31"/>
      <c r="G1042" s="31"/>
      <c r="H1042" s="31"/>
      <c r="I1042" s="31"/>
      <c r="J1042" s="31"/>
      <c r="K1042" s="31"/>
      <c r="L1042" s="31"/>
      <c r="M1042" s="31"/>
      <c r="N1042" s="31"/>
      <c r="O1042" s="31"/>
      <c r="P1042" s="3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1108</v>
      </c>
      <c r="B1043" s="31"/>
      <c r="C1043" s="54"/>
      <c r="D1043" s="31"/>
      <c r="E1043" s="31"/>
      <c r="F1043" s="31"/>
      <c r="G1043" s="31"/>
      <c r="H1043" s="31"/>
      <c r="I1043" s="31"/>
      <c r="J1043" s="31"/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1109</v>
      </c>
      <c r="B1044" s="31"/>
      <c r="C1044" s="54"/>
      <c r="D1044" s="31"/>
      <c r="E1044" s="31"/>
      <c r="F1044" s="31"/>
      <c r="G1044" s="31"/>
      <c r="H1044" s="31"/>
      <c r="I1044" s="31"/>
      <c r="J1044" s="31"/>
      <c r="K1044" s="31"/>
      <c r="L1044" s="31"/>
      <c r="M1044" s="31"/>
      <c r="N1044" s="31"/>
      <c r="O1044" s="31"/>
      <c r="P1044" s="3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1110</v>
      </c>
      <c r="B1045" s="31"/>
      <c r="C1045" s="54"/>
      <c r="D1045" s="31"/>
      <c r="E1045" s="31"/>
      <c r="F1045" s="31"/>
      <c r="G1045" s="31"/>
      <c r="H1045" s="31"/>
      <c r="I1045" s="31"/>
      <c r="J1045" s="31"/>
      <c r="K1045" s="31"/>
      <c r="L1045" s="31"/>
      <c r="M1045" s="31"/>
      <c r="N1045" s="31"/>
      <c r="O1045" s="31"/>
      <c r="P1045" s="3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1111</v>
      </c>
      <c r="B1046" s="31"/>
      <c r="C1046" s="54"/>
      <c r="D1046" s="31"/>
      <c r="E1046" s="31"/>
      <c r="F1046" s="31"/>
      <c r="G1046" s="31"/>
      <c r="H1046" s="31"/>
      <c r="I1046" s="31"/>
      <c r="J1046" s="31"/>
      <c r="K1046" s="31"/>
      <c r="L1046" s="31"/>
      <c r="M1046" s="31"/>
      <c r="N1046" s="31"/>
      <c r="O1046" s="31"/>
      <c r="P1046" s="3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1112</v>
      </c>
      <c r="B1047" s="31"/>
      <c r="C1047" s="54"/>
      <c r="D1047" s="31"/>
      <c r="E1047" s="31"/>
      <c r="F1047" s="31"/>
      <c r="G1047" s="31"/>
      <c r="H1047" s="31"/>
      <c r="I1047" s="31"/>
      <c r="J1047" s="31"/>
      <c r="K1047" s="31"/>
      <c r="L1047" s="31"/>
      <c r="M1047" s="31"/>
      <c r="N1047" s="31"/>
      <c r="O1047" s="31"/>
      <c r="P1047" s="3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1113</v>
      </c>
      <c r="B1048" s="31"/>
      <c r="C1048" s="54"/>
      <c r="D1048" s="31"/>
      <c r="E1048" s="31"/>
      <c r="F1048" s="31"/>
      <c r="G1048" s="31"/>
      <c r="H1048" s="31"/>
      <c r="I1048" s="31"/>
      <c r="J1048" s="31"/>
      <c r="K1048" s="31"/>
      <c r="L1048" s="31"/>
      <c r="M1048" s="31"/>
      <c r="N1048" s="31"/>
      <c r="O1048" s="31"/>
      <c r="P1048" s="3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1114</v>
      </c>
      <c r="B1049" s="31"/>
      <c r="C1049" s="54"/>
      <c r="D1049" s="31"/>
      <c r="E1049" s="31"/>
      <c r="F1049" s="31"/>
      <c r="G1049" s="31"/>
      <c r="H1049" s="31"/>
      <c r="I1049" s="31"/>
      <c r="J1049" s="31"/>
      <c r="K1049" s="31"/>
      <c r="L1049" s="31"/>
      <c r="M1049" s="31"/>
      <c r="N1049" s="31"/>
      <c r="O1049" s="31"/>
      <c r="P1049" s="3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1115</v>
      </c>
      <c r="B1050" s="31"/>
      <c r="C1050" s="54"/>
      <c r="D1050" s="31"/>
      <c r="E1050" s="31"/>
      <c r="F1050" s="31"/>
      <c r="G1050" s="31"/>
      <c r="H1050" s="31"/>
      <c r="I1050" s="31"/>
      <c r="J1050" s="31"/>
      <c r="K1050" s="31"/>
      <c r="L1050" s="31"/>
      <c r="M1050" s="31"/>
      <c r="N1050" s="31"/>
      <c r="O1050" s="31"/>
      <c r="P1050" s="3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1116</v>
      </c>
      <c r="B1051" s="31"/>
      <c r="C1051" s="54"/>
      <c r="D1051" s="31"/>
      <c r="E1051" s="31"/>
      <c r="F1051" s="31"/>
      <c r="G1051" s="31"/>
      <c r="H1051" s="31"/>
      <c r="I1051" s="31"/>
      <c r="J1051" s="31"/>
      <c r="K1051" s="31"/>
      <c r="L1051" s="31"/>
      <c r="M1051" s="31"/>
      <c r="N1051" s="31"/>
      <c r="O1051" s="31"/>
      <c r="P1051" s="3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1117</v>
      </c>
      <c r="B1052" s="31"/>
      <c r="C1052" s="54"/>
      <c r="D1052" s="31"/>
      <c r="E1052" s="31"/>
      <c r="F1052" s="31"/>
      <c r="G1052" s="31"/>
      <c r="H1052" s="31"/>
      <c r="I1052" s="31"/>
      <c r="J1052" s="31"/>
      <c r="K1052" s="31"/>
      <c r="L1052" s="31"/>
      <c r="M1052" s="31"/>
      <c r="N1052" s="31"/>
      <c r="O1052" s="31"/>
      <c r="P1052" s="3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1118</v>
      </c>
      <c r="B1053" s="31"/>
      <c r="C1053" s="54"/>
      <c r="D1053" s="31"/>
      <c r="E1053" s="31"/>
      <c r="F1053" s="31"/>
      <c r="G1053" s="31"/>
      <c r="H1053" s="31"/>
      <c r="I1053" s="31"/>
      <c r="J1053" s="31"/>
      <c r="K1053" s="31"/>
      <c r="L1053" s="31"/>
      <c r="M1053" s="31"/>
      <c r="N1053" s="31"/>
      <c r="O1053" s="31"/>
      <c r="P1053" s="3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1119</v>
      </c>
      <c r="B1054" s="31"/>
      <c r="C1054" s="54"/>
      <c r="D1054" s="31"/>
      <c r="E1054" s="31"/>
      <c r="F1054" s="31"/>
      <c r="G1054" s="31"/>
      <c r="H1054" s="31"/>
      <c r="I1054" s="31"/>
      <c r="J1054" s="31"/>
      <c r="K1054" s="31"/>
      <c r="L1054" s="31"/>
      <c r="M1054" s="31"/>
      <c r="N1054" s="31"/>
      <c r="O1054" s="31"/>
      <c r="P1054" s="3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1120</v>
      </c>
      <c r="B1055" s="31"/>
      <c r="C1055" s="54"/>
      <c r="D1055" s="31"/>
      <c r="E1055" s="31"/>
      <c r="F1055" s="31"/>
      <c r="G1055" s="31"/>
      <c r="H1055" s="31"/>
      <c r="I1055" s="31"/>
      <c r="J1055" s="31"/>
      <c r="K1055" s="31"/>
      <c r="L1055" s="31"/>
      <c r="M1055" s="31"/>
      <c r="N1055" s="31"/>
      <c r="O1055" s="31"/>
      <c r="P1055" s="3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1121</v>
      </c>
      <c r="B1056" s="31"/>
      <c r="C1056" s="54"/>
      <c r="D1056" s="31"/>
      <c r="E1056" s="31"/>
      <c r="F1056" s="31"/>
      <c r="G1056" s="31"/>
      <c r="H1056" s="31"/>
      <c r="I1056" s="31"/>
      <c r="J1056" s="31"/>
      <c r="K1056" s="31"/>
      <c r="L1056" s="31"/>
      <c r="M1056" s="31"/>
      <c r="N1056" s="31"/>
      <c r="O1056" s="31"/>
      <c r="P1056" s="3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1122</v>
      </c>
      <c r="B1057" s="31"/>
      <c r="C1057" s="54"/>
      <c r="D1057" s="31"/>
      <c r="E1057" s="31"/>
      <c r="F1057" s="31"/>
      <c r="G1057" s="31"/>
      <c r="H1057" s="31"/>
      <c r="I1057" s="31"/>
      <c r="J1057" s="31"/>
      <c r="K1057" s="31"/>
      <c r="L1057" s="31"/>
      <c r="M1057" s="31"/>
      <c r="N1057" s="31"/>
      <c r="O1057" s="31"/>
      <c r="P1057" s="3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1123</v>
      </c>
      <c r="B1058" s="31"/>
      <c r="C1058" s="54"/>
      <c r="D1058" s="31"/>
      <c r="E1058" s="31"/>
      <c r="F1058" s="31"/>
      <c r="G1058" s="31"/>
      <c r="H1058" s="31"/>
      <c r="I1058" s="31"/>
      <c r="J1058" s="31"/>
      <c r="K1058" s="31"/>
      <c r="L1058" s="31"/>
      <c r="M1058" s="31"/>
      <c r="N1058" s="31"/>
      <c r="O1058" s="31"/>
      <c r="P1058" s="3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1124</v>
      </c>
      <c r="B1059" s="31"/>
      <c r="C1059" s="54"/>
      <c r="D1059" s="31"/>
      <c r="E1059" s="31"/>
      <c r="F1059" s="31"/>
      <c r="G1059" s="31"/>
      <c r="H1059" s="31"/>
      <c r="I1059" s="31"/>
      <c r="J1059" s="31"/>
      <c r="K1059" s="31"/>
      <c r="L1059" s="31"/>
      <c r="M1059" s="31"/>
      <c r="N1059" s="31"/>
      <c r="O1059" s="31"/>
      <c r="P1059" s="3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1125</v>
      </c>
      <c r="B1060" s="31"/>
      <c r="C1060" s="54"/>
      <c r="D1060" s="31"/>
      <c r="E1060" s="31"/>
      <c r="F1060" s="31"/>
      <c r="G1060" s="31"/>
      <c r="H1060" s="31"/>
      <c r="I1060" s="31"/>
      <c r="J1060" s="31"/>
      <c r="K1060" s="31"/>
      <c r="L1060" s="31"/>
      <c r="M1060" s="31"/>
      <c r="N1060" s="31"/>
      <c r="O1060" s="31"/>
      <c r="P1060" s="3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1126</v>
      </c>
      <c r="B1061" s="31"/>
      <c r="C1061" s="54"/>
      <c r="D1061" s="31"/>
      <c r="E1061" s="31"/>
      <c r="F1061" s="31"/>
      <c r="G1061" s="31"/>
      <c r="H1061" s="31"/>
      <c r="I1061" s="31"/>
      <c r="J1061" s="31"/>
      <c r="K1061" s="31"/>
      <c r="L1061" s="31"/>
      <c r="M1061" s="31"/>
      <c r="N1061" s="31"/>
      <c r="O1061" s="31"/>
      <c r="P1061" s="3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1127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1128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1129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1130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1131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1132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1133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1134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1135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1136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1137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1138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1139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1140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1141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1142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1143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1144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1145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1146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1147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1148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1149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1150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1151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1152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1153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1154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1155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1156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1157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1158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1159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1160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1161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1162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1163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1164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1165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1166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1167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1168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1169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1170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1171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1172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1173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1174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1175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1176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1177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1178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1179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1180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1181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1182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1183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1184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1185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1186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1187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1188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1189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1190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1191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1192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1193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1194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1195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1196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1197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1198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1199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1200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1201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1202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1203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1204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1205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1206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1207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1208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1209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1210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1211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1212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1213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1214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1215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1216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1217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1218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1219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1220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1221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1222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1223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1224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1225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1226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1227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1228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1229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1230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1231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1232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1233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1234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1235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1236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1237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1238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1239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1240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1241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1242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1243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1244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1245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1246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1247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1248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1249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1250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1251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1252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1253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1254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1255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1256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1257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1258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1259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1260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1261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1262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1263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1264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1265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1266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1267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1268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1269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1270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1271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1272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1273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1274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1275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1276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1277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1278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1279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1280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1281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1282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1283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1284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1285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1286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1287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1288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1289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1290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1291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1292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1293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1294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1295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1296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1297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1298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1299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1300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1301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1302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1303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1304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1305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1306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1307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1308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1309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1310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1311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1312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1313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1314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1315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1316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1317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1318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1319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1320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1321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1322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1323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1324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1325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1326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1327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1328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1329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1330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1331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1332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1333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1334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1335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1336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1337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1338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1339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1340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1341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1342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1343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1344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1345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1346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1347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1348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1349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1350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1351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1352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1353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1354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1355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1356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1357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1358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1359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1360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1361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1362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1363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1364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1365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1366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1367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1368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1369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1370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1371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1372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1373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1374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1375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1376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1377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1378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1379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1380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1381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1382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1383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1384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1385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1386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1387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1388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1389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1390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1391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1392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1393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1394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1395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1396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1397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1398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1399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1400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1401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1402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1403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1404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1405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1406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1407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1408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1409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1410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1411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1412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1413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1414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1415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1416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1417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1418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1419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1420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1421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1422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1423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1424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1425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1426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1427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1428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1429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1430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1431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1432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1433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1434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1435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1436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1437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1438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1439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1440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1441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1442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1443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1444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1445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1446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1447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1448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1449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1450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1451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1452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1453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1454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1455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1456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1457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1458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1459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1460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1461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1462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1463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1464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1465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1466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1467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1468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1469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1470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1471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1472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1473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1474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1475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1476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1477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1478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1479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1480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1481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1482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1483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1484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1485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1486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1487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1488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1489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1490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1491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1492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1493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1494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1495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1496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1497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1498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1499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1500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1501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1502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1503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1504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1505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1506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1507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1508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1509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1510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1511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1512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1513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1514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1515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1516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1517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1518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1519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1520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1521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1522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1523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1524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1525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1526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1527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1528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1529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1530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1531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1532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1533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1534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1535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1536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1537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1538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1539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1540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1541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1542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1543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1544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1545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1546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1547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1548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1549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1550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1551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1552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1553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1554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1555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1556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1557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1558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1559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1560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1561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1562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1563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1564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1565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1566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1567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1568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1569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1570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1571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1572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1573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1574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1575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1576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1577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1578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1579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1580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1581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1582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1583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1584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1585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1586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1587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1588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1589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1590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1591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1592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1593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1594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1595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1596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1597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1598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1599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1600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1601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1602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1603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1604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1605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1606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1607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1608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1609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1610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1611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1612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1613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1614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1615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1616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1617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1618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1619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1620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1621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1622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1623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1624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1625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1626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1627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1628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1629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1630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1631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1632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1633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1634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1635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1636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1637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1638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1639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1640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1641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1642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1643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1644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1645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1646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1647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1648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1649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1650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1651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1652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1653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1654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1655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1656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1657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1658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1659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1660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1661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1662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1663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1664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1665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1666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1667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1668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1669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1670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1671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1672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1673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1674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1675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1676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1677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1678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1679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1680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1681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1682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1683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1684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1685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1686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1687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1688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1689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1690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1691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1692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1693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1694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1695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1696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1697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1698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1699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1700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1701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1702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1703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1704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1705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1706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1707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1708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1709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1710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1711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1712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1713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1714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1715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1716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1717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1718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1719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1720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1721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1722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1723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1724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1725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1726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1727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1728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1729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1730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1731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1732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1733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1734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1735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1736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1737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1738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1739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1740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1741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1742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1743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1744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1745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1746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1747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1748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1749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1750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1751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1752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1753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1754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1755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1756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1757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1758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1759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1760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1761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1762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1763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1764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1765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1766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1767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1768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1769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1770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1771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1772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1773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1774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1775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1776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1777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1778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1779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1780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1781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1782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1783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1784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1785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1786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1787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1788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1789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1790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1791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1792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1793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1794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1795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1796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1797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1798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1799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1800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1801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1802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1803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1804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1805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1806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1807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1808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1809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1810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1811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1812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1813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1814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1815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1816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1817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1818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1819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1820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1821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1822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1823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1824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1825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1826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1827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1828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1829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1830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1831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1832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1833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1834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1835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1836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1837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1838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1839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1840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1841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1842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1843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1844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1845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1846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1847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1848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1849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1850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1851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1852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1853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1854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1855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1856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1857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1858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1859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1860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1861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1862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1863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1864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1865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1866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1867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1868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1869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1870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1871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1872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1873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1874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1875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1876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1877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1878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1879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1880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1881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1882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1883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1884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1885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1886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1887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1888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1889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1890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1891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1892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1893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1894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1895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1896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1897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1898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1899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1900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1901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1902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1903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1904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1905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1906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1907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1908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1909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1910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1911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1912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1913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1914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1915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1916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1917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1918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1919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1920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1921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1922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1923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1924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1925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1926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1927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1928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1929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1930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1931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1932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1933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1934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1935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1936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1937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1938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1939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1940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1941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1942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1943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1944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1945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1946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1947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1948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1949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1950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1951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1952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1953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1954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1955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1956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1957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1958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1959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1960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1961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1962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1963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1964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1965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1966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1967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1968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1969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1970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1971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1972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1973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1974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1975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1976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1977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1978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1979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1980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1981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1982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1983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1984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1985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1986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1987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1988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1989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1990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1991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1992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1993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1994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1995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1996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1997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1998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1999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2000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2001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2002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2003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2004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2005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2006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2007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2008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2009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2010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2011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2012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2013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2014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2015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2016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2017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2018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2019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2020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2021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2022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2023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2024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2025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2026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2027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2028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2029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2030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2031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2032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2033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2034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2035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2036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2037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2038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2039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2040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2041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2042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2043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2044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2045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2046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2047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2048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2049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2050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2051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2052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2053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2054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2055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2056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2057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2058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2059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2060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2061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2062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2063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2064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2065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31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31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31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31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31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31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31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31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31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31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31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31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31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31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31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31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31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31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31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31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31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31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31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31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31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31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31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31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/>
    <row r="2049" hidden="1" x14ac:dyDescent="0.35"/>
    <row r="2050" hidden="1" x14ac:dyDescent="0.35"/>
    <row r="2051" hidden="1" x14ac:dyDescent="0.35"/>
    <row r="2052" hidden="1" x14ac:dyDescent="0.35"/>
    <row r="2053" hidden="1" x14ac:dyDescent="0.35"/>
    <row r="2054" hidden="1" x14ac:dyDescent="0.35"/>
    <row r="2055" hidden="1" x14ac:dyDescent="0.35"/>
    <row r="2056" hidden="1" x14ac:dyDescent="0.35"/>
    <row r="2057" hidden="1" x14ac:dyDescent="0.35"/>
    <row r="2058" hidden="1" x14ac:dyDescent="0.35"/>
    <row r="2059" hidden="1" x14ac:dyDescent="0.35"/>
    <row r="2060" hidden="1" x14ac:dyDescent="0.35"/>
    <row r="2061" hidden="1" x14ac:dyDescent="0.35"/>
    <row r="2062" hidden="1" x14ac:dyDescent="0.35"/>
    <row r="2063" hidden="1" x14ac:dyDescent="0.35"/>
    <row r="2064" hidden="1" x14ac:dyDescent="0.35"/>
    <row r="2065" hidden="1" x14ac:dyDescent="0.35"/>
    <row r="2066" hidden="1" x14ac:dyDescent="0.35"/>
    <row r="2067" hidden="1" x14ac:dyDescent="0.35"/>
    <row r="2068" hidden="1" x14ac:dyDescent="0.35"/>
    <row r="2069" hidden="1" x14ac:dyDescent="0.35"/>
    <row r="2070" hidden="1" x14ac:dyDescent="0.35"/>
    <row r="2071" hidden="1" x14ac:dyDescent="0.35"/>
    <row r="2072" hidden="1" x14ac:dyDescent="0.35"/>
    <row r="2073" hidden="1" x14ac:dyDescent="0.35"/>
    <row r="2074" hidden="1" x14ac:dyDescent="0.35"/>
    <row r="2075" hidden="1" x14ac:dyDescent="0.35"/>
    <row r="2076" hidden="1" x14ac:dyDescent="0.35"/>
    <row r="2077" hidden="1" x14ac:dyDescent="0.35"/>
    <row r="2078" hidden="1" x14ac:dyDescent="0.35"/>
    <row r="2079" hidden="1" x14ac:dyDescent="0.35"/>
    <row r="2080" hidden="1" x14ac:dyDescent="0.35"/>
  </sheetData>
  <sheetProtection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B8399A-C211-4C3B-B3D2-6D6BCF6A6E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OptionDiner</cp:lastModifiedBy>
  <dcterms:created xsi:type="dcterms:W3CDTF">2021-01-16T05:04:31Z</dcterms:created>
  <dcterms:modified xsi:type="dcterms:W3CDTF">2021-03-10T08:57:05Z</dcterms:modified>
</cp:coreProperties>
</file>