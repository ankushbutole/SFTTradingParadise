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<sst xmlns="http://schemas.openxmlformats.org/spreadsheetml/2006/main" count="3949" uniqueCount="2077">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</sst>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Calculation!PE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Calculation!CEPEDifference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21672096"/>
        <c:axId val="-821678624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Calculation!NiftyPrice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21681888"/>
        <c:axId val="-821685152"/>
      </c:lineChart>
      <c:catAx>
        <c:axId val="-821672096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78624"/>
        <c:crosses val="autoZero"/>
        <c:auto val="1"/>
        <c:lblAlgn val="ctr"/>
        <c:lblOffset val="100"/>
        <c:noMultiLvlLbl val="0"/>
      </c:catAx>
      <c:valAx>
        <c:axId val="-8216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72096"/>
        <c:crosses val="autoZero"/>
        <c:crossBetween val="between"/>
        <c:dispUnits>
          <c:builtInUnit val="thousands"/>
        </c:dispUnits>
      </c:valAx>
      <c:valAx>
        <c:axId val="-8216851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81888"/>
        <c:crosses val="max"/>
        <c:crossBetween val="between"/>
      </c:valAx>
      <c:catAx>
        <c:axId val="-821681888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82168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702</c:v>
                </c:pt>
                <c:pt idx="1">
                  <c:v>248</c:v>
                </c:pt>
                <c:pt idx="2">
                  <c:v>1267</c:v>
                </c:pt>
                <c:pt idx="3">
                  <c:v>6</c:v>
                </c:pt>
                <c:pt idx="4">
                  <c:v>638</c:v>
                </c:pt>
                <c:pt idx="5">
                  <c:v>92</c:v>
                </c:pt>
                <c:pt idx="6">
                  <c:v>299</c:v>
                </c:pt>
                <c:pt idx="7">
                  <c:v>-24</c:v>
                </c:pt>
                <c:pt idx="8">
                  <c:v>90</c:v>
                </c:pt>
                <c:pt idx="9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47</c:v>
                </c:pt>
                <c:pt idx="1">
                  <c:v>0</c:v>
                </c:pt>
                <c:pt idx="2">
                  <c:v>-299</c:v>
                </c:pt>
                <c:pt idx="3">
                  <c:v>-4</c:v>
                </c:pt>
                <c:pt idx="4">
                  <c:v>449</c:v>
                </c:pt>
                <c:pt idx="5">
                  <c:v>-102</c:v>
                </c:pt>
                <c:pt idx="6">
                  <c:v>401</c:v>
                </c:pt>
                <c:pt idx="7">
                  <c:v>-21</c:v>
                </c:pt>
                <c:pt idx="8">
                  <c:v>297</c:v>
                </c:pt>
                <c:pt idx="9">
                  <c:v>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821673728"/>
        <c:axId val="-821686240"/>
      </c:barChart>
      <c:catAx>
        <c:axId val="-82167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86240"/>
        <c:crosses val="autoZero"/>
        <c:auto val="1"/>
        <c:lblAlgn val="ctr"/>
        <c:lblOffset val="100"/>
        <c:tickMarkSkip val="1"/>
        <c:noMultiLvlLbl val="0"/>
      </c:catAx>
      <c:valAx>
        <c:axId val="-8216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7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8872</c:v>
                </c:pt>
                <c:pt idx="1">
                  <c:v>748</c:v>
                </c:pt>
                <c:pt idx="2">
                  <c:v>20346</c:v>
                </c:pt>
                <c:pt idx="3">
                  <c:v>314</c:v>
                </c:pt>
                <c:pt idx="4">
                  <c:v>5830</c:v>
                </c:pt>
                <c:pt idx="5">
                  <c:v>521</c:v>
                </c:pt>
                <c:pt idx="6">
                  <c:v>5035</c:v>
                </c:pt>
                <c:pt idx="7">
                  <c:v>189</c:v>
                </c:pt>
                <c:pt idx="8">
                  <c:v>1230</c:v>
                </c:pt>
                <c:pt idx="9">
                  <c:v>103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5624</c:v>
                </c:pt>
                <c:pt idx="1">
                  <c:v>275</c:v>
                </c:pt>
                <c:pt idx="2">
                  <c:v>16085</c:v>
                </c:pt>
                <c:pt idx="3">
                  <c:v>302</c:v>
                </c:pt>
                <c:pt idx="4">
                  <c:v>8375</c:v>
                </c:pt>
                <c:pt idx="5">
                  <c:v>986</c:v>
                </c:pt>
                <c:pt idx="6">
                  <c:v>14355</c:v>
                </c:pt>
                <c:pt idx="7">
                  <c:v>809</c:v>
                </c:pt>
                <c:pt idx="8">
                  <c:v>9553</c:v>
                </c:pt>
                <c:pt idx="9">
                  <c:v>508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821684608"/>
        <c:axId val="-821671552"/>
      </c:barChart>
      <c:catAx>
        <c:axId val="-8216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71552"/>
        <c:crosses val="autoZero"/>
        <c:auto val="1"/>
        <c:lblAlgn val="ctr"/>
        <c:lblOffset val="100"/>
        <c:noMultiLvlLbl val="0"/>
      </c:catAx>
      <c:valAx>
        <c:axId val="-82167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13150</c:v>
                </c:pt>
                <c:pt idx="2">
                  <c:v>251500</c:v>
                </c:pt>
                <c:pt idx="3">
                  <c:v>503550</c:v>
                </c:pt>
                <c:pt idx="4">
                  <c:v>1035150</c:v>
                </c:pt>
                <c:pt idx="5">
                  <c:v>1589250</c:v>
                </c:pt>
                <c:pt idx="6">
                  <c:v>2520350</c:v>
                </c:pt>
                <c:pt idx="7">
                  <c:v>3465750</c:v>
                </c:pt>
                <c:pt idx="8">
                  <c:v>4692350</c:v>
                </c:pt>
                <c:pt idx="9">
                  <c:v>5932700</c:v>
                </c:pt>
                <c:pt idx="10">
                  <c:v>7977300</c:v>
                </c:pt>
                <c:pt idx="11">
                  <c:v>10037000</c:v>
                </c:pt>
                <c:pt idx="12">
                  <c:v>12515450</c:v>
                </c:pt>
                <c:pt idx="13">
                  <c:v>15043200</c:v>
                </c:pt>
                <c:pt idx="14">
                  <c:v>18288700</c:v>
                </c:pt>
                <c:pt idx="15">
                  <c:v>21574650</c:v>
                </c:pt>
                <c:pt idx="16">
                  <c:v>25338250</c:v>
                </c:pt>
                <c:pt idx="17">
                  <c:v>29127250</c:v>
                </c:pt>
                <c:pt idx="18">
                  <c:v>33294500</c:v>
                </c:pt>
                <c:pt idx="19">
                  <c:v>37486550</c:v>
                </c:pt>
                <c:pt idx="20">
                  <c:v>42938000</c:v>
                </c:pt>
                <c:pt idx="21">
                  <c:v>48424050</c:v>
                </c:pt>
                <c:pt idx="22">
                  <c:v>54252700</c:v>
                </c:pt>
                <c:pt idx="23">
                  <c:v>60095900</c:v>
                </c:pt>
                <c:pt idx="24">
                  <c:v>66266400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31299300</c:v>
                </c:pt>
                <c:pt idx="1">
                  <c:v>27216500</c:v>
                </c:pt>
                <c:pt idx="2">
                  <c:v>23617000</c:v>
                </c:pt>
                <c:pt idx="3">
                  <c:v>20038250</c:v>
                </c:pt>
                <c:pt idx="4">
                  <c:v>16893100</c:v>
                </c:pt>
                <c:pt idx="5">
                  <c:v>13787550</c:v>
                </c:pt>
                <c:pt idx="6">
                  <c:v>11315100</c:v>
                </c:pt>
                <c:pt idx="7">
                  <c:v>8872900</c:v>
                </c:pt>
                <c:pt idx="8">
                  <c:v>6874300</c:v>
                </c:pt>
                <c:pt idx="9">
                  <c:v>4913100</c:v>
                </c:pt>
                <c:pt idx="10">
                  <c:v>3969200</c:v>
                </c:pt>
                <c:pt idx="11">
                  <c:v>3041000</c:v>
                </c:pt>
                <c:pt idx="12">
                  <c:v>2404300</c:v>
                </c:pt>
                <c:pt idx="13">
                  <c:v>1793650</c:v>
                </c:pt>
                <c:pt idx="14">
                  <c:v>1434750</c:v>
                </c:pt>
                <c:pt idx="15">
                  <c:v>1085300</c:v>
                </c:pt>
                <c:pt idx="16">
                  <c:v>797350</c:v>
                </c:pt>
                <c:pt idx="17">
                  <c:v>514550</c:v>
                </c:pt>
                <c:pt idx="18">
                  <c:v>278850</c:v>
                </c:pt>
                <c:pt idx="19">
                  <c:v>46100</c:v>
                </c:pt>
                <c:pt idx="20">
                  <c:v>27300</c:v>
                </c:pt>
                <c:pt idx="21">
                  <c:v>9550</c:v>
                </c:pt>
                <c:pt idx="22">
                  <c:v>4750</c:v>
                </c:pt>
                <c:pt idx="23">
                  <c:v>200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821682432"/>
        <c:axId val="-821681344"/>
        <c:extLst xmlns:c16r2="http://schemas.microsoft.com/office/drawing/2015/06/chart"/>
      </c:barChart>
      <c:catAx>
        <c:axId val="-821682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81344"/>
        <c:crosses val="autoZero"/>
        <c:auto val="1"/>
        <c:lblAlgn val="ctr"/>
        <c:lblOffset val="100"/>
        <c:noMultiLvlLbl val="0"/>
      </c:catAx>
      <c:valAx>
        <c:axId val="-8216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168243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B2" sqref="B2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44252</v>
      </c>
      <c r="C2" s="49" t="s">
        <v>46</v>
      </c>
      <c r="D2" s="50" t="s">
        <v>55</v>
      </c>
      <c r="E2" s="1" t="s">
        <v>47</v>
      </c>
      <c r="F2" s="48">
        <v>15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/>
      <c r="K3" s="23"/>
      <c r="L3" s="33"/>
      <c r="M3" s="5" t="str">
        <f>IFERROR(IF(ISBLANK(J3),"",L3-K3),"")</f>
        <v/>
      </c>
      <c r="N3" s="5" t="str">
        <f>IFERROR(IF(OR(J3=" ",K3=" ",L3=" ")," ",IF(L3&gt;K3,"BULLISH",IF(K3&gt;L3,"BEARISH",""))),"")</f>
        <v/>
      </c>
      <c r="O3" s="11" t="str">
        <f>IFERROR(IF(AND(N3="BULLISH",K3&lt;0),(L3-(K3))/-K3,IF(AND(N3="BULLISH",K3&gt;0),L3/K3,IF(AND(N3="BEARISH",L3&lt;0),(K3-(L3))/-L3,IF(N3="BEARISH",K3/L3,"")))),"")</f>
        <v/>
      </c>
      <c r="P3" s="24"/>
    </row>
    <row r="4" spans="1:16" ht="15" x14ac:dyDescent="0.25">
      <c r="A4" s="32"/>
      <c r="B4" s="40">
        <f>IFERROR(VLOOKUP(E4,Data!$AE$2:$AM$200,4,0),"")</f>
        <v>5624</v>
      </c>
      <c r="C4" s="5">
        <f>IFERROR(VLOOKUP(E4,Data!$AE$2:$AM$200,3,0),"")</f>
        <v>47</v>
      </c>
      <c r="D4" s="6">
        <f>IFERROR(VLOOKUP(E4,Data!$AE$2:$AM$200,2,0),"")</f>
        <v>376.95</v>
      </c>
      <c r="E4" s="7">
        <f t="shared" ref="E4:E7" si="0">IFERROR(E5-50,"")</f>
        <v>14900</v>
      </c>
      <c r="F4" s="6">
        <f>IFERROR(VLOOKUP(E4,Data!$AE$2:$AM$200,6,0),"")</f>
        <v>146</v>
      </c>
      <c r="G4" s="5">
        <f>IFERROR(VLOOKUP(E4,Data!$AE$2:$AM$200,7,0),"")</f>
        <v>702</v>
      </c>
      <c r="H4" s="5">
        <f>IFERROR(VLOOKUP(E4,Data!$AE$2:$AM$200,8,0),"")</f>
        <v>8872</v>
      </c>
      <c r="J4" s="22"/>
      <c r="K4" s="23"/>
      <c r="L4" s="33"/>
      <c r="M4" s="5" t="str">
        <f t="shared" ref="M4:M67" si="1">IFERROR(IF(ISBLANK(J4),"",L4-K4),"")</f>
        <v/>
      </c>
      <c r="N4" s="5" t="str">
        <f t="shared" ref="N4:N67" si="2">IFERROR(IF(OR(J4=" ",K4=" ",L4=" ")," ",IF(L4&gt;K4,"BULLISH",IF(K4&gt;L4,"BEARISH",""))),"")</f>
        <v/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/>
    </row>
    <row r="5" spans="1:16" ht="15" x14ac:dyDescent="0.25">
      <c r="A5" s="32"/>
      <c r="B5" s="40">
        <f>IFERROR(VLOOKUP(E5,Data!$AE$2:$AM$200,4,0),"")</f>
        <v>275</v>
      </c>
      <c r="C5" s="5">
        <f>IFERROR(VLOOKUP(E5,Data!$AE$2:$AM$200,3,0),"")</f>
        <v>0</v>
      </c>
      <c r="D5" s="6">
        <f>IFERROR(VLOOKUP(E5,Data!$AE$2:$AM$200,2,0),"")</f>
        <v>345</v>
      </c>
      <c r="E5" s="7">
        <f t="shared" si="0"/>
        <v>14950</v>
      </c>
      <c r="F5" s="6">
        <f>IFERROR(VLOOKUP(E5,Data!$AE$2:$AM$200,6,0),"")</f>
        <v>161.1</v>
      </c>
      <c r="G5" s="5">
        <f>IFERROR(VLOOKUP(E5,Data!$AE$2:$AM$200,7,0),"")</f>
        <v>248</v>
      </c>
      <c r="H5" s="5">
        <f>IFERROR(VLOOKUP(E5,Data!$AE$2:$AM$200,8,0),"")</f>
        <v>748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16085</v>
      </c>
      <c r="C6" s="5">
        <f>IFERROR(VLOOKUP(E6,Data!$AE$2:$AM$200,3,0),"")</f>
        <v>-299</v>
      </c>
      <c r="D6" s="6">
        <f>IFERROR(VLOOKUP(E6,Data!$AE$2:$AM$200,2,0),"")</f>
        <v>309</v>
      </c>
      <c r="E6" s="7">
        <f t="shared" si="0"/>
        <v>15000</v>
      </c>
      <c r="F6" s="6">
        <f>IFERROR(VLOOKUP(E6,Data!$AE$2:$AM$200,6,0),"")</f>
        <v>177.5</v>
      </c>
      <c r="G6" s="5">
        <f>IFERROR(VLOOKUP(E6,Data!$AE$2:$AM$200,7,0),"")</f>
        <v>1267</v>
      </c>
      <c r="H6" s="5">
        <f>IFERROR(VLOOKUP(E6,Data!$AE$2:$AM$200,8,0),"")</f>
        <v>20346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302</v>
      </c>
      <c r="C7" s="5">
        <f>IFERROR(VLOOKUP(E7,Data!$AE$2:$AM$200,3,0),"")</f>
        <v>-4</v>
      </c>
      <c r="D7" s="6">
        <f>IFERROR(VLOOKUP(E7,Data!$AE$2:$AM$200,2,0),"")</f>
        <v>280.39999999999998</v>
      </c>
      <c r="E7" s="7">
        <f t="shared" si="0"/>
        <v>15050</v>
      </c>
      <c r="F7" s="6">
        <f>IFERROR(VLOOKUP(E7,Data!$AE$2:$AM$200,6,0),"")</f>
        <v>190.9</v>
      </c>
      <c r="G7" s="5">
        <f>IFERROR(VLOOKUP(E7,Data!$AE$2:$AM$200,7,0),"")</f>
        <v>6</v>
      </c>
      <c r="H7" s="5">
        <f>IFERROR(VLOOKUP(E7,Data!$AE$2:$AM$200,8,0),"")</f>
        <v>314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8375</v>
      </c>
      <c r="C8" s="5">
        <f>IFERROR(VLOOKUP(E8,Data!$AE$2:$AM$200,3,0),"")</f>
        <v>449</v>
      </c>
      <c r="D8" s="6">
        <f>IFERROR(VLOOKUP(E8,Data!$AE$2:$AM$200,2,0),"")</f>
        <v>246.55</v>
      </c>
      <c r="E8" s="7">
        <f>IFERROR(E9-50,"")</f>
        <v>15100</v>
      </c>
      <c r="F8" s="6">
        <f>IFERROR(VLOOKUP(E8,Data!$AE$2:$AM$200,6,0),"")</f>
        <v>215</v>
      </c>
      <c r="G8" s="5">
        <f>IFERROR(VLOOKUP(E8,Data!$AE$2:$AM$200,7,0),"")</f>
        <v>638</v>
      </c>
      <c r="H8" s="5">
        <f>IFERROR(VLOOKUP(E8,Data!$AE$2:$AM$200,8,0),"")</f>
        <v>5830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986</v>
      </c>
      <c r="C9" s="5">
        <f>IFERROR(VLOOKUP(E9,Data!$AE$2:$AM$200,3,0),"")</f>
        <v>-102</v>
      </c>
      <c r="D9" s="6">
        <f>IFERROR(VLOOKUP(E9,Data!$AE$2:$AM$200,2,0),"")</f>
        <v>218.4</v>
      </c>
      <c r="E9" s="8">
        <f>IFERROR(Data!$AC$3,"")</f>
        <v>15150</v>
      </c>
      <c r="F9" s="6">
        <f>IFERROR(VLOOKUP(E9,Data!$AE$2:$AM$200,6,0),"")</f>
        <v>235</v>
      </c>
      <c r="G9" s="5">
        <f>IFERROR(VLOOKUP(E9,Data!$AE$2:$AM$200,7,0),"")</f>
        <v>92</v>
      </c>
      <c r="H9" s="5">
        <f>IFERROR(VLOOKUP(E9,Data!$AE$2:$AM$200,8,0),"")</f>
        <v>521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14355</v>
      </c>
      <c r="C10" s="5">
        <f>IFERROR(VLOOKUP(E10,Data!$AE$2:$AM$200,3,0),"")</f>
        <v>401</v>
      </c>
      <c r="D10" s="6">
        <f>IFERROR(VLOOKUP(E10,Data!$AE$2:$AM$200,2,0),"")</f>
        <v>191.4</v>
      </c>
      <c r="E10" s="8">
        <f>IFERROR(E9+50,"")</f>
        <v>15200</v>
      </c>
      <c r="F10" s="6">
        <f>IFERROR(VLOOKUP(E10,Data!$AE$2:$AM$200,6,0),"")</f>
        <v>259</v>
      </c>
      <c r="G10" s="5">
        <f>IFERROR(VLOOKUP(E10,Data!$AE$2:$AM$200,7,0),"")</f>
        <v>299</v>
      </c>
      <c r="H10" s="5">
        <f>IFERROR(VLOOKUP(E10,Data!$AE$2:$AM$200,8,0),"")</f>
        <v>5035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809</v>
      </c>
      <c r="C11" s="5">
        <f>IFERROR(VLOOKUP(E11,Data!$AE$2:$AM$200,3,0),"")</f>
        <v>-21</v>
      </c>
      <c r="D11" s="6">
        <f>IFERROR(VLOOKUP(E11,Data!$AE$2:$AM$200,2,0),"")</f>
        <v>168</v>
      </c>
      <c r="E11" s="8">
        <f t="shared" ref="E11:E13" si="4">IFERROR(E10+50,"")</f>
        <v>15250</v>
      </c>
      <c r="F11" s="6">
        <f>IFERROR(VLOOKUP(E11,Data!$AE$2:$AM$200,6,0),"")</f>
        <v>279.14999999999998</v>
      </c>
      <c r="G11" s="5">
        <f>IFERROR(VLOOKUP(E11,Data!$AE$2:$AM$200,7,0),"")</f>
        <v>-24</v>
      </c>
      <c r="H11" s="5">
        <f>IFERROR(VLOOKUP(E11,Data!$AE$2:$AM$200,8,0),"")</f>
        <v>189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9553</v>
      </c>
      <c r="C12" s="5">
        <f>IFERROR(VLOOKUP(E12,Data!$AE$2:$AM$200,3,0),"")</f>
        <v>297</v>
      </c>
      <c r="D12" s="6">
        <f>IFERROR(VLOOKUP(E12,Data!$AE$2:$AM$200,2,0),"")</f>
        <v>144.15</v>
      </c>
      <c r="E12" s="8">
        <f t="shared" si="4"/>
        <v>15300</v>
      </c>
      <c r="F12" s="6">
        <f>IFERROR(VLOOKUP(E12,Data!$AE$2:$AM$200,6,0),"")</f>
        <v>311.7</v>
      </c>
      <c r="G12" s="5">
        <f>IFERROR(VLOOKUP(E12,Data!$AE$2:$AM$200,7,0),"")</f>
        <v>90</v>
      </c>
      <c r="H12" s="5">
        <f>IFERROR(VLOOKUP(E12,Data!$AE$2:$AM$200,8,0),"")</f>
        <v>1230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508</v>
      </c>
      <c r="C13" s="5">
        <f>IFERROR(VLOOKUP(E13,Data!$AE$2:$AM$200,3,0),"")</f>
        <v>49</v>
      </c>
      <c r="D13" s="6">
        <f>IFERROR(VLOOKUP(E13,Data!$AE$2:$AM$200,2,0),"")</f>
        <v>125</v>
      </c>
      <c r="E13" s="8">
        <f t="shared" si="4"/>
        <v>15350</v>
      </c>
      <c r="F13" s="6">
        <f>IFERROR(VLOOKUP(E13,Data!$AE$2:$AM$200,6,0),"")</f>
        <v>363</v>
      </c>
      <c r="G13" s="5">
        <f>IFERROR(VLOOKUP(E13,Data!$AE$2:$AM$200,7,0),"")</f>
        <v>3</v>
      </c>
      <c r="H13" s="5">
        <f>IFERROR(VLOOKUP(E13,Data!$AE$2:$AM$200,8,0),"")</f>
        <v>103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3822975</v>
      </c>
      <c r="C14" s="1">
        <f>IFERROR(SUM($C$4:$C$13)*75,"")</f>
        <v>61275</v>
      </c>
      <c r="D14" s="59">
        <v>0.87631944444444443</v>
      </c>
      <c r="E14" s="59"/>
      <c r="F14" s="59"/>
      <c r="G14" s="10">
        <f>IFERROR(SUM($G$4:$G$13)*75,"")</f>
        <v>249075</v>
      </c>
      <c r="H14" s="1">
        <f>IFERROR(SUM($H$4:$H$13)*75,"")</f>
        <v>3239100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0.79247917809585555</v>
      </c>
      <c r="D62" s="13" t="s">
        <v>66</v>
      </c>
      <c r="E62" s="14">
        <f>IFERROR(Data!$AT$28,"")</f>
        <v>0.66492518632762976</v>
      </c>
      <c r="F62" s="15"/>
      <c r="G62" s="16" t="s">
        <v>65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a5EvYBXM4ehua9JKpvCGchcIwKNZGjlJlmgYtKO4z5BtssaDEF3PUN/ake9etImOZ7V4eRZ5pCTbTVxhljrn1A==" saltValue="fNFVT7yVufm08jhFpOoTrw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44252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82</v>
      </c>
      <c r="AE2" s="57">
        <f>IFERROR(VLOOKUP(AD2,$A$2:$AA$2000,2,0),"")</f>
        <v>11450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113</v>
      </c>
      <c r="AI2" s="18">
        <f>IFERROR(VLOOKUP(AD2,$A$2:$AA$2000,20,0),"")</f>
        <v>0</v>
      </c>
      <c r="AJ2" s="18">
        <f>IFERROR(VLOOKUP(AD2,$A$2:$AA$2000,9,0),"")</f>
        <v>3.45</v>
      </c>
      <c r="AK2" s="18">
        <f>IFERROR(VLOOKUP(AD2,$A$2:$AA$2000,5,0),"")</f>
        <v>28</v>
      </c>
      <c r="AL2" s="18">
        <f>IFERROR(VLOOKUP(AD2,$A$2:$AA$2000,4,0),"")</f>
        <v>576</v>
      </c>
      <c r="AM2" s="18">
        <f>IFERROR(VLOOKUP(AD2,$A$2:$AA$2000,7,0),"")</f>
        <v>107</v>
      </c>
      <c r="AO2" s="18">
        <f>IFERROR($AR2*SUM($AS2:AS$2)-SUMPRODUCT($AR2:AR$2,$AS2:AS$2),"")</f>
        <v>0</v>
      </c>
      <c r="AP2" s="18">
        <f>IFERROR(SUMPRODUCT($AR2:AR$26,$AT2:AT$26)-$AR2*SUM($AT2:AT$26),"")</f>
        <v>31299300</v>
      </c>
      <c r="AQ2" s="18">
        <f>IFERROR(($AR2*SUM(AS2:$AS$2)-SUMPRODUCT($AR2:AR$2,$AS2:AS$2))+(SUMPRODUCT($AR2:AR$26,$AT2:AT$26)-$AR2*SUM($AT2:AT$26)),"")</f>
        <v>31299300</v>
      </c>
      <c r="AR2" s="18">
        <f t="shared" ref="AR2:AR12" si="0">IFERROR(AR3-50,"")</f>
        <v>14550</v>
      </c>
      <c r="AS2" s="18">
        <f>IFERROR(VLOOKUP(AR2,$AE$2:$AM$200,4,0),"")</f>
        <v>263</v>
      </c>
      <c r="AT2" s="18">
        <f>IFERROR(VLOOKUP(AR2,$AE$2:$AM$200,8,0),"")</f>
        <v>689</v>
      </c>
      <c r="AU2" s="18">
        <f>IFERROR(VLOOKUP(AR2,$AE$2:$AM$200,5,0),"")</f>
        <v>0</v>
      </c>
      <c r="AV2" s="18">
        <f>IFERROR(VLOOKUP(AR2,$AE$2:$AM$200,9,0),"")</f>
        <v>290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88</v>
      </c>
      <c r="AE3" s="57">
        <f t="shared" ref="AE3:AE66" si="1">IFERROR(VLOOKUP(AD3,$A$2:$AA$2000,2,0),"")</f>
        <v>11500</v>
      </c>
      <c r="AF3" s="18">
        <f t="shared" ref="AF3:AF66" si="2">IFERROR(VLOOKUP(AD3,$A$2:$AA$2000,22,0),"")</f>
        <v>3640</v>
      </c>
      <c r="AG3" s="18">
        <f t="shared" ref="AG3:AG66" si="3">IFERROR(VLOOKUP(AD3,$A$2:$AA$2000,18,0),"")</f>
        <v>-18</v>
      </c>
      <c r="AH3" s="18">
        <f t="shared" ref="AH3:AH66" si="4">IFERROR(VLOOKUP(AD3,$A$2:$AA$2000,17,0),"")</f>
        <v>6999</v>
      </c>
      <c r="AI3" s="18">
        <f t="shared" ref="AI3:AI66" si="5">IFERROR(VLOOKUP(AD3,$A$2:$AA$2000,20,0),"")</f>
        <v>26</v>
      </c>
      <c r="AJ3" s="18">
        <f t="shared" ref="AJ3:AJ66" si="6">IFERROR(VLOOKUP(AD3,$A$2:$AA$2000,9,0),"")</f>
        <v>3.25</v>
      </c>
      <c r="AK3" s="18">
        <f t="shared" ref="AK3:AK66" si="7">IFERROR(VLOOKUP(AD3,$A$2:$AA$2000,5,0),"")</f>
        <v>8</v>
      </c>
      <c r="AL3" s="18">
        <f t="shared" ref="AL3:AL66" si="8">IFERROR(VLOOKUP(AD3,$A$2:$AA$2000,4,0),"")</f>
        <v>10571</v>
      </c>
      <c r="AM3" s="18">
        <f t="shared" ref="AM3:AM66" si="9">IFERROR(VLOOKUP(AD3,$A$2:$AA$2000,7,0),"")</f>
        <v>505</v>
      </c>
      <c r="AO3" s="18">
        <f>IFERROR($AR3*SUM($AS$2:AS3)-SUMPRODUCT($AR$2:AR3,$AS$2:AS3),"")</f>
        <v>13150</v>
      </c>
      <c r="AP3" s="18">
        <f>IFERROR(SUMPRODUCT($AR3:AR$26,$AT3:AT$26)-$AR3*SUM($AT3:AT$26),"")</f>
        <v>27216500</v>
      </c>
      <c r="AQ3" s="18">
        <f>IFERROR(($AR3*SUM(AS$2:$AS3)-SUMPRODUCT($AR$2:AR3,$AS$2:AS3))+(SUMPRODUCT($AR3:AR$26,$AT3:AT$26)-$AR3*SUM($AT3:AT$26)),"")</f>
        <v>27229650</v>
      </c>
      <c r="AR3" s="18">
        <f t="shared" si="0"/>
        <v>14600</v>
      </c>
      <c r="AS3" s="18">
        <f t="shared" ref="AS3:AS26" si="10">IFERROR(VLOOKUP(AR3,$AE$2:$AM$200,4,0),"")</f>
        <v>4504</v>
      </c>
      <c r="AT3" s="18">
        <f t="shared" ref="AT3:AT26" si="11">IFERROR(VLOOKUP(AR3,$AE$2:$AM$200,8,0),"")</f>
        <v>9666</v>
      </c>
      <c r="AU3" s="18">
        <f t="shared" ref="AU3:AU26" si="12">IFERROR(VLOOKUP(AR3,$AE$2:$AM$200,5,0),"")</f>
        <v>61</v>
      </c>
      <c r="AV3" s="18">
        <f t="shared" ref="AV3:AV26" si="13">IFERROR(VLOOKUP(AR3,$AE$2:$AM$200,9,0),"")</f>
        <v>3269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91</v>
      </c>
      <c r="AE4" s="57">
        <f t="shared" si="1"/>
        <v>11550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251500</v>
      </c>
      <c r="AP4" s="18">
        <f>IFERROR(SUMPRODUCT($AR4:AR$26,$AT4:AT$26)-$AR4*SUM($AT4:AT$26),"")</f>
        <v>23617000</v>
      </c>
      <c r="AQ4" s="18">
        <f>IFERROR(($AR4*SUM(AS$2:$AS4)-SUMPRODUCT($AR$2:AR4,$AS$2:AS4))+(SUMPRODUCT($AR4:AR$26,$AT4:AT$26)-$AR4*SUM($AT4:AT$26)),"")</f>
        <v>23868500</v>
      </c>
      <c r="AR4" s="18">
        <f t="shared" si="0"/>
        <v>14650</v>
      </c>
      <c r="AS4" s="18">
        <f t="shared" si="10"/>
        <v>274</v>
      </c>
      <c r="AT4" s="18">
        <f t="shared" si="11"/>
        <v>415</v>
      </c>
      <c r="AU4" s="18">
        <f t="shared" si="12"/>
        <v>1</v>
      </c>
      <c r="AV4" s="18">
        <f t="shared" si="13"/>
        <v>196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94</v>
      </c>
      <c r="AE5" s="57">
        <f t="shared" si="1"/>
        <v>11600</v>
      </c>
      <c r="AF5" s="18">
        <f t="shared" si="2"/>
        <v>0</v>
      </c>
      <c r="AG5" s="18">
        <f t="shared" si="3"/>
        <v>0</v>
      </c>
      <c r="AH5" s="18">
        <f t="shared" si="4"/>
        <v>108</v>
      </c>
      <c r="AI5" s="18">
        <f t="shared" si="5"/>
        <v>0</v>
      </c>
      <c r="AJ5" s="18">
        <f t="shared" si="6"/>
        <v>4.0999999999999996</v>
      </c>
      <c r="AK5" s="18">
        <f t="shared" si="7"/>
        <v>0</v>
      </c>
      <c r="AL5" s="18">
        <f t="shared" si="8"/>
        <v>126</v>
      </c>
      <c r="AM5" s="18">
        <f t="shared" si="9"/>
        <v>6</v>
      </c>
      <c r="AO5" s="18">
        <f>IFERROR($AR5*SUM($AS$2:AS5)-SUMPRODUCT($AR$2:AR5,$AS$2:AS5),"")</f>
        <v>503550</v>
      </c>
      <c r="AP5" s="18">
        <f>IFERROR(SUMPRODUCT($AR5:AR$26,$AT5:AT$26)-$AR5*SUM($AT5:AT$26),"")</f>
        <v>20038250</v>
      </c>
      <c r="AQ5" s="18">
        <f>IFERROR(($AR5*SUM(AS$2:$AS5)-SUMPRODUCT($AR$2:AR5,$AS$2:AS5))+(SUMPRODUCT($AR5:AR$26,$AT5:AT$26)-$AR5*SUM($AT5:AT$26)),"")</f>
        <v>20541800</v>
      </c>
      <c r="AR5" s="18">
        <f t="shared" si="0"/>
        <v>14700</v>
      </c>
      <c r="AS5" s="18">
        <f t="shared" si="10"/>
        <v>5591</v>
      </c>
      <c r="AT5" s="18">
        <f t="shared" si="11"/>
        <v>8672</v>
      </c>
      <c r="AU5" s="18">
        <f t="shared" si="12"/>
        <v>187</v>
      </c>
      <c r="AV5" s="18">
        <f t="shared" si="13"/>
        <v>3364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96</v>
      </c>
      <c r="AE6" s="57">
        <f t="shared" si="1"/>
        <v>11650</v>
      </c>
      <c r="AF6" s="18">
        <f t="shared" si="2"/>
        <v>0</v>
      </c>
      <c r="AG6" s="18">
        <f t="shared" si="3"/>
        <v>0</v>
      </c>
      <c r="AH6" s="18">
        <f t="shared" si="4"/>
        <v>14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21</v>
      </c>
      <c r="AM6" s="18">
        <f t="shared" si="9"/>
        <v>0</v>
      </c>
      <c r="AO6" s="18">
        <f>IFERROR($AR6*SUM($AS$2:AS6)-SUMPRODUCT($AR$2:AR6,$AS$2:AS6),"")</f>
        <v>1035150</v>
      </c>
      <c r="AP6" s="18">
        <f>IFERROR(SUMPRODUCT($AR6:AR$26,$AT6:AT$26)-$AR6*SUM($AT6:AT$26),"")</f>
        <v>16893100</v>
      </c>
      <c r="AQ6" s="18">
        <f>IFERROR(($AR6*SUM(AS$2:$AS6)-SUMPRODUCT($AR$2:AR6,$AS$2:AS6))+(SUMPRODUCT($AR6:AR$26,$AT6:AT$26)-$AR6*SUM($AT6:AT$26)),"")</f>
        <v>17928250</v>
      </c>
      <c r="AR6" s="18">
        <f t="shared" si="0"/>
        <v>14750</v>
      </c>
      <c r="AS6" s="18">
        <f t="shared" si="10"/>
        <v>450</v>
      </c>
      <c r="AT6" s="18">
        <f t="shared" si="11"/>
        <v>792</v>
      </c>
      <c r="AU6" s="18">
        <f t="shared" si="12"/>
        <v>8</v>
      </c>
      <c r="AV6" s="18">
        <f t="shared" si="13"/>
        <v>177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97</v>
      </c>
      <c r="AE7" s="57">
        <f t="shared" si="1"/>
        <v>11700</v>
      </c>
      <c r="AF7" s="18">
        <f t="shared" si="2"/>
        <v>0</v>
      </c>
      <c r="AG7" s="18">
        <f t="shared" si="3"/>
        <v>0</v>
      </c>
      <c r="AH7" s="18">
        <f t="shared" si="4"/>
        <v>85</v>
      </c>
      <c r="AI7" s="18">
        <f t="shared" si="5"/>
        <v>0</v>
      </c>
      <c r="AJ7" s="18">
        <f t="shared" si="6"/>
        <v>4.8499999999999996</v>
      </c>
      <c r="AK7" s="18">
        <f t="shared" si="7"/>
        <v>0</v>
      </c>
      <c r="AL7" s="18">
        <f t="shared" si="8"/>
        <v>174</v>
      </c>
      <c r="AM7" s="18">
        <f t="shared" si="9"/>
        <v>3</v>
      </c>
      <c r="AO7" s="18">
        <f>IFERROR($AR7*SUM($AS$2:AS7)-SUMPRODUCT($AR$2:AR7,$AS$2:AS7),"")</f>
        <v>1589250</v>
      </c>
      <c r="AP7" s="18">
        <f>IFERROR(SUMPRODUCT($AR7:AR$26,$AT7:AT$26)-$AR7*SUM($AT7:AT$26),"")</f>
        <v>13787550</v>
      </c>
      <c r="AQ7" s="18">
        <f>IFERROR(($AR7*SUM(AS$2:$AS7)-SUMPRODUCT($AR$2:AR7,$AS$2:AS7))+(SUMPRODUCT($AR7:AR$26,$AT7:AT$26)-$AR7*SUM($AT7:AT$26)),"")</f>
        <v>15376800</v>
      </c>
      <c r="AR7" s="18">
        <f t="shared" si="0"/>
        <v>14800</v>
      </c>
      <c r="AS7" s="18">
        <f t="shared" si="10"/>
        <v>7540</v>
      </c>
      <c r="AT7" s="18">
        <f t="shared" si="11"/>
        <v>12662</v>
      </c>
      <c r="AU7" s="18">
        <f t="shared" si="12"/>
        <v>596</v>
      </c>
      <c r="AV7" s="18">
        <f t="shared" si="13"/>
        <v>4655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100</v>
      </c>
      <c r="AE8" s="57">
        <f t="shared" si="1"/>
        <v>11750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2520350</v>
      </c>
      <c r="AP8" s="18">
        <f>IFERROR(SUMPRODUCT($AR8:AR$26,$AT8:AT$26)-$AR8*SUM($AT8:AT$26),"")</f>
        <v>11315100</v>
      </c>
      <c r="AQ8" s="18">
        <f>IFERROR(($AR8*SUM(AS$2:$AS8)-SUMPRODUCT($AR$2:AR8,$AS$2:AS8))+(SUMPRODUCT($AR8:AR$26,$AT8:AT$26)-$AR8*SUM($AT8:AT$26)),"")</f>
        <v>13835450</v>
      </c>
      <c r="AR8" s="18">
        <f t="shared" si="0"/>
        <v>14850</v>
      </c>
      <c r="AS8" s="18">
        <f t="shared" si="10"/>
        <v>286</v>
      </c>
      <c r="AT8" s="18">
        <f t="shared" si="11"/>
        <v>605</v>
      </c>
      <c r="AU8" s="18">
        <f t="shared" si="12"/>
        <v>32</v>
      </c>
      <c r="AV8" s="18">
        <f t="shared" si="13"/>
        <v>364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102</v>
      </c>
      <c r="AE9" s="57">
        <f t="shared" si="1"/>
        <v>11800</v>
      </c>
      <c r="AF9" s="18">
        <f t="shared" si="2"/>
        <v>0</v>
      </c>
      <c r="AG9" s="18">
        <f t="shared" si="3"/>
        <v>0</v>
      </c>
      <c r="AH9" s="18">
        <f t="shared" si="4"/>
        <v>88</v>
      </c>
      <c r="AI9" s="18">
        <f t="shared" si="5"/>
        <v>0</v>
      </c>
      <c r="AJ9" s="18">
        <f t="shared" si="6"/>
        <v>4.5</v>
      </c>
      <c r="AK9" s="18">
        <f t="shared" si="7"/>
        <v>0</v>
      </c>
      <c r="AL9" s="18">
        <f t="shared" si="8"/>
        <v>649</v>
      </c>
      <c r="AM9" s="18">
        <f t="shared" si="9"/>
        <v>8</v>
      </c>
      <c r="AO9" s="18">
        <f>IFERROR($AR9*SUM($AS$2:AS9)-SUMPRODUCT($AR$2:AR9,$AS$2:AS9),"")</f>
        <v>3465750</v>
      </c>
      <c r="AP9" s="18">
        <f>IFERROR(SUMPRODUCT($AR9:AR$26,$AT9:AT$26)-$AR9*SUM($AT9:AT$26),"")</f>
        <v>8872900</v>
      </c>
      <c r="AQ9" s="18">
        <f>IFERROR(($AR9*SUM(AS$2:$AS9)-SUMPRODUCT($AR$2:AR9,$AS$2:AS9))+(SUMPRODUCT($AR9:AR$26,$AT9:AT$26)-$AR9*SUM($AT9:AT$26)),"")</f>
        <v>12338650</v>
      </c>
      <c r="AR9" s="18">
        <f t="shared" si="0"/>
        <v>14900</v>
      </c>
      <c r="AS9" s="18">
        <f t="shared" si="10"/>
        <v>5624</v>
      </c>
      <c r="AT9" s="18">
        <f t="shared" si="11"/>
        <v>8872</v>
      </c>
      <c r="AU9" s="18">
        <f t="shared" si="12"/>
        <v>904</v>
      </c>
      <c r="AV9" s="18">
        <f t="shared" si="13"/>
        <v>4816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105</v>
      </c>
      <c r="AE10" s="57">
        <f t="shared" si="1"/>
        <v>11850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0</v>
      </c>
      <c r="AK10" s="18">
        <f t="shared" si="7"/>
        <v>0</v>
      </c>
      <c r="AL10" s="18">
        <f t="shared" si="8"/>
        <v>62</v>
      </c>
      <c r="AM10" s="18">
        <f t="shared" si="9"/>
        <v>0</v>
      </c>
      <c r="AO10" s="18">
        <f>IFERROR($AR10*SUM($AS$2:AS10)-SUMPRODUCT($AR$2:AR10,$AS$2:AS10),"")</f>
        <v>4692350</v>
      </c>
      <c r="AP10" s="18">
        <f>IFERROR(SUMPRODUCT($AR10:AR$26,$AT10:AT$26)-$AR10*SUM($AT10:AT$26),"")</f>
        <v>6874300</v>
      </c>
      <c r="AQ10" s="18">
        <f>IFERROR(($AR10*SUM(AS$2:$AS10)-SUMPRODUCT($AR$2:AR10,$AS$2:AS10))+(SUMPRODUCT($AR10:AR$26,$AT10:AT$26)-$AR10*SUM($AT10:AT$26)),"")</f>
        <v>11566650</v>
      </c>
      <c r="AR10" s="18">
        <f t="shared" si="0"/>
        <v>14950</v>
      </c>
      <c r="AS10" s="18">
        <f t="shared" si="10"/>
        <v>275</v>
      </c>
      <c r="AT10" s="18">
        <f t="shared" si="11"/>
        <v>748</v>
      </c>
      <c r="AU10" s="18">
        <f t="shared" si="12"/>
        <v>79</v>
      </c>
      <c r="AV10" s="18">
        <f t="shared" si="13"/>
        <v>1049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109</v>
      </c>
      <c r="AE11" s="57">
        <f t="shared" si="1"/>
        <v>11900</v>
      </c>
      <c r="AF11" s="18">
        <f t="shared" si="2"/>
        <v>0</v>
      </c>
      <c r="AG11" s="18">
        <f t="shared" si="3"/>
        <v>0</v>
      </c>
      <c r="AH11" s="18">
        <f t="shared" si="4"/>
        <v>27</v>
      </c>
      <c r="AI11" s="18">
        <f t="shared" si="5"/>
        <v>0</v>
      </c>
      <c r="AJ11" s="18">
        <f t="shared" si="6"/>
        <v>5.5</v>
      </c>
      <c r="AK11" s="18">
        <f t="shared" si="7"/>
        <v>0</v>
      </c>
      <c r="AL11" s="18">
        <f t="shared" si="8"/>
        <v>308</v>
      </c>
      <c r="AM11" s="18">
        <f t="shared" si="9"/>
        <v>3</v>
      </c>
      <c r="AO11" s="18">
        <f>IFERROR($AR11*SUM($AS$2:AS11)-SUMPRODUCT($AR$2:AR11,$AS$2:AS11),"")</f>
        <v>5932700</v>
      </c>
      <c r="AP11" s="18">
        <f>IFERROR(SUMPRODUCT($AR11:AR$26,$AT11:AT$26)-$AR11*SUM($AT11:AT$26),"")</f>
        <v>4913100</v>
      </c>
      <c r="AQ11" s="18">
        <f>IFERROR(($AR11*SUM(AS$2:$AS11)-SUMPRODUCT($AR$2:AR11,$AS$2:AS11))+(SUMPRODUCT($AR11:AR$26,$AT11:AT$26)-$AR11*SUM($AT11:AT$26)),"")</f>
        <v>10845800</v>
      </c>
      <c r="AR11" s="18">
        <f t="shared" si="0"/>
        <v>15000</v>
      </c>
      <c r="AS11" s="18">
        <f t="shared" si="10"/>
        <v>16085</v>
      </c>
      <c r="AT11" s="18">
        <f t="shared" si="11"/>
        <v>20346</v>
      </c>
      <c r="AU11" s="18">
        <f t="shared" si="12"/>
        <v>7077</v>
      </c>
      <c r="AV11" s="18">
        <f t="shared" si="13"/>
        <v>13908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110</v>
      </c>
      <c r="AE12" s="57">
        <f t="shared" si="1"/>
        <v>11950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70</v>
      </c>
      <c r="AM12" s="18">
        <f t="shared" si="9"/>
        <v>0</v>
      </c>
      <c r="AO12" s="18">
        <f>IFERROR($AR12*SUM($AS$2:AS12)-SUMPRODUCT($AR$2:AR12,$AS$2:AS12),"")</f>
        <v>7977300</v>
      </c>
      <c r="AP12" s="18">
        <f>IFERROR(SUMPRODUCT($AR12:AR$26,$AT12:AT$26)-$AR12*SUM($AT12:AT$26),"")</f>
        <v>3969200</v>
      </c>
      <c r="AQ12" s="18">
        <f>IFERROR(($AR12*SUM(AS$2:$AS12)-SUMPRODUCT($AR$2:AR12,$AS$2:AS12))+(SUMPRODUCT($AR12:AR$26,$AT12:AT$26)-$AR12*SUM($AT12:AT$26)),"")</f>
        <v>11946500</v>
      </c>
      <c r="AR12" s="18">
        <f t="shared" si="0"/>
        <v>15050</v>
      </c>
      <c r="AS12" s="18">
        <f t="shared" si="10"/>
        <v>302</v>
      </c>
      <c r="AT12" s="18">
        <f t="shared" si="11"/>
        <v>314</v>
      </c>
      <c r="AU12" s="18">
        <f t="shared" si="12"/>
        <v>257</v>
      </c>
      <c r="AV12" s="18">
        <f t="shared" si="13"/>
        <v>653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122</v>
      </c>
      <c r="AE13" s="57">
        <f t="shared" si="1"/>
        <v>12000</v>
      </c>
      <c r="AF13" s="18">
        <f t="shared" si="2"/>
        <v>3150</v>
      </c>
      <c r="AG13" s="18">
        <f t="shared" si="3"/>
        <v>-12</v>
      </c>
      <c r="AH13" s="18">
        <f t="shared" si="4"/>
        <v>4933</v>
      </c>
      <c r="AI13" s="18">
        <f t="shared" si="5"/>
        <v>19</v>
      </c>
      <c r="AJ13" s="18">
        <f t="shared" si="6"/>
        <v>5.25</v>
      </c>
      <c r="AK13" s="18">
        <f t="shared" si="7"/>
        <v>-76</v>
      </c>
      <c r="AL13" s="18">
        <f t="shared" si="8"/>
        <v>25870</v>
      </c>
      <c r="AM13" s="18">
        <f t="shared" si="9"/>
        <v>1921</v>
      </c>
      <c r="AO13" s="18">
        <f>IFERROR($AR13*SUM($AS$2:AS13)-SUMPRODUCT($AR$2:AR13,$AS$2:AS13),"")</f>
        <v>10037000</v>
      </c>
      <c r="AP13" s="18">
        <f>IFERROR(SUMPRODUCT($AR13:AR$26,$AT13:AT$26)-$AR13*SUM($AT13:AT$26),"")</f>
        <v>3041000</v>
      </c>
      <c r="AQ13" s="18">
        <f>IFERROR(($AR13*SUM(AS$2:$AS13)-SUMPRODUCT($AR$2:AR13,$AS$2:AS13))+(SUMPRODUCT($AR13:AR$26,$AT13:AT$26)-$AR13*SUM($AT13:AT$26)),"")</f>
        <v>13078000</v>
      </c>
      <c r="AR13" s="18">
        <f>IFERROR(AR14-50,"")</f>
        <v>15100</v>
      </c>
      <c r="AS13" s="18">
        <f t="shared" si="10"/>
        <v>8375</v>
      </c>
      <c r="AT13" s="18">
        <f t="shared" si="11"/>
        <v>5830</v>
      </c>
      <c r="AU13" s="18">
        <f t="shared" si="12"/>
        <v>8103</v>
      </c>
      <c r="AV13" s="18">
        <f t="shared" si="13"/>
        <v>7207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125</v>
      </c>
      <c r="AE14" s="57">
        <f t="shared" si="1"/>
        <v>12050</v>
      </c>
      <c r="AF14" s="18">
        <f t="shared" si="2"/>
        <v>0</v>
      </c>
      <c r="AG14" s="18">
        <f t="shared" si="3"/>
        <v>0</v>
      </c>
      <c r="AH14" s="18">
        <f t="shared" si="4"/>
        <v>2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178</v>
      </c>
      <c r="AM14" s="18">
        <f t="shared" si="9"/>
        <v>0</v>
      </c>
      <c r="AO14" s="18">
        <f>IFERROR($AR14*SUM($AS$2:AS14)-SUMPRODUCT($AR$2:AR14,$AS$2:AS14),"")</f>
        <v>12515450</v>
      </c>
      <c r="AP14" s="18">
        <f>IFERROR(SUMPRODUCT($AR14:AR$26,$AT14:AT$26)-$AR14*SUM($AT14:AT$26),"")</f>
        <v>2404300</v>
      </c>
      <c r="AQ14" s="18">
        <f>IFERROR(($AR14*SUM(AS$2:$AS14)-SUMPRODUCT($AR$2:AR14,$AS$2:AS14))+(SUMPRODUCT($AR14:AR$26,$AT14:AT$26)-$AR14*SUM($AT14:AT$26)),"")</f>
        <v>14919750</v>
      </c>
      <c r="AR14" s="18">
        <f>IFERROR($AC$3,"")</f>
        <v>15150</v>
      </c>
      <c r="AS14" s="18">
        <f t="shared" si="10"/>
        <v>986</v>
      </c>
      <c r="AT14" s="18">
        <f t="shared" si="11"/>
        <v>521</v>
      </c>
      <c r="AU14" s="18">
        <f t="shared" si="12"/>
        <v>1426</v>
      </c>
      <c r="AV14" s="18">
        <f t="shared" si="13"/>
        <v>956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129</v>
      </c>
      <c r="AE15" s="57">
        <f t="shared" si="1"/>
        <v>12100</v>
      </c>
      <c r="AF15" s="18">
        <f t="shared" si="2"/>
        <v>0</v>
      </c>
      <c r="AG15" s="18">
        <f t="shared" si="3"/>
        <v>0</v>
      </c>
      <c r="AH15" s="18">
        <f t="shared" si="4"/>
        <v>70</v>
      </c>
      <c r="AI15" s="18">
        <f t="shared" si="5"/>
        <v>0</v>
      </c>
      <c r="AJ15" s="18">
        <f t="shared" si="6"/>
        <v>6.95</v>
      </c>
      <c r="AK15" s="18">
        <f t="shared" si="7"/>
        <v>1</v>
      </c>
      <c r="AL15" s="18">
        <f t="shared" si="8"/>
        <v>308</v>
      </c>
      <c r="AM15" s="18">
        <f t="shared" si="9"/>
        <v>1</v>
      </c>
      <c r="AO15" s="18">
        <f>IFERROR($AR15*SUM($AS$2:AS15)-SUMPRODUCT($AR$2:AR15,$AS$2:AS15),"")</f>
        <v>15043200</v>
      </c>
      <c r="AP15" s="18">
        <f>IFERROR(SUMPRODUCT($AR15:AR$26,$AT15:AT$26)-$AR15*SUM($AT15:AT$26),"")</f>
        <v>1793650</v>
      </c>
      <c r="AQ15" s="18">
        <f>IFERROR(($AR15*SUM(AS$2:$AS15)-SUMPRODUCT($AR$2:AR15,$AS$2:AS15))+(SUMPRODUCT($AR15:AR$26,$AT15:AT$26)-$AR15*SUM($AT15:AT$26)),"")</f>
        <v>16836850</v>
      </c>
      <c r="AR15" s="18">
        <f>IFERROR(AR14+50,"")</f>
        <v>15200</v>
      </c>
      <c r="AS15" s="18">
        <f t="shared" si="10"/>
        <v>14355</v>
      </c>
      <c r="AT15" s="18">
        <f t="shared" si="11"/>
        <v>5035</v>
      </c>
      <c r="AU15" s="18">
        <f t="shared" si="12"/>
        <v>8581</v>
      </c>
      <c r="AV15" s="18">
        <f t="shared" si="13"/>
        <v>4535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136</v>
      </c>
      <c r="AE16" s="57">
        <f t="shared" si="1"/>
        <v>12150</v>
      </c>
      <c r="AF16" s="18">
        <f t="shared" si="2"/>
        <v>0</v>
      </c>
      <c r="AG16" s="18">
        <f t="shared" si="3"/>
        <v>0</v>
      </c>
      <c r="AH16" s="18">
        <f t="shared" si="4"/>
        <v>1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58</v>
      </c>
      <c r="AM16" s="18">
        <f t="shared" si="9"/>
        <v>0</v>
      </c>
      <c r="AO16" s="18">
        <f>IFERROR($AR16*SUM($AS$2:AS16)-SUMPRODUCT($AR$2:AR16,$AS$2:AS16),"")</f>
        <v>18288700</v>
      </c>
      <c r="AP16" s="18">
        <f>IFERROR(SUMPRODUCT($AR16:AR$26,$AT16:AT$26)-$AR16*SUM($AT16:AT$26),"")</f>
        <v>1434750</v>
      </c>
      <c r="AQ16" s="18">
        <f>IFERROR(($AR16*SUM(AS$2:$AS16)-SUMPRODUCT($AR$2:AR16,$AS$2:AS16))+(SUMPRODUCT($AR16:AR$26,$AT16:AT$26)-$AR16*SUM($AT16:AT$26)),"")</f>
        <v>19723450</v>
      </c>
      <c r="AR16" s="18">
        <f t="shared" ref="AR16:AR26" si="14">IFERROR(AR15+50,"")</f>
        <v>15250</v>
      </c>
      <c r="AS16" s="18">
        <f t="shared" si="10"/>
        <v>809</v>
      </c>
      <c r="AT16" s="18">
        <f t="shared" si="11"/>
        <v>189</v>
      </c>
      <c r="AU16" s="18">
        <f t="shared" si="12"/>
        <v>720</v>
      </c>
      <c r="AV16" s="18">
        <f t="shared" si="13"/>
        <v>214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149</v>
      </c>
      <c r="AE17" s="57">
        <f t="shared" si="1"/>
        <v>12200</v>
      </c>
      <c r="AF17" s="18">
        <f t="shared" si="2"/>
        <v>2935.1</v>
      </c>
      <c r="AG17" s="18">
        <f t="shared" si="3"/>
        <v>0</v>
      </c>
      <c r="AH17" s="18">
        <f t="shared" si="4"/>
        <v>120</v>
      </c>
      <c r="AI17" s="18">
        <f t="shared" si="5"/>
        <v>1</v>
      </c>
      <c r="AJ17" s="18">
        <f t="shared" si="6"/>
        <v>6.75</v>
      </c>
      <c r="AK17" s="18">
        <f t="shared" si="7"/>
        <v>0</v>
      </c>
      <c r="AL17" s="18">
        <f t="shared" si="8"/>
        <v>271</v>
      </c>
      <c r="AM17" s="18">
        <f t="shared" si="9"/>
        <v>1</v>
      </c>
      <c r="AO17" s="18">
        <f>IFERROR($AR17*SUM($AS$2:AS17)-SUMPRODUCT($AR$2:AR17,$AS$2:AS17),"")</f>
        <v>21574650</v>
      </c>
      <c r="AP17" s="18">
        <f>IFERROR(SUMPRODUCT($AR17:AR$26,$AT17:AT$26)-$AR17*SUM($AT17:AT$26),"")</f>
        <v>1085300</v>
      </c>
      <c r="AQ17" s="18">
        <f>IFERROR(($AR17*SUM(AS$2:$AS17)-SUMPRODUCT($AR$2:AR17,$AS$2:AS17))+(SUMPRODUCT($AR17:AR$26,$AT17:AT$26)-$AR17*SUM($AT17:AT$26)),"")</f>
        <v>22659950</v>
      </c>
      <c r="AR17" s="18">
        <f t="shared" si="14"/>
        <v>15300</v>
      </c>
      <c r="AS17" s="18">
        <f t="shared" si="10"/>
        <v>9553</v>
      </c>
      <c r="AT17" s="18">
        <f t="shared" si="11"/>
        <v>1230</v>
      </c>
      <c r="AU17" s="18">
        <f t="shared" si="12"/>
        <v>5645</v>
      </c>
      <c r="AV17" s="18">
        <f t="shared" si="13"/>
        <v>1031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159</v>
      </c>
      <c r="AE18" s="57">
        <f t="shared" si="1"/>
        <v>12250</v>
      </c>
      <c r="AF18" s="18">
        <f t="shared" si="2"/>
        <v>0</v>
      </c>
      <c r="AG18" s="18">
        <f t="shared" si="3"/>
        <v>0</v>
      </c>
      <c r="AH18" s="18">
        <f t="shared" si="4"/>
        <v>1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62</v>
      </c>
      <c r="AM18" s="18">
        <f t="shared" si="9"/>
        <v>0</v>
      </c>
      <c r="AO18" s="18">
        <f>IFERROR($AR18*SUM($AS$2:AS18)-SUMPRODUCT($AR$2:AR18,$AS$2:AS18),"")</f>
        <v>25338250</v>
      </c>
      <c r="AP18" s="18">
        <f>IFERROR(SUMPRODUCT($AR18:AR$26,$AT18:AT$26)-$AR18*SUM($AT18:AT$26),"")</f>
        <v>797350</v>
      </c>
      <c r="AQ18" s="18">
        <f>IFERROR(($AR18*SUM(AS$2:$AS18)-SUMPRODUCT($AR$2:AR18,$AS$2:AS18))+(SUMPRODUCT($AR18:AR$26,$AT18:AT$26)-$AR18*SUM($AT18:AT$26)),"")</f>
        <v>26135600</v>
      </c>
      <c r="AR18" s="18">
        <f t="shared" si="14"/>
        <v>15350</v>
      </c>
      <c r="AS18" s="18">
        <f t="shared" si="10"/>
        <v>508</v>
      </c>
      <c r="AT18" s="18">
        <f t="shared" si="11"/>
        <v>103</v>
      </c>
      <c r="AU18" s="18">
        <f t="shared" si="12"/>
        <v>367</v>
      </c>
      <c r="AV18" s="18">
        <f t="shared" si="13"/>
        <v>10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169</v>
      </c>
      <c r="AE19" s="57">
        <f t="shared" si="1"/>
        <v>12300</v>
      </c>
      <c r="AF19" s="18">
        <f t="shared" si="2"/>
        <v>0</v>
      </c>
      <c r="AG19" s="18">
        <f t="shared" si="3"/>
        <v>0</v>
      </c>
      <c r="AH19" s="18">
        <f t="shared" si="4"/>
        <v>45</v>
      </c>
      <c r="AI19" s="18">
        <f t="shared" si="5"/>
        <v>0</v>
      </c>
      <c r="AJ19" s="18">
        <f t="shared" si="6"/>
        <v>6.2</v>
      </c>
      <c r="AK19" s="18">
        <f t="shared" si="7"/>
        <v>-3</v>
      </c>
      <c r="AL19" s="18">
        <f t="shared" si="8"/>
        <v>236</v>
      </c>
      <c r="AM19" s="18">
        <f t="shared" si="9"/>
        <v>71</v>
      </c>
      <c r="AO19" s="18">
        <f>IFERROR($AR19*SUM($AS$2:AS19)-SUMPRODUCT($AR$2:AR19,$AS$2:AS19),"")</f>
        <v>29127250</v>
      </c>
      <c r="AP19" s="18">
        <f>IFERROR(SUMPRODUCT($AR19:AR$26,$AT19:AT$26)-$AR19*SUM($AT19:AT$26),"")</f>
        <v>514550</v>
      </c>
      <c r="AQ19" s="18">
        <f>IFERROR(($AR19*SUM(AS$2:$AS19)-SUMPRODUCT($AR$2:AR19,$AS$2:AS19))+(SUMPRODUCT($AR19:AR$26,$AT19:AT$26)-$AR19*SUM($AT19:AT$26)),"")</f>
        <v>29641800</v>
      </c>
      <c r="AR19" s="18">
        <f t="shared" si="14"/>
        <v>15400</v>
      </c>
      <c r="AS19" s="18">
        <f t="shared" si="10"/>
        <v>7565</v>
      </c>
      <c r="AT19" s="18">
        <f t="shared" si="11"/>
        <v>942</v>
      </c>
      <c r="AU19" s="18">
        <f t="shared" si="12"/>
        <v>6442</v>
      </c>
      <c r="AV19" s="18">
        <f t="shared" si="13"/>
        <v>310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170</v>
      </c>
      <c r="AE20" s="57">
        <f t="shared" si="1"/>
        <v>12350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0</v>
      </c>
      <c r="AK20" s="18">
        <f t="shared" si="7"/>
        <v>0</v>
      </c>
      <c r="AL20" s="18">
        <f t="shared" si="8"/>
        <v>50</v>
      </c>
      <c r="AM20" s="18">
        <f t="shared" si="9"/>
        <v>0</v>
      </c>
      <c r="AO20" s="18">
        <f>IFERROR($AR20*SUM($AS$2:AS20)-SUMPRODUCT($AR$2:AR20,$AS$2:AS20),"")</f>
        <v>33294500</v>
      </c>
      <c r="AP20" s="18">
        <f>IFERROR(SUMPRODUCT($AR20:AR$26,$AT20:AT$26)-$AR20*SUM($AT20:AT$26),"")</f>
        <v>278850</v>
      </c>
      <c r="AQ20" s="18">
        <f>IFERROR(($AR20*SUM(AS$2:$AS20)-SUMPRODUCT($AR$2:AR20,$AS$2:AS20))+(SUMPRODUCT($AR20:AR$26,$AT20:AT$26)-$AR20*SUM($AT20:AT$26)),"")</f>
        <v>33573350</v>
      </c>
      <c r="AR20" s="18">
        <f t="shared" si="14"/>
        <v>15450</v>
      </c>
      <c r="AS20" s="18">
        <f t="shared" si="10"/>
        <v>496</v>
      </c>
      <c r="AT20" s="18">
        <f t="shared" si="11"/>
        <v>59</v>
      </c>
      <c r="AU20" s="18">
        <f t="shared" si="12"/>
        <v>474</v>
      </c>
      <c r="AV20" s="18">
        <f t="shared" si="13"/>
        <v>5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188</v>
      </c>
      <c r="AE21" s="57">
        <f t="shared" si="1"/>
        <v>12400</v>
      </c>
      <c r="AF21" s="18">
        <f t="shared" si="2"/>
        <v>0</v>
      </c>
      <c r="AG21" s="18">
        <f t="shared" si="3"/>
        <v>0</v>
      </c>
      <c r="AH21" s="18">
        <f t="shared" si="4"/>
        <v>73</v>
      </c>
      <c r="AI21" s="18">
        <f t="shared" si="5"/>
        <v>0</v>
      </c>
      <c r="AJ21" s="18">
        <f t="shared" si="6"/>
        <v>6.4</v>
      </c>
      <c r="AK21" s="18">
        <f t="shared" si="7"/>
        <v>-2</v>
      </c>
      <c r="AL21" s="18">
        <f t="shared" si="8"/>
        <v>2218</v>
      </c>
      <c r="AM21" s="18">
        <f t="shared" si="9"/>
        <v>5</v>
      </c>
      <c r="AO21" s="18">
        <f>IFERROR($AR21*SUM($AS$2:AS21)-SUMPRODUCT($AR$2:AR21,$AS$2:AS21),"")</f>
        <v>37486550</v>
      </c>
      <c r="AP21" s="18">
        <f>IFERROR(SUMPRODUCT($AR21:AR$26,$AT21:AT$26)-$AR21*SUM($AT21:AT$26),"")</f>
        <v>46100</v>
      </c>
      <c r="AQ21" s="18">
        <f>IFERROR(($AR21*SUM(AS$2:$AS21)-SUMPRODUCT($AR$2:AR21,$AS$2:AS21))+(SUMPRODUCT($AR21:AR$26,$AT21:AT$26)-$AR21*SUM($AT21:AT$26)),"")</f>
        <v>37532650</v>
      </c>
      <c r="AR21" s="18">
        <f t="shared" si="14"/>
        <v>15500</v>
      </c>
      <c r="AS21" s="18">
        <f t="shared" si="10"/>
        <v>25188</v>
      </c>
      <c r="AT21" s="18">
        <f t="shared" si="11"/>
        <v>4279</v>
      </c>
      <c r="AU21" s="18">
        <f t="shared" si="12"/>
        <v>9486</v>
      </c>
      <c r="AV21" s="18">
        <f t="shared" si="13"/>
        <v>604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195</v>
      </c>
      <c r="AE22" s="57">
        <f t="shared" si="1"/>
        <v>12450</v>
      </c>
      <c r="AF22" s="18">
        <f t="shared" si="2"/>
        <v>0</v>
      </c>
      <c r="AG22" s="18">
        <f t="shared" si="3"/>
        <v>0</v>
      </c>
      <c r="AH22" s="18">
        <f t="shared" si="4"/>
        <v>1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57</v>
      </c>
      <c r="AM22" s="18">
        <f t="shared" si="9"/>
        <v>0</v>
      </c>
      <c r="AO22" s="18">
        <f>IFERROR($AR22*SUM($AS$2:AS22)-SUMPRODUCT($AR$2:AR22,$AS$2:AS22),"")</f>
        <v>42938000</v>
      </c>
      <c r="AP22" s="18">
        <f>IFERROR(SUMPRODUCT($AR22:AR$26,$AT22:AT$26)-$AR22*SUM($AT22:AT$26),"")</f>
        <v>27300</v>
      </c>
      <c r="AQ22" s="18">
        <f>IFERROR(($AR22*SUM(AS$2:$AS22)-SUMPRODUCT($AR$2:AR22,$AS$2:AS22))+(SUMPRODUCT($AR22:AR$26,$AT22:AT$26)-$AR22*SUM($AT22:AT$26)),"")</f>
        <v>42965300</v>
      </c>
      <c r="AR22" s="18">
        <f t="shared" si="14"/>
        <v>15550</v>
      </c>
      <c r="AS22" s="18">
        <f t="shared" si="10"/>
        <v>692</v>
      </c>
      <c r="AT22" s="18">
        <f t="shared" si="11"/>
        <v>21</v>
      </c>
      <c r="AU22" s="18">
        <f t="shared" si="12"/>
        <v>468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211</v>
      </c>
      <c r="AE23" s="57">
        <f t="shared" si="1"/>
        <v>12500</v>
      </c>
      <c r="AF23" s="18">
        <f t="shared" si="2"/>
        <v>2646.45</v>
      </c>
      <c r="AG23" s="18">
        <f t="shared" si="3"/>
        <v>-36</v>
      </c>
      <c r="AH23" s="18">
        <f t="shared" si="4"/>
        <v>2452</v>
      </c>
      <c r="AI23" s="18">
        <f t="shared" si="5"/>
        <v>49</v>
      </c>
      <c r="AJ23" s="18">
        <f t="shared" si="6"/>
        <v>6.4</v>
      </c>
      <c r="AK23" s="18">
        <f t="shared" si="7"/>
        <v>-32</v>
      </c>
      <c r="AL23" s="18">
        <f t="shared" si="8"/>
        <v>9615</v>
      </c>
      <c r="AM23" s="18">
        <f t="shared" si="9"/>
        <v>807</v>
      </c>
      <c r="AO23" s="18">
        <f>IFERROR($AR23*SUM($AS$2:AS23)-SUMPRODUCT($AR$2:AR23,$AS$2:AS23),"")</f>
        <v>48424050</v>
      </c>
      <c r="AP23" s="18">
        <f>IFERROR(SUMPRODUCT($AR23:AR$26,$AT23:AT$26)-$AR23*SUM($AT23:AT$26),"")</f>
        <v>9550</v>
      </c>
      <c r="AQ23" s="18">
        <f>IFERROR(($AR23*SUM(AS$2:$AS23)-SUMPRODUCT($AR$2:AR23,$AS$2:AS23))+(SUMPRODUCT($AR23:AR$26,$AT23:AT$26)-$AR23*SUM($AT23:AT$26)),"")</f>
        <v>48433600</v>
      </c>
      <c r="AR23" s="18">
        <f t="shared" si="14"/>
        <v>15600</v>
      </c>
      <c r="AS23" s="18">
        <f t="shared" si="10"/>
        <v>6852</v>
      </c>
      <c r="AT23" s="18">
        <f t="shared" si="11"/>
        <v>259</v>
      </c>
      <c r="AU23" s="18">
        <f t="shared" si="12"/>
        <v>5211</v>
      </c>
      <c r="AV23" s="18">
        <f t="shared" si="13"/>
        <v>43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213</v>
      </c>
      <c r="AE24" s="57">
        <f t="shared" si="1"/>
        <v>12550</v>
      </c>
      <c r="AF24" s="18">
        <f t="shared" si="2"/>
        <v>0</v>
      </c>
      <c r="AG24" s="18">
        <f t="shared" si="3"/>
        <v>0</v>
      </c>
      <c r="AH24" s="18">
        <f t="shared" si="4"/>
        <v>1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40</v>
      </c>
      <c r="AM24" s="18">
        <f t="shared" si="9"/>
        <v>0</v>
      </c>
      <c r="AO24" s="18">
        <f>IFERROR($AR24*SUM($AS$2:AS24)-SUMPRODUCT($AR$2:AR24,$AS$2:AS24),"")</f>
        <v>54252700</v>
      </c>
      <c r="AP24" s="18">
        <f>IFERROR(SUMPRODUCT($AR24:AR$26,$AT24:AT$26)-$AR24*SUM($AT24:AT$26),"")</f>
        <v>4750</v>
      </c>
      <c r="AQ24" s="18">
        <f>IFERROR(($AR24*SUM(AS$2:$AS24)-SUMPRODUCT($AR$2:AR24,$AS$2:AS24))+(SUMPRODUCT($AR24:AR$26,$AT24:AT$26)-$AR24*SUM($AT24:AT$26)),"")</f>
        <v>54257450</v>
      </c>
      <c r="AR24" s="18">
        <f t="shared" si="14"/>
        <v>15650</v>
      </c>
      <c r="AS24" s="18">
        <f t="shared" si="10"/>
        <v>291</v>
      </c>
      <c r="AT24" s="18">
        <f t="shared" si="11"/>
        <v>5</v>
      </c>
      <c r="AU24" s="18">
        <f t="shared" si="12"/>
        <v>392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222</v>
      </c>
      <c r="AE25" s="57">
        <f t="shared" si="1"/>
        <v>12600</v>
      </c>
      <c r="AF25" s="18">
        <f t="shared" si="2"/>
        <v>0</v>
      </c>
      <c r="AG25" s="18">
        <f t="shared" si="3"/>
        <v>0</v>
      </c>
      <c r="AH25" s="18">
        <f t="shared" si="4"/>
        <v>259</v>
      </c>
      <c r="AI25" s="18">
        <f t="shared" si="5"/>
        <v>0</v>
      </c>
      <c r="AJ25" s="18">
        <f t="shared" si="6"/>
        <v>7</v>
      </c>
      <c r="AK25" s="18">
        <f t="shared" si="7"/>
        <v>9</v>
      </c>
      <c r="AL25" s="18">
        <f t="shared" si="8"/>
        <v>1616</v>
      </c>
      <c r="AM25" s="18">
        <f t="shared" si="9"/>
        <v>38</v>
      </c>
      <c r="AO25" s="18">
        <f>IFERROR($AR25*SUM($AS$2:AS25)-SUMPRODUCT($AR$2:AR25,$AS$2:AS25),"")</f>
        <v>60095900</v>
      </c>
      <c r="AP25" s="18">
        <f>IFERROR(SUMPRODUCT($AR25:AR$26,$AT25:AT$26)-$AR25*SUM($AT25:AT$26),"")</f>
        <v>200</v>
      </c>
      <c r="AQ25" s="18">
        <f>IFERROR(($AR25*SUM(AS$2:$AS25)-SUMPRODUCT($AR$2:AR25,$AS$2:AS25))+(SUMPRODUCT($AR25:AR$26,$AT25:AT$26)-$AR25*SUM($AT25:AT$26)),"")</f>
        <v>60096100</v>
      </c>
      <c r="AR25" s="18">
        <f t="shared" si="14"/>
        <v>15700</v>
      </c>
      <c r="AS25" s="18">
        <f t="shared" si="10"/>
        <v>6546</v>
      </c>
      <c r="AT25" s="18">
        <f t="shared" si="11"/>
        <v>87</v>
      </c>
      <c r="AU25" s="18">
        <f t="shared" si="12"/>
        <v>3389</v>
      </c>
      <c r="AV25" s="18">
        <f t="shared" si="13"/>
        <v>14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231</v>
      </c>
      <c r="AE26" s="57">
        <f t="shared" si="1"/>
        <v>12650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5.35</v>
      </c>
      <c r="AK26" s="18">
        <f t="shared" si="7"/>
        <v>-1</v>
      </c>
      <c r="AL26" s="18">
        <f t="shared" si="8"/>
        <v>72</v>
      </c>
      <c r="AM26" s="18">
        <f t="shared" si="9"/>
        <v>9</v>
      </c>
      <c r="AO26" s="18">
        <f>IFERROR($AR26*SUM($AS$2:AS26)-SUMPRODUCT($AR$2:AR26,$AS$2:AS26),"")</f>
        <v>66266400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66266400</v>
      </c>
      <c r="AR26" s="18">
        <f t="shared" si="14"/>
        <v>15750</v>
      </c>
      <c r="AS26" s="18">
        <f t="shared" si="10"/>
        <v>431</v>
      </c>
      <c r="AT26" s="18">
        <f t="shared" si="11"/>
        <v>4</v>
      </c>
      <c r="AU26" s="18">
        <f t="shared" si="12"/>
        <v>247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240</v>
      </c>
      <c r="AE27" s="57">
        <f t="shared" si="1"/>
        <v>12700</v>
      </c>
      <c r="AF27" s="18">
        <f t="shared" si="2"/>
        <v>0</v>
      </c>
      <c r="AG27" s="18">
        <f t="shared" si="3"/>
        <v>0</v>
      </c>
      <c r="AH27" s="18">
        <f t="shared" si="4"/>
        <v>106</v>
      </c>
      <c r="AI27" s="18">
        <f t="shared" si="5"/>
        <v>0</v>
      </c>
      <c r="AJ27" s="18">
        <f t="shared" si="6"/>
        <v>6.85</v>
      </c>
      <c r="AK27" s="18">
        <f t="shared" si="7"/>
        <v>-103</v>
      </c>
      <c r="AL27" s="18">
        <f t="shared" si="8"/>
        <v>2342</v>
      </c>
      <c r="AM27" s="18">
        <f t="shared" si="9"/>
        <v>266</v>
      </c>
      <c r="AS27" s="19">
        <f>IFERROR(SUM($AS$2:$AS$26),"")</f>
        <v>123841</v>
      </c>
      <c r="AT27" s="19">
        <f>IFERROR(SUM($AT$2:$AT$26),"")</f>
        <v>82345</v>
      </c>
      <c r="AU27" s="19">
        <f>IFERROR(SUM($AU$2:$AU$26),"")</f>
        <v>60153</v>
      </c>
      <c r="AV27" s="19">
        <f>IFERROR(SUM($AV$2:$AV$26),"")</f>
        <v>47670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259</v>
      </c>
      <c r="AE28" s="57">
        <f t="shared" si="1"/>
        <v>12750</v>
      </c>
      <c r="AF28" s="18">
        <f t="shared" si="2"/>
        <v>0</v>
      </c>
      <c r="AG28" s="18">
        <f t="shared" si="3"/>
        <v>0</v>
      </c>
      <c r="AH28" s="18">
        <f t="shared" si="4"/>
        <v>1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29</v>
      </c>
      <c r="AM28" s="18">
        <f t="shared" si="9"/>
        <v>0</v>
      </c>
      <c r="AS28" s="18" t="s">
        <v>61</v>
      </c>
      <c r="AT28" s="20">
        <f>IFERROR($AT$27/$AS$27,"")</f>
        <v>0.66492518632762976</v>
      </c>
      <c r="AU28" s="18" t="s">
        <v>64</v>
      </c>
      <c r="AV28" s="20">
        <f>IFERROR($AV$27/$AU$27,"")</f>
        <v>0.79247917809585555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260</v>
      </c>
      <c r="AE29" s="57">
        <f t="shared" si="1"/>
        <v>12800</v>
      </c>
      <c r="AF29" s="18">
        <f t="shared" si="2"/>
        <v>0</v>
      </c>
      <c r="AG29" s="18">
        <f t="shared" si="3"/>
        <v>0</v>
      </c>
      <c r="AH29" s="18">
        <f t="shared" si="4"/>
        <v>313</v>
      </c>
      <c r="AI29" s="18">
        <f t="shared" si="5"/>
        <v>0</v>
      </c>
      <c r="AJ29" s="18">
        <f t="shared" si="6"/>
        <v>6.5</v>
      </c>
      <c r="AK29" s="18">
        <f t="shared" si="7"/>
        <v>-387</v>
      </c>
      <c r="AL29" s="18">
        <f t="shared" si="8"/>
        <v>3999</v>
      </c>
      <c r="AM29" s="18">
        <f t="shared" si="9"/>
        <v>777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269</v>
      </c>
      <c r="AE30" s="57">
        <f t="shared" si="1"/>
        <v>12850</v>
      </c>
      <c r="AF30" s="18">
        <f t="shared" si="2"/>
        <v>0</v>
      </c>
      <c r="AG30" s="18">
        <f t="shared" si="3"/>
        <v>0</v>
      </c>
      <c r="AH30" s="18">
        <f t="shared" si="4"/>
        <v>1</v>
      </c>
      <c r="AI30" s="18">
        <f t="shared" si="5"/>
        <v>0</v>
      </c>
      <c r="AJ30" s="18">
        <f t="shared" si="6"/>
        <v>0</v>
      </c>
      <c r="AK30" s="18">
        <f t="shared" si="7"/>
        <v>0</v>
      </c>
      <c r="AL30" s="18">
        <f t="shared" si="8"/>
        <v>67</v>
      </c>
      <c r="AM30" s="18">
        <f t="shared" si="9"/>
        <v>0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278</v>
      </c>
      <c r="AE31" s="57">
        <f t="shared" si="1"/>
        <v>12900</v>
      </c>
      <c r="AF31" s="18">
        <f t="shared" si="2"/>
        <v>2178.0500000000002</v>
      </c>
      <c r="AG31" s="18">
        <f t="shared" si="3"/>
        <v>0</v>
      </c>
      <c r="AH31" s="18">
        <f t="shared" si="4"/>
        <v>145</v>
      </c>
      <c r="AI31" s="18">
        <f t="shared" si="5"/>
        <v>1</v>
      </c>
      <c r="AJ31" s="18">
        <f t="shared" si="6"/>
        <v>6.8</v>
      </c>
      <c r="AK31" s="18">
        <f t="shared" si="7"/>
        <v>59</v>
      </c>
      <c r="AL31" s="18">
        <f t="shared" si="8"/>
        <v>3679</v>
      </c>
      <c r="AM31" s="18">
        <f t="shared" si="9"/>
        <v>157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295</v>
      </c>
      <c r="AE32" s="57">
        <f t="shared" si="1"/>
        <v>12950</v>
      </c>
      <c r="AF32" s="18">
        <f t="shared" si="2"/>
        <v>0</v>
      </c>
      <c r="AG32" s="18">
        <f t="shared" si="3"/>
        <v>0</v>
      </c>
      <c r="AH32" s="18">
        <f t="shared" si="4"/>
        <v>1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241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297</v>
      </c>
      <c r="AE33" s="57">
        <f t="shared" si="1"/>
        <v>13000</v>
      </c>
      <c r="AF33" s="18">
        <f t="shared" si="2"/>
        <v>2148</v>
      </c>
      <c r="AG33" s="18">
        <f t="shared" si="3"/>
        <v>0</v>
      </c>
      <c r="AH33" s="18">
        <f t="shared" si="4"/>
        <v>4191</v>
      </c>
      <c r="AI33" s="18">
        <f t="shared" si="5"/>
        <v>80</v>
      </c>
      <c r="AJ33" s="18">
        <f t="shared" si="6"/>
        <v>7.4</v>
      </c>
      <c r="AK33" s="18">
        <f t="shared" si="7"/>
        <v>286</v>
      </c>
      <c r="AL33" s="18">
        <f t="shared" si="8"/>
        <v>24591</v>
      </c>
      <c r="AM33" s="18">
        <f t="shared" si="9"/>
        <v>2191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311</v>
      </c>
      <c r="AE34" s="57">
        <f t="shared" si="1"/>
        <v>13050</v>
      </c>
      <c r="AF34" s="18">
        <f t="shared" si="2"/>
        <v>0</v>
      </c>
      <c r="AG34" s="18">
        <f t="shared" si="3"/>
        <v>0</v>
      </c>
      <c r="AH34" s="18">
        <f t="shared" si="4"/>
        <v>2</v>
      </c>
      <c r="AI34" s="18">
        <f t="shared" si="5"/>
        <v>0</v>
      </c>
      <c r="AJ34" s="18">
        <f t="shared" si="6"/>
        <v>7.15</v>
      </c>
      <c r="AK34" s="18">
        <f t="shared" si="7"/>
        <v>7</v>
      </c>
      <c r="AL34" s="18">
        <f t="shared" si="8"/>
        <v>348</v>
      </c>
      <c r="AM34" s="18">
        <f t="shared" si="9"/>
        <v>24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320</v>
      </c>
      <c r="AE35" s="57">
        <f t="shared" si="1"/>
        <v>13100</v>
      </c>
      <c r="AF35" s="18">
        <f t="shared" si="2"/>
        <v>0</v>
      </c>
      <c r="AG35" s="18">
        <f t="shared" si="3"/>
        <v>0</v>
      </c>
      <c r="AH35" s="18">
        <f t="shared" si="4"/>
        <v>127</v>
      </c>
      <c r="AI35" s="18">
        <f t="shared" si="5"/>
        <v>0</v>
      </c>
      <c r="AJ35" s="18">
        <f t="shared" si="6"/>
        <v>7.1</v>
      </c>
      <c r="AK35" s="18">
        <f t="shared" si="7"/>
        <v>19</v>
      </c>
      <c r="AL35" s="18">
        <f t="shared" si="8"/>
        <v>6196</v>
      </c>
      <c r="AM35" s="18">
        <f t="shared" si="9"/>
        <v>544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328</v>
      </c>
      <c r="AE36" s="57">
        <f t="shared" si="1"/>
        <v>13150</v>
      </c>
      <c r="AF36" s="18">
        <f t="shared" si="2"/>
        <v>0</v>
      </c>
      <c r="AG36" s="18">
        <f t="shared" si="3"/>
        <v>0</v>
      </c>
      <c r="AH36" s="18">
        <f t="shared" si="4"/>
        <v>3</v>
      </c>
      <c r="AI36" s="18">
        <f t="shared" si="5"/>
        <v>0</v>
      </c>
      <c r="AJ36" s="18">
        <f t="shared" si="6"/>
        <v>7.05</v>
      </c>
      <c r="AK36" s="18">
        <f t="shared" si="7"/>
        <v>2</v>
      </c>
      <c r="AL36" s="18">
        <f t="shared" si="8"/>
        <v>169</v>
      </c>
      <c r="AM36" s="18">
        <f t="shared" si="9"/>
        <v>41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344</v>
      </c>
      <c r="AE37" s="57">
        <f t="shared" si="1"/>
        <v>13200</v>
      </c>
      <c r="AF37" s="18">
        <f t="shared" si="2"/>
        <v>1958</v>
      </c>
      <c r="AG37" s="18">
        <f t="shared" si="3"/>
        <v>0</v>
      </c>
      <c r="AH37" s="18">
        <f t="shared" si="4"/>
        <v>206</v>
      </c>
      <c r="AI37" s="18">
        <f t="shared" si="5"/>
        <v>2</v>
      </c>
      <c r="AJ37" s="18">
        <f t="shared" si="6"/>
        <v>7.45</v>
      </c>
      <c r="AK37" s="18">
        <f t="shared" si="7"/>
        <v>117</v>
      </c>
      <c r="AL37" s="18">
        <f t="shared" si="8"/>
        <v>8176</v>
      </c>
      <c r="AM37" s="18">
        <f t="shared" si="9"/>
        <v>929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351</v>
      </c>
      <c r="AE38" s="57">
        <f t="shared" si="1"/>
        <v>13250</v>
      </c>
      <c r="AF38" s="18">
        <f t="shared" si="2"/>
        <v>0</v>
      </c>
      <c r="AG38" s="18">
        <f t="shared" si="3"/>
        <v>0</v>
      </c>
      <c r="AH38" s="18">
        <f t="shared" si="4"/>
        <v>12</v>
      </c>
      <c r="AI38" s="18">
        <f t="shared" si="5"/>
        <v>0</v>
      </c>
      <c r="AJ38" s="18">
        <f t="shared" si="6"/>
        <v>8.15</v>
      </c>
      <c r="AK38" s="18">
        <f t="shared" si="7"/>
        <v>-4</v>
      </c>
      <c r="AL38" s="18">
        <f t="shared" si="8"/>
        <v>246</v>
      </c>
      <c r="AM38" s="18">
        <f t="shared" si="9"/>
        <v>24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362</v>
      </c>
      <c r="AE39" s="57">
        <f t="shared" si="1"/>
        <v>13300</v>
      </c>
      <c r="AF39" s="18">
        <f t="shared" si="2"/>
        <v>1865.95</v>
      </c>
      <c r="AG39" s="18">
        <f t="shared" si="3"/>
        <v>0</v>
      </c>
      <c r="AH39" s="18">
        <f t="shared" si="4"/>
        <v>576</v>
      </c>
      <c r="AI39" s="18">
        <f t="shared" si="5"/>
        <v>4</v>
      </c>
      <c r="AJ39" s="18">
        <f t="shared" si="6"/>
        <v>8.6</v>
      </c>
      <c r="AK39" s="18">
        <f t="shared" si="7"/>
        <v>-265</v>
      </c>
      <c r="AL39" s="18">
        <f t="shared" si="8"/>
        <v>8025</v>
      </c>
      <c r="AM39" s="18">
        <f t="shared" si="9"/>
        <v>690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364</v>
      </c>
      <c r="AE40" s="57">
        <f t="shared" si="1"/>
        <v>13350</v>
      </c>
      <c r="AF40" s="18">
        <f t="shared" si="2"/>
        <v>0</v>
      </c>
      <c r="AG40" s="18">
        <f t="shared" si="3"/>
        <v>0</v>
      </c>
      <c r="AH40" s="18">
        <f t="shared" si="4"/>
        <v>19</v>
      </c>
      <c r="AI40" s="18">
        <f t="shared" si="5"/>
        <v>0</v>
      </c>
      <c r="AJ40" s="18">
        <f t="shared" si="6"/>
        <v>9</v>
      </c>
      <c r="AK40" s="18">
        <f t="shared" si="7"/>
        <v>7</v>
      </c>
      <c r="AL40" s="18">
        <f t="shared" si="8"/>
        <v>164</v>
      </c>
      <c r="AM40" s="18">
        <f t="shared" si="9"/>
        <v>29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373</v>
      </c>
      <c r="AE41" s="57">
        <f t="shared" si="1"/>
        <v>13400</v>
      </c>
      <c r="AF41" s="18">
        <f t="shared" si="2"/>
        <v>1741.9</v>
      </c>
      <c r="AG41" s="18">
        <f t="shared" si="3"/>
        <v>0</v>
      </c>
      <c r="AH41" s="18">
        <f t="shared" si="4"/>
        <v>572</v>
      </c>
      <c r="AI41" s="18">
        <f t="shared" si="5"/>
        <v>1</v>
      </c>
      <c r="AJ41" s="18">
        <f t="shared" si="6"/>
        <v>10.050000000000001</v>
      </c>
      <c r="AK41" s="18">
        <f t="shared" si="7"/>
        <v>-3</v>
      </c>
      <c r="AL41" s="18">
        <f t="shared" si="8"/>
        <v>13594</v>
      </c>
      <c r="AM41" s="18">
        <f t="shared" si="9"/>
        <v>897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383</v>
      </c>
      <c r="AE42" s="57">
        <f t="shared" si="1"/>
        <v>13450</v>
      </c>
      <c r="AF42" s="18">
        <f t="shared" si="2"/>
        <v>0</v>
      </c>
      <c r="AG42" s="18">
        <f t="shared" si="3"/>
        <v>0</v>
      </c>
      <c r="AH42" s="18">
        <f t="shared" si="4"/>
        <v>72</v>
      </c>
      <c r="AI42" s="18">
        <f t="shared" si="5"/>
        <v>0</v>
      </c>
      <c r="AJ42" s="18">
        <f t="shared" si="6"/>
        <v>10.9</v>
      </c>
      <c r="AK42" s="18">
        <f t="shared" si="7"/>
        <v>10</v>
      </c>
      <c r="AL42" s="18">
        <f t="shared" si="8"/>
        <v>208</v>
      </c>
      <c r="AM42" s="18">
        <f t="shared" si="9"/>
        <v>72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394</v>
      </c>
      <c r="AE43" s="57">
        <f t="shared" si="1"/>
        <v>13500</v>
      </c>
      <c r="AF43" s="18">
        <f t="shared" si="2"/>
        <v>1655</v>
      </c>
      <c r="AG43" s="18">
        <f t="shared" si="3"/>
        <v>-3</v>
      </c>
      <c r="AH43" s="18">
        <f t="shared" si="4"/>
        <v>6504</v>
      </c>
      <c r="AI43" s="18">
        <f t="shared" si="5"/>
        <v>21</v>
      </c>
      <c r="AJ43" s="18">
        <f t="shared" si="6"/>
        <v>11.95</v>
      </c>
      <c r="AK43" s="18">
        <f t="shared" si="7"/>
        <v>324</v>
      </c>
      <c r="AL43" s="18">
        <f t="shared" si="8"/>
        <v>30086</v>
      </c>
      <c r="AM43" s="18">
        <f t="shared" si="9"/>
        <v>1682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408</v>
      </c>
      <c r="AE44" s="57">
        <f t="shared" si="1"/>
        <v>13550</v>
      </c>
      <c r="AF44" s="18">
        <f t="shared" si="2"/>
        <v>0</v>
      </c>
      <c r="AG44" s="18">
        <f t="shared" si="3"/>
        <v>0</v>
      </c>
      <c r="AH44" s="18">
        <f t="shared" si="4"/>
        <v>50</v>
      </c>
      <c r="AI44" s="18">
        <f t="shared" si="5"/>
        <v>0</v>
      </c>
      <c r="AJ44" s="18">
        <f t="shared" si="6"/>
        <v>12.45</v>
      </c>
      <c r="AK44" s="18">
        <f t="shared" si="7"/>
        <v>-9</v>
      </c>
      <c r="AL44" s="18">
        <f t="shared" si="8"/>
        <v>296</v>
      </c>
      <c r="AM44" s="18">
        <f t="shared" si="9"/>
        <v>55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418</v>
      </c>
      <c r="AE45" s="57">
        <f t="shared" si="1"/>
        <v>13600</v>
      </c>
      <c r="AF45" s="18">
        <f t="shared" si="2"/>
        <v>1565.5</v>
      </c>
      <c r="AG45" s="18">
        <f t="shared" si="3"/>
        <v>3</v>
      </c>
      <c r="AH45" s="18">
        <f t="shared" si="4"/>
        <v>783</v>
      </c>
      <c r="AI45" s="18">
        <f t="shared" si="5"/>
        <v>21</v>
      </c>
      <c r="AJ45" s="18">
        <f t="shared" si="6"/>
        <v>13.55</v>
      </c>
      <c r="AK45" s="18">
        <f t="shared" si="7"/>
        <v>158</v>
      </c>
      <c r="AL45" s="18">
        <f t="shared" si="8"/>
        <v>8647</v>
      </c>
      <c r="AM45" s="18">
        <f t="shared" si="9"/>
        <v>1179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428</v>
      </c>
      <c r="AE46" s="57">
        <f t="shared" si="1"/>
        <v>13650</v>
      </c>
      <c r="AF46" s="18">
        <f t="shared" si="2"/>
        <v>0</v>
      </c>
      <c r="AG46" s="18">
        <f t="shared" si="3"/>
        <v>0</v>
      </c>
      <c r="AH46" s="18">
        <f t="shared" si="4"/>
        <v>196</v>
      </c>
      <c r="AI46" s="18">
        <f t="shared" si="5"/>
        <v>0</v>
      </c>
      <c r="AJ46" s="18">
        <f t="shared" si="6"/>
        <v>14.35</v>
      </c>
      <c r="AK46" s="18">
        <f t="shared" si="7"/>
        <v>2</v>
      </c>
      <c r="AL46" s="18">
        <f t="shared" si="8"/>
        <v>196</v>
      </c>
      <c r="AM46" s="18">
        <f t="shared" si="9"/>
        <v>41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438</v>
      </c>
      <c r="AE47" s="57">
        <f t="shared" si="1"/>
        <v>13700</v>
      </c>
      <c r="AF47" s="18">
        <f t="shared" si="2"/>
        <v>1472</v>
      </c>
      <c r="AG47" s="18">
        <f t="shared" si="3"/>
        <v>3</v>
      </c>
      <c r="AH47" s="18">
        <f t="shared" si="4"/>
        <v>1732</v>
      </c>
      <c r="AI47" s="18">
        <f t="shared" si="5"/>
        <v>26</v>
      </c>
      <c r="AJ47" s="18">
        <f t="shared" si="6"/>
        <v>15.85</v>
      </c>
      <c r="AK47" s="18">
        <f t="shared" si="7"/>
        <v>203</v>
      </c>
      <c r="AL47" s="18">
        <f t="shared" si="8"/>
        <v>7291</v>
      </c>
      <c r="AM47" s="18">
        <f t="shared" si="9"/>
        <v>1614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457</v>
      </c>
      <c r="AE48" s="57">
        <f t="shared" si="1"/>
        <v>13750</v>
      </c>
      <c r="AF48" s="18">
        <f t="shared" si="2"/>
        <v>0</v>
      </c>
      <c r="AG48" s="18">
        <f t="shared" si="3"/>
        <v>0</v>
      </c>
      <c r="AH48" s="18">
        <f t="shared" si="4"/>
        <v>218</v>
      </c>
      <c r="AI48" s="18">
        <f t="shared" si="5"/>
        <v>0</v>
      </c>
      <c r="AJ48" s="18">
        <f t="shared" si="6"/>
        <v>16.600000000000001</v>
      </c>
      <c r="AK48" s="18">
        <f t="shared" si="7"/>
        <v>0</v>
      </c>
      <c r="AL48" s="18">
        <f t="shared" si="8"/>
        <v>330</v>
      </c>
      <c r="AM48" s="18">
        <f t="shared" si="9"/>
        <v>54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459</v>
      </c>
      <c r="AE49" s="57">
        <f t="shared" si="1"/>
        <v>13800</v>
      </c>
      <c r="AF49" s="18">
        <f t="shared" si="2"/>
        <v>1370.7</v>
      </c>
      <c r="AG49" s="18">
        <f t="shared" si="3"/>
        <v>7</v>
      </c>
      <c r="AH49" s="18">
        <f t="shared" si="4"/>
        <v>2769</v>
      </c>
      <c r="AI49" s="18">
        <f t="shared" si="5"/>
        <v>20</v>
      </c>
      <c r="AJ49" s="18">
        <f t="shared" si="6"/>
        <v>18.95</v>
      </c>
      <c r="AK49" s="18">
        <f t="shared" si="7"/>
        <v>151</v>
      </c>
      <c r="AL49" s="18">
        <f t="shared" si="8"/>
        <v>10386</v>
      </c>
      <c r="AM49" s="18">
        <f t="shared" si="9"/>
        <v>1742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469</v>
      </c>
      <c r="AE50" s="57">
        <f t="shared" si="1"/>
        <v>13850</v>
      </c>
      <c r="AF50" s="18">
        <f t="shared" si="2"/>
        <v>1310</v>
      </c>
      <c r="AG50" s="18">
        <f t="shared" si="3"/>
        <v>0</v>
      </c>
      <c r="AH50" s="18">
        <f t="shared" si="4"/>
        <v>167</v>
      </c>
      <c r="AI50" s="18">
        <f t="shared" si="5"/>
        <v>5</v>
      </c>
      <c r="AJ50" s="18">
        <f t="shared" si="6"/>
        <v>20.75</v>
      </c>
      <c r="AK50" s="18">
        <f t="shared" si="7"/>
        <v>8</v>
      </c>
      <c r="AL50" s="18">
        <f t="shared" si="8"/>
        <v>555</v>
      </c>
      <c r="AM50" s="18">
        <f t="shared" si="9"/>
        <v>235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479</v>
      </c>
      <c r="AE51" s="57">
        <f t="shared" si="1"/>
        <v>13900</v>
      </c>
      <c r="AF51" s="18">
        <f t="shared" si="2"/>
        <v>1274.45</v>
      </c>
      <c r="AG51" s="18">
        <f t="shared" si="3"/>
        <v>-1</v>
      </c>
      <c r="AH51" s="18">
        <f t="shared" si="4"/>
        <v>8631</v>
      </c>
      <c r="AI51" s="18">
        <f t="shared" si="5"/>
        <v>15</v>
      </c>
      <c r="AJ51" s="18">
        <f t="shared" si="6"/>
        <v>21.75</v>
      </c>
      <c r="AK51" s="18">
        <f t="shared" si="7"/>
        <v>358</v>
      </c>
      <c r="AL51" s="18">
        <f t="shared" si="8"/>
        <v>10726</v>
      </c>
      <c r="AM51" s="18">
        <f t="shared" si="9"/>
        <v>1992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488</v>
      </c>
      <c r="AE52" s="57">
        <f t="shared" si="1"/>
        <v>13950</v>
      </c>
      <c r="AF52" s="18">
        <f t="shared" si="2"/>
        <v>1190</v>
      </c>
      <c r="AG52" s="18">
        <f t="shared" si="3"/>
        <v>0</v>
      </c>
      <c r="AH52" s="18">
        <f t="shared" si="4"/>
        <v>217</v>
      </c>
      <c r="AI52" s="18">
        <f t="shared" si="5"/>
        <v>3</v>
      </c>
      <c r="AJ52" s="18">
        <f t="shared" si="6"/>
        <v>24.05</v>
      </c>
      <c r="AK52" s="18">
        <f t="shared" si="7"/>
        <v>-20</v>
      </c>
      <c r="AL52" s="18">
        <f t="shared" si="8"/>
        <v>352</v>
      </c>
      <c r="AM52" s="18">
        <f t="shared" si="9"/>
        <v>165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498</v>
      </c>
      <c r="AE53" s="57">
        <f t="shared" si="1"/>
        <v>14000</v>
      </c>
      <c r="AF53" s="18">
        <f t="shared" si="2"/>
        <v>1161</v>
      </c>
      <c r="AG53" s="18">
        <f t="shared" si="3"/>
        <v>-14</v>
      </c>
      <c r="AH53" s="18">
        <f t="shared" si="4"/>
        <v>9988</v>
      </c>
      <c r="AI53" s="18">
        <f t="shared" si="5"/>
        <v>132</v>
      </c>
      <c r="AJ53" s="18">
        <f t="shared" si="6"/>
        <v>26.65</v>
      </c>
      <c r="AK53" s="18">
        <f t="shared" si="7"/>
        <v>344</v>
      </c>
      <c r="AL53" s="18">
        <f t="shared" si="8"/>
        <v>39072</v>
      </c>
      <c r="AM53" s="18">
        <f t="shared" si="9"/>
        <v>6165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523</v>
      </c>
      <c r="AE54" s="57">
        <f t="shared" si="1"/>
        <v>14050</v>
      </c>
      <c r="AF54" s="18">
        <f t="shared" si="2"/>
        <v>0</v>
      </c>
      <c r="AG54" s="18">
        <f t="shared" si="3"/>
        <v>0</v>
      </c>
      <c r="AH54" s="18">
        <f t="shared" si="4"/>
        <v>178</v>
      </c>
      <c r="AI54" s="18">
        <f t="shared" si="5"/>
        <v>0</v>
      </c>
      <c r="AJ54" s="18">
        <f t="shared" si="6"/>
        <v>29.25</v>
      </c>
      <c r="AK54" s="18">
        <f t="shared" si="7"/>
        <v>4</v>
      </c>
      <c r="AL54" s="18">
        <f t="shared" si="8"/>
        <v>566</v>
      </c>
      <c r="AM54" s="18">
        <f t="shared" si="9"/>
        <v>218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524</v>
      </c>
      <c r="AE55" s="57">
        <f t="shared" si="1"/>
        <v>14100</v>
      </c>
      <c r="AF55" s="18">
        <f t="shared" si="2"/>
        <v>1075</v>
      </c>
      <c r="AG55" s="18">
        <f t="shared" si="3"/>
        <v>0</v>
      </c>
      <c r="AH55" s="18">
        <f t="shared" si="4"/>
        <v>5318</v>
      </c>
      <c r="AI55" s="18">
        <f t="shared" si="5"/>
        <v>11</v>
      </c>
      <c r="AJ55" s="18">
        <f t="shared" si="6"/>
        <v>32.299999999999997</v>
      </c>
      <c r="AK55" s="18">
        <f t="shared" si="7"/>
        <v>-113</v>
      </c>
      <c r="AL55" s="18">
        <f t="shared" si="8"/>
        <v>8648</v>
      </c>
      <c r="AM55" s="18">
        <f t="shared" si="9"/>
        <v>2867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535</v>
      </c>
      <c r="AE56" s="57">
        <f t="shared" si="1"/>
        <v>14150</v>
      </c>
      <c r="AF56" s="18">
        <f t="shared" si="2"/>
        <v>0</v>
      </c>
      <c r="AG56" s="18">
        <f t="shared" si="3"/>
        <v>0</v>
      </c>
      <c r="AH56" s="18">
        <f t="shared" si="4"/>
        <v>275</v>
      </c>
      <c r="AI56" s="18">
        <f t="shared" si="5"/>
        <v>0</v>
      </c>
      <c r="AJ56" s="18">
        <f t="shared" si="6"/>
        <v>34.4</v>
      </c>
      <c r="AK56" s="18">
        <f t="shared" si="7"/>
        <v>-4</v>
      </c>
      <c r="AL56" s="18">
        <f t="shared" si="8"/>
        <v>508</v>
      </c>
      <c r="AM56" s="18">
        <f t="shared" si="9"/>
        <v>134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545</v>
      </c>
      <c r="AE57" s="57">
        <f t="shared" si="1"/>
        <v>14200</v>
      </c>
      <c r="AF57" s="18">
        <f t="shared" si="2"/>
        <v>979.25</v>
      </c>
      <c r="AG57" s="18">
        <f t="shared" si="3"/>
        <v>-5</v>
      </c>
      <c r="AH57" s="18">
        <f t="shared" si="4"/>
        <v>6421</v>
      </c>
      <c r="AI57" s="18">
        <f t="shared" si="5"/>
        <v>79</v>
      </c>
      <c r="AJ57" s="18">
        <f t="shared" si="6"/>
        <v>37.9</v>
      </c>
      <c r="AK57" s="18">
        <f t="shared" si="7"/>
        <v>166</v>
      </c>
      <c r="AL57" s="18">
        <f t="shared" si="8"/>
        <v>18909</v>
      </c>
      <c r="AM57" s="18">
        <f t="shared" si="9"/>
        <v>3332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555</v>
      </c>
      <c r="AE58" s="57">
        <f t="shared" si="1"/>
        <v>14250</v>
      </c>
      <c r="AF58" s="18">
        <f t="shared" si="2"/>
        <v>905.7</v>
      </c>
      <c r="AG58" s="18">
        <f t="shared" si="3"/>
        <v>-3</v>
      </c>
      <c r="AH58" s="18">
        <f t="shared" si="4"/>
        <v>233</v>
      </c>
      <c r="AI58" s="18">
        <f t="shared" si="5"/>
        <v>3</v>
      </c>
      <c r="AJ58" s="18">
        <f t="shared" si="6"/>
        <v>41.55</v>
      </c>
      <c r="AK58" s="18">
        <f t="shared" si="7"/>
        <v>-52</v>
      </c>
      <c r="AL58" s="18">
        <f t="shared" si="8"/>
        <v>566</v>
      </c>
      <c r="AM58" s="18">
        <f t="shared" si="9"/>
        <v>416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574</v>
      </c>
      <c r="AE59" s="57">
        <f t="shared" si="1"/>
        <v>14300</v>
      </c>
      <c r="AF59" s="18">
        <f t="shared" si="2"/>
        <v>895.55</v>
      </c>
      <c r="AG59" s="18">
        <f t="shared" si="3"/>
        <v>-10</v>
      </c>
      <c r="AH59" s="18">
        <f t="shared" si="4"/>
        <v>4595</v>
      </c>
      <c r="AI59" s="18">
        <f t="shared" si="5"/>
        <v>40</v>
      </c>
      <c r="AJ59" s="18">
        <f t="shared" si="6"/>
        <v>45.5</v>
      </c>
      <c r="AK59" s="18">
        <f t="shared" si="7"/>
        <v>40</v>
      </c>
      <c r="AL59" s="18">
        <f t="shared" si="8"/>
        <v>9678</v>
      </c>
      <c r="AM59" s="18">
        <f t="shared" si="9"/>
        <v>2063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576</v>
      </c>
      <c r="AE60" s="57">
        <f t="shared" si="1"/>
        <v>14350</v>
      </c>
      <c r="AF60" s="18">
        <f t="shared" si="2"/>
        <v>862.7</v>
      </c>
      <c r="AG60" s="18">
        <f t="shared" si="3"/>
        <v>-1</v>
      </c>
      <c r="AH60" s="18">
        <f t="shared" si="4"/>
        <v>227</v>
      </c>
      <c r="AI60" s="18">
        <f t="shared" si="5"/>
        <v>2</v>
      </c>
      <c r="AJ60" s="18">
        <f t="shared" si="6"/>
        <v>50.25</v>
      </c>
      <c r="AK60" s="18">
        <f t="shared" si="7"/>
        <v>9</v>
      </c>
      <c r="AL60" s="18">
        <f t="shared" si="8"/>
        <v>237</v>
      </c>
      <c r="AM60" s="18">
        <f t="shared" si="9"/>
        <v>74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586</v>
      </c>
      <c r="AE61" s="57">
        <f t="shared" si="1"/>
        <v>14400</v>
      </c>
      <c r="AF61" s="18">
        <f t="shared" si="2"/>
        <v>791.25</v>
      </c>
      <c r="AG61" s="18">
        <f t="shared" si="3"/>
        <v>0</v>
      </c>
      <c r="AH61" s="18">
        <f t="shared" si="4"/>
        <v>3705</v>
      </c>
      <c r="AI61" s="18">
        <f t="shared" si="5"/>
        <v>35</v>
      </c>
      <c r="AJ61" s="18">
        <f t="shared" si="6"/>
        <v>54.6</v>
      </c>
      <c r="AK61" s="18">
        <f t="shared" si="7"/>
        <v>-107</v>
      </c>
      <c r="AL61" s="18">
        <f t="shared" si="8"/>
        <v>8300</v>
      </c>
      <c r="AM61" s="18">
        <f t="shared" si="9"/>
        <v>2653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596</v>
      </c>
      <c r="AE62" s="57">
        <f t="shared" si="1"/>
        <v>14450</v>
      </c>
      <c r="AF62" s="18">
        <f t="shared" si="2"/>
        <v>755</v>
      </c>
      <c r="AG62" s="18">
        <f t="shared" si="3"/>
        <v>0</v>
      </c>
      <c r="AH62" s="18">
        <f t="shared" si="4"/>
        <v>253</v>
      </c>
      <c r="AI62" s="18">
        <f t="shared" si="5"/>
        <v>2</v>
      </c>
      <c r="AJ62" s="18">
        <f t="shared" si="6"/>
        <v>58.7</v>
      </c>
      <c r="AK62" s="18">
        <f t="shared" si="7"/>
        <v>54</v>
      </c>
      <c r="AL62" s="18">
        <f t="shared" si="8"/>
        <v>763</v>
      </c>
      <c r="AM62" s="18">
        <f t="shared" si="9"/>
        <v>373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607</v>
      </c>
      <c r="AE63" s="57">
        <f t="shared" si="1"/>
        <v>14500</v>
      </c>
      <c r="AF63" s="18">
        <f t="shared" si="2"/>
        <v>702</v>
      </c>
      <c r="AG63" s="18">
        <f t="shared" si="3"/>
        <v>-60</v>
      </c>
      <c r="AH63" s="18">
        <f t="shared" si="4"/>
        <v>10411</v>
      </c>
      <c r="AI63" s="18">
        <f t="shared" si="5"/>
        <v>391</v>
      </c>
      <c r="AJ63" s="18">
        <f t="shared" si="6"/>
        <v>66.25</v>
      </c>
      <c r="AK63" s="18">
        <f t="shared" si="7"/>
        <v>833</v>
      </c>
      <c r="AL63" s="18">
        <f t="shared" si="8"/>
        <v>24712</v>
      </c>
      <c r="AM63" s="18">
        <f t="shared" si="9"/>
        <v>7479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628</v>
      </c>
      <c r="AE64" s="57">
        <f t="shared" si="1"/>
        <v>14550</v>
      </c>
      <c r="AF64" s="18">
        <f t="shared" si="2"/>
        <v>0</v>
      </c>
      <c r="AG64" s="18">
        <f t="shared" si="3"/>
        <v>0</v>
      </c>
      <c r="AH64" s="18">
        <f t="shared" si="4"/>
        <v>263</v>
      </c>
      <c r="AI64" s="18">
        <f t="shared" si="5"/>
        <v>0</v>
      </c>
      <c r="AJ64" s="18">
        <f t="shared" si="6"/>
        <v>73.45</v>
      </c>
      <c r="AK64" s="18">
        <f t="shared" si="7"/>
        <v>17</v>
      </c>
      <c r="AL64" s="18">
        <f t="shared" si="8"/>
        <v>689</v>
      </c>
      <c r="AM64" s="18">
        <f t="shared" si="9"/>
        <v>290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630</v>
      </c>
      <c r="AE65" s="57">
        <f t="shared" si="1"/>
        <v>14600</v>
      </c>
      <c r="AF65" s="18">
        <f t="shared" si="2"/>
        <v>635.25</v>
      </c>
      <c r="AG65" s="18">
        <f t="shared" si="3"/>
        <v>-18</v>
      </c>
      <c r="AH65" s="18">
        <f t="shared" si="4"/>
        <v>4504</v>
      </c>
      <c r="AI65" s="18">
        <f t="shared" si="5"/>
        <v>61</v>
      </c>
      <c r="AJ65" s="18">
        <f t="shared" si="6"/>
        <v>81.150000000000006</v>
      </c>
      <c r="AK65" s="18">
        <f t="shared" si="7"/>
        <v>379</v>
      </c>
      <c r="AL65" s="18">
        <f t="shared" si="8"/>
        <v>9666</v>
      </c>
      <c r="AM65" s="18">
        <f t="shared" si="9"/>
        <v>3269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639</v>
      </c>
      <c r="AE66" s="57">
        <f t="shared" si="1"/>
        <v>14650</v>
      </c>
      <c r="AF66" s="18">
        <f t="shared" si="2"/>
        <v>550</v>
      </c>
      <c r="AG66" s="18">
        <f t="shared" si="3"/>
        <v>0</v>
      </c>
      <c r="AH66" s="18">
        <f t="shared" si="4"/>
        <v>274</v>
      </c>
      <c r="AI66" s="18">
        <f t="shared" si="5"/>
        <v>1</v>
      </c>
      <c r="AJ66" s="18">
        <f t="shared" si="6"/>
        <v>89.35</v>
      </c>
      <c r="AK66" s="18">
        <f t="shared" si="7"/>
        <v>5</v>
      </c>
      <c r="AL66" s="18">
        <f t="shared" si="8"/>
        <v>415</v>
      </c>
      <c r="AM66" s="18">
        <f t="shared" si="9"/>
        <v>196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654</v>
      </c>
      <c r="AE67" s="57">
        <f t="shared" ref="AE67:AE130" si="15">IFERROR(VLOOKUP(AD67,$A$2:$AA$2000,2,0),"")</f>
        <v>14700</v>
      </c>
      <c r="AF67" s="18">
        <f t="shared" ref="AF67:AF130" si="16">IFERROR(VLOOKUP(AD67,$A$2:$AA$2000,22,0),"")</f>
        <v>536.04999999999995</v>
      </c>
      <c r="AG67" s="18">
        <f t="shared" ref="AG67:AG130" si="17">IFERROR(VLOOKUP(AD67,$A$2:$AA$2000,18,0),"")</f>
        <v>-73</v>
      </c>
      <c r="AH67" s="18">
        <f t="shared" ref="AH67:AH130" si="18">IFERROR(VLOOKUP(AD67,$A$2:$AA$2000,17,0),"")</f>
        <v>5591</v>
      </c>
      <c r="AI67" s="18">
        <f t="shared" ref="AI67:AI130" si="19">IFERROR(VLOOKUP(AD67,$A$2:$AA$2000,20,0),"")</f>
        <v>187</v>
      </c>
      <c r="AJ67" s="18">
        <f t="shared" ref="AJ67:AJ130" si="20">IFERROR(VLOOKUP(AD67,$A$2:$AA$2000,9,0),"")</f>
        <v>98.55</v>
      </c>
      <c r="AK67" s="18">
        <f t="shared" ref="AK67:AK130" si="21">IFERROR(VLOOKUP(AD67,$A$2:$AA$2000,5,0),"")</f>
        <v>-29</v>
      </c>
      <c r="AL67" s="18">
        <f t="shared" ref="AL67:AL130" si="22">IFERROR(VLOOKUP(AD67,$A$2:$AA$2000,4,0),"")</f>
        <v>8672</v>
      </c>
      <c r="AM67" s="18">
        <f t="shared" ref="AM67:AM130" si="23">IFERROR(VLOOKUP(AD67,$A$2:$AA$2000,7,0),"")</f>
        <v>3364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659</v>
      </c>
      <c r="AE68" s="57">
        <f t="shared" si="15"/>
        <v>14750</v>
      </c>
      <c r="AF68" s="18">
        <f t="shared" si="16"/>
        <v>498.35</v>
      </c>
      <c r="AG68" s="18">
        <f t="shared" si="17"/>
        <v>0</v>
      </c>
      <c r="AH68" s="18">
        <f t="shared" si="18"/>
        <v>450</v>
      </c>
      <c r="AI68" s="18">
        <f t="shared" si="19"/>
        <v>8</v>
      </c>
      <c r="AJ68" s="18">
        <f t="shared" si="20"/>
        <v>108.85</v>
      </c>
      <c r="AK68" s="18">
        <f t="shared" si="21"/>
        <v>11</v>
      </c>
      <c r="AL68" s="18">
        <f t="shared" si="22"/>
        <v>792</v>
      </c>
      <c r="AM68" s="18">
        <f t="shared" si="23"/>
        <v>177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669</v>
      </c>
      <c r="AE69" s="57">
        <f t="shared" si="15"/>
        <v>14800</v>
      </c>
      <c r="AF69" s="18">
        <f t="shared" si="16"/>
        <v>452.4</v>
      </c>
      <c r="AG69" s="18">
        <f t="shared" si="17"/>
        <v>-83</v>
      </c>
      <c r="AH69" s="18">
        <f t="shared" si="18"/>
        <v>7540</v>
      </c>
      <c r="AI69" s="18">
        <f t="shared" si="19"/>
        <v>596</v>
      </c>
      <c r="AJ69" s="18">
        <f t="shared" si="20"/>
        <v>119.8</v>
      </c>
      <c r="AK69" s="18">
        <f t="shared" si="21"/>
        <v>377</v>
      </c>
      <c r="AL69" s="18">
        <f t="shared" si="22"/>
        <v>12662</v>
      </c>
      <c r="AM69" s="18">
        <f t="shared" si="23"/>
        <v>4655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679</v>
      </c>
      <c r="AE70" s="57">
        <f t="shared" si="15"/>
        <v>14850</v>
      </c>
      <c r="AF70" s="18">
        <f t="shared" si="16"/>
        <v>415</v>
      </c>
      <c r="AG70" s="18">
        <f t="shared" si="17"/>
        <v>1</v>
      </c>
      <c r="AH70" s="18">
        <f t="shared" si="18"/>
        <v>286</v>
      </c>
      <c r="AI70" s="18">
        <f t="shared" si="19"/>
        <v>32</v>
      </c>
      <c r="AJ70" s="18">
        <f t="shared" si="20"/>
        <v>132.30000000000001</v>
      </c>
      <c r="AK70" s="18">
        <f t="shared" si="21"/>
        <v>102</v>
      </c>
      <c r="AL70" s="18">
        <f t="shared" si="22"/>
        <v>605</v>
      </c>
      <c r="AM70" s="18">
        <f t="shared" si="23"/>
        <v>364</v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689</v>
      </c>
      <c r="AE71" s="57">
        <f t="shared" si="15"/>
        <v>14900</v>
      </c>
      <c r="AF71" s="18">
        <f t="shared" si="16"/>
        <v>376.95</v>
      </c>
      <c r="AG71" s="18">
        <f t="shared" si="17"/>
        <v>47</v>
      </c>
      <c r="AH71" s="18">
        <f t="shared" si="18"/>
        <v>5624</v>
      </c>
      <c r="AI71" s="18">
        <f t="shared" si="19"/>
        <v>904</v>
      </c>
      <c r="AJ71" s="18">
        <f t="shared" si="20"/>
        <v>146</v>
      </c>
      <c r="AK71" s="18">
        <f t="shared" si="21"/>
        <v>702</v>
      </c>
      <c r="AL71" s="18">
        <f t="shared" si="22"/>
        <v>8872</v>
      </c>
      <c r="AM71" s="18">
        <f t="shared" si="23"/>
        <v>4816</v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699</v>
      </c>
      <c r="AE72" s="57">
        <f t="shared" si="15"/>
        <v>14950</v>
      </c>
      <c r="AF72" s="18">
        <f t="shared" si="16"/>
        <v>345</v>
      </c>
      <c r="AG72" s="18">
        <f t="shared" si="17"/>
        <v>0</v>
      </c>
      <c r="AH72" s="18">
        <f t="shared" si="18"/>
        <v>275</v>
      </c>
      <c r="AI72" s="18">
        <f t="shared" si="19"/>
        <v>79</v>
      </c>
      <c r="AJ72" s="18">
        <f t="shared" si="20"/>
        <v>161.1</v>
      </c>
      <c r="AK72" s="18">
        <f t="shared" si="21"/>
        <v>248</v>
      </c>
      <c r="AL72" s="18">
        <f t="shared" si="22"/>
        <v>748</v>
      </c>
      <c r="AM72" s="18">
        <f t="shared" si="23"/>
        <v>1049</v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716</v>
      </c>
      <c r="AE73" s="57">
        <f t="shared" si="15"/>
        <v>15000</v>
      </c>
      <c r="AF73" s="18">
        <f t="shared" si="16"/>
        <v>309</v>
      </c>
      <c r="AG73" s="18">
        <f t="shared" si="17"/>
        <v>-299</v>
      </c>
      <c r="AH73" s="18">
        <f t="shared" si="18"/>
        <v>16085</v>
      </c>
      <c r="AI73" s="18">
        <f t="shared" si="19"/>
        <v>7077</v>
      </c>
      <c r="AJ73" s="18">
        <f t="shared" si="20"/>
        <v>177.5</v>
      </c>
      <c r="AK73" s="18">
        <f t="shared" si="21"/>
        <v>1267</v>
      </c>
      <c r="AL73" s="18">
        <f t="shared" si="22"/>
        <v>20346</v>
      </c>
      <c r="AM73" s="18">
        <f t="shared" si="23"/>
        <v>13908</v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725</v>
      </c>
      <c r="AE74" s="57">
        <f t="shared" si="15"/>
        <v>15050</v>
      </c>
      <c r="AF74" s="18">
        <f t="shared" si="16"/>
        <v>280.39999999999998</v>
      </c>
      <c r="AG74" s="18">
        <f t="shared" si="17"/>
        <v>-4</v>
      </c>
      <c r="AH74" s="18">
        <f t="shared" si="18"/>
        <v>302</v>
      </c>
      <c r="AI74" s="18">
        <f t="shared" si="19"/>
        <v>257</v>
      </c>
      <c r="AJ74" s="18">
        <f t="shared" si="20"/>
        <v>190.9</v>
      </c>
      <c r="AK74" s="18">
        <f t="shared" si="21"/>
        <v>6</v>
      </c>
      <c r="AL74" s="18">
        <f t="shared" si="22"/>
        <v>314</v>
      </c>
      <c r="AM74" s="18">
        <f t="shared" si="23"/>
        <v>653</v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743</v>
      </c>
      <c r="AE75" s="57">
        <f t="shared" si="15"/>
        <v>15100</v>
      </c>
      <c r="AF75" s="18">
        <f t="shared" si="16"/>
        <v>246.55</v>
      </c>
      <c r="AG75" s="18">
        <f t="shared" si="17"/>
        <v>449</v>
      </c>
      <c r="AH75" s="18">
        <f t="shared" si="18"/>
        <v>8375</v>
      </c>
      <c r="AI75" s="18">
        <f t="shared" si="19"/>
        <v>8103</v>
      </c>
      <c r="AJ75" s="18">
        <f t="shared" si="20"/>
        <v>215</v>
      </c>
      <c r="AK75" s="18">
        <f t="shared" si="21"/>
        <v>638</v>
      </c>
      <c r="AL75" s="18">
        <f t="shared" si="22"/>
        <v>5830</v>
      </c>
      <c r="AM75" s="18">
        <f t="shared" si="23"/>
        <v>7207</v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745</v>
      </c>
      <c r="AE76" s="57">
        <f t="shared" si="15"/>
        <v>15150</v>
      </c>
      <c r="AF76" s="18">
        <f t="shared" si="16"/>
        <v>218.4</v>
      </c>
      <c r="AG76" s="18">
        <f t="shared" si="17"/>
        <v>-102</v>
      </c>
      <c r="AH76" s="18">
        <f t="shared" si="18"/>
        <v>986</v>
      </c>
      <c r="AI76" s="18">
        <f t="shared" si="19"/>
        <v>1426</v>
      </c>
      <c r="AJ76" s="18">
        <f t="shared" si="20"/>
        <v>235</v>
      </c>
      <c r="AK76" s="18">
        <f t="shared" si="21"/>
        <v>92</v>
      </c>
      <c r="AL76" s="18">
        <f t="shared" si="22"/>
        <v>521</v>
      </c>
      <c r="AM76" s="18">
        <f t="shared" si="23"/>
        <v>956</v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754</v>
      </c>
      <c r="AE77" s="57">
        <f t="shared" si="15"/>
        <v>15200</v>
      </c>
      <c r="AF77" s="18">
        <f t="shared" si="16"/>
        <v>191.4</v>
      </c>
      <c r="AG77" s="18">
        <f t="shared" si="17"/>
        <v>401</v>
      </c>
      <c r="AH77" s="18">
        <f t="shared" si="18"/>
        <v>14355</v>
      </c>
      <c r="AI77" s="18">
        <f t="shared" si="19"/>
        <v>8581</v>
      </c>
      <c r="AJ77" s="18">
        <f t="shared" si="20"/>
        <v>259</v>
      </c>
      <c r="AK77" s="18">
        <f t="shared" si="21"/>
        <v>299</v>
      </c>
      <c r="AL77" s="18">
        <f t="shared" si="22"/>
        <v>5035</v>
      </c>
      <c r="AM77" s="18">
        <f t="shared" si="23"/>
        <v>4535</v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764</v>
      </c>
      <c r="AE78" s="57">
        <f t="shared" si="15"/>
        <v>15250</v>
      </c>
      <c r="AF78" s="18">
        <f t="shared" si="16"/>
        <v>168</v>
      </c>
      <c r="AG78" s="18">
        <f t="shared" si="17"/>
        <v>-21</v>
      </c>
      <c r="AH78" s="18">
        <f t="shared" si="18"/>
        <v>809</v>
      </c>
      <c r="AI78" s="18">
        <f t="shared" si="19"/>
        <v>720</v>
      </c>
      <c r="AJ78" s="18">
        <f t="shared" si="20"/>
        <v>279.14999999999998</v>
      </c>
      <c r="AK78" s="18">
        <f t="shared" si="21"/>
        <v>-24</v>
      </c>
      <c r="AL78" s="18">
        <f t="shared" si="22"/>
        <v>189</v>
      </c>
      <c r="AM78" s="18">
        <f t="shared" si="23"/>
        <v>214</v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778</v>
      </c>
      <c r="AE79" s="57">
        <f t="shared" si="15"/>
        <v>15300</v>
      </c>
      <c r="AF79" s="18">
        <f t="shared" si="16"/>
        <v>144.15</v>
      </c>
      <c r="AG79" s="18">
        <f t="shared" si="17"/>
        <v>297</v>
      </c>
      <c r="AH79" s="18">
        <f t="shared" si="18"/>
        <v>9553</v>
      </c>
      <c r="AI79" s="18">
        <f t="shared" si="19"/>
        <v>5645</v>
      </c>
      <c r="AJ79" s="18">
        <f t="shared" si="20"/>
        <v>311.7</v>
      </c>
      <c r="AK79" s="18">
        <f t="shared" si="21"/>
        <v>90</v>
      </c>
      <c r="AL79" s="18">
        <f t="shared" si="22"/>
        <v>1230</v>
      </c>
      <c r="AM79" s="18">
        <f t="shared" si="23"/>
        <v>1031</v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785</v>
      </c>
      <c r="AE80" s="57">
        <f t="shared" si="15"/>
        <v>15350</v>
      </c>
      <c r="AF80" s="18">
        <f t="shared" si="16"/>
        <v>125</v>
      </c>
      <c r="AG80" s="18">
        <f t="shared" si="17"/>
        <v>49</v>
      </c>
      <c r="AH80" s="18">
        <f t="shared" si="18"/>
        <v>508</v>
      </c>
      <c r="AI80" s="18">
        <f t="shared" si="19"/>
        <v>367</v>
      </c>
      <c r="AJ80" s="18">
        <f t="shared" si="20"/>
        <v>363</v>
      </c>
      <c r="AK80" s="18">
        <f t="shared" si="21"/>
        <v>3</v>
      </c>
      <c r="AL80" s="18">
        <f t="shared" si="22"/>
        <v>103</v>
      </c>
      <c r="AM80" s="18">
        <f t="shared" si="23"/>
        <v>10</v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795</v>
      </c>
      <c r="AE81" s="57">
        <f t="shared" si="15"/>
        <v>15400</v>
      </c>
      <c r="AF81" s="18">
        <f t="shared" si="16"/>
        <v>105.1</v>
      </c>
      <c r="AG81" s="18">
        <f t="shared" si="17"/>
        <v>-15</v>
      </c>
      <c r="AH81" s="18">
        <f t="shared" si="18"/>
        <v>7565</v>
      </c>
      <c r="AI81" s="18">
        <f t="shared" si="19"/>
        <v>6442</v>
      </c>
      <c r="AJ81" s="18">
        <f t="shared" si="20"/>
        <v>372.65</v>
      </c>
      <c r="AK81" s="18">
        <f t="shared" si="21"/>
        <v>-2</v>
      </c>
      <c r="AL81" s="18">
        <f t="shared" si="22"/>
        <v>942</v>
      </c>
      <c r="AM81" s="18">
        <f t="shared" si="23"/>
        <v>310</v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813</v>
      </c>
      <c r="AE82" s="57">
        <f t="shared" si="15"/>
        <v>15450</v>
      </c>
      <c r="AF82" s="18">
        <f t="shared" si="16"/>
        <v>91.85</v>
      </c>
      <c r="AG82" s="18">
        <f t="shared" si="17"/>
        <v>72</v>
      </c>
      <c r="AH82" s="18">
        <f t="shared" si="18"/>
        <v>496</v>
      </c>
      <c r="AI82" s="18">
        <f t="shared" si="19"/>
        <v>474</v>
      </c>
      <c r="AJ82" s="18">
        <f t="shared" si="20"/>
        <v>393</v>
      </c>
      <c r="AK82" s="18">
        <f t="shared" si="21"/>
        <v>4</v>
      </c>
      <c r="AL82" s="18">
        <f t="shared" si="22"/>
        <v>59</v>
      </c>
      <c r="AM82" s="18">
        <f t="shared" si="23"/>
        <v>5</v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>815</v>
      </c>
      <c r="AE83" s="57">
        <f t="shared" si="15"/>
        <v>15500</v>
      </c>
      <c r="AF83" s="18">
        <f t="shared" si="16"/>
        <v>76.2</v>
      </c>
      <c r="AG83" s="18">
        <f t="shared" si="17"/>
        <v>-355</v>
      </c>
      <c r="AH83" s="18">
        <f t="shared" si="18"/>
        <v>25188</v>
      </c>
      <c r="AI83" s="18">
        <f t="shared" si="19"/>
        <v>9486</v>
      </c>
      <c r="AJ83" s="18">
        <f t="shared" si="20"/>
        <v>441</v>
      </c>
      <c r="AK83" s="18">
        <f t="shared" si="21"/>
        <v>69</v>
      </c>
      <c r="AL83" s="18">
        <f t="shared" si="22"/>
        <v>4279</v>
      </c>
      <c r="AM83" s="18">
        <f t="shared" si="23"/>
        <v>604</v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>828</v>
      </c>
      <c r="AE84" s="57">
        <f t="shared" si="15"/>
        <v>15550</v>
      </c>
      <c r="AF84" s="18">
        <f t="shared" si="16"/>
        <v>63.45</v>
      </c>
      <c r="AG84" s="18">
        <f t="shared" si="17"/>
        <v>69</v>
      </c>
      <c r="AH84" s="18">
        <f t="shared" si="18"/>
        <v>692</v>
      </c>
      <c r="AI84" s="18">
        <f t="shared" si="19"/>
        <v>468</v>
      </c>
      <c r="AJ84" s="18">
        <f t="shared" si="20"/>
        <v>0</v>
      </c>
      <c r="AK84" s="18">
        <f t="shared" si="21"/>
        <v>0</v>
      </c>
      <c r="AL84" s="18">
        <f t="shared" si="22"/>
        <v>21</v>
      </c>
      <c r="AM84" s="18">
        <f t="shared" si="23"/>
        <v>0</v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>839</v>
      </c>
      <c r="AE85" s="57">
        <f t="shared" si="15"/>
        <v>15600</v>
      </c>
      <c r="AF85" s="18">
        <f t="shared" si="16"/>
        <v>53</v>
      </c>
      <c r="AG85" s="18">
        <f t="shared" si="17"/>
        <v>277</v>
      </c>
      <c r="AH85" s="18">
        <f t="shared" si="18"/>
        <v>6852</v>
      </c>
      <c r="AI85" s="18">
        <f t="shared" si="19"/>
        <v>5211</v>
      </c>
      <c r="AJ85" s="18">
        <f t="shared" si="20"/>
        <v>515.65</v>
      </c>
      <c r="AK85" s="18">
        <f t="shared" si="21"/>
        <v>9</v>
      </c>
      <c r="AL85" s="18">
        <f t="shared" si="22"/>
        <v>259</v>
      </c>
      <c r="AM85" s="18">
        <f t="shared" si="23"/>
        <v>43</v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>856</v>
      </c>
      <c r="AE86" s="57">
        <f t="shared" si="15"/>
        <v>15650</v>
      </c>
      <c r="AF86" s="18">
        <f t="shared" si="16"/>
        <v>44.75</v>
      </c>
      <c r="AG86" s="18">
        <f t="shared" si="17"/>
        <v>-25</v>
      </c>
      <c r="AH86" s="18">
        <f t="shared" si="18"/>
        <v>291</v>
      </c>
      <c r="AI86" s="18">
        <f t="shared" si="19"/>
        <v>392</v>
      </c>
      <c r="AJ86" s="18">
        <f t="shared" si="20"/>
        <v>0</v>
      </c>
      <c r="AK86" s="18">
        <f t="shared" si="21"/>
        <v>0</v>
      </c>
      <c r="AL86" s="18">
        <f t="shared" si="22"/>
        <v>5</v>
      </c>
      <c r="AM86" s="18">
        <f t="shared" si="23"/>
        <v>0</v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>858</v>
      </c>
      <c r="AE87" s="57">
        <f t="shared" si="15"/>
        <v>15700</v>
      </c>
      <c r="AF87" s="18">
        <f t="shared" si="16"/>
        <v>36.450000000000003</v>
      </c>
      <c r="AG87" s="18">
        <f t="shared" si="17"/>
        <v>248</v>
      </c>
      <c r="AH87" s="18">
        <f t="shared" si="18"/>
        <v>6546</v>
      </c>
      <c r="AI87" s="18">
        <f t="shared" si="19"/>
        <v>3389</v>
      </c>
      <c r="AJ87" s="18">
        <f t="shared" si="20"/>
        <v>589.29999999999995</v>
      </c>
      <c r="AK87" s="18">
        <f t="shared" si="21"/>
        <v>1</v>
      </c>
      <c r="AL87" s="18">
        <f t="shared" si="22"/>
        <v>87</v>
      </c>
      <c r="AM87" s="18">
        <f t="shared" si="23"/>
        <v>14</v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>867</v>
      </c>
      <c r="AE88" s="57">
        <f t="shared" si="15"/>
        <v>15750</v>
      </c>
      <c r="AF88" s="18">
        <f t="shared" si="16"/>
        <v>31.5</v>
      </c>
      <c r="AG88" s="18">
        <f t="shared" si="17"/>
        <v>66</v>
      </c>
      <c r="AH88" s="18">
        <f t="shared" si="18"/>
        <v>431</v>
      </c>
      <c r="AI88" s="18">
        <f t="shared" si="19"/>
        <v>247</v>
      </c>
      <c r="AJ88" s="18">
        <f t="shared" si="20"/>
        <v>0</v>
      </c>
      <c r="AK88" s="18">
        <f t="shared" si="21"/>
        <v>0</v>
      </c>
      <c r="AL88" s="18">
        <f t="shared" si="22"/>
        <v>4</v>
      </c>
      <c r="AM88" s="18">
        <f t="shared" si="23"/>
        <v>0</v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>877</v>
      </c>
      <c r="AE89" s="57">
        <f t="shared" si="15"/>
        <v>15800</v>
      </c>
      <c r="AF89" s="18">
        <f t="shared" si="16"/>
        <v>25.4</v>
      </c>
      <c r="AG89" s="18">
        <f t="shared" si="17"/>
        <v>437</v>
      </c>
      <c r="AH89" s="18">
        <f t="shared" si="18"/>
        <v>8148</v>
      </c>
      <c r="AI89" s="18">
        <f t="shared" si="19"/>
        <v>3787</v>
      </c>
      <c r="AJ89" s="18">
        <f t="shared" si="20"/>
        <v>667.5</v>
      </c>
      <c r="AK89" s="18">
        <f t="shared" si="21"/>
        <v>11</v>
      </c>
      <c r="AL89" s="18">
        <f t="shared" si="22"/>
        <v>315</v>
      </c>
      <c r="AM89" s="18">
        <f t="shared" si="23"/>
        <v>71</v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>891</v>
      </c>
      <c r="AE90" s="57">
        <f t="shared" si="15"/>
        <v>15850</v>
      </c>
      <c r="AF90" s="18">
        <f t="shared" si="16"/>
        <v>21.9</v>
      </c>
      <c r="AG90" s="18">
        <f t="shared" si="17"/>
        <v>8</v>
      </c>
      <c r="AH90" s="18">
        <f t="shared" si="18"/>
        <v>602</v>
      </c>
      <c r="AI90" s="18">
        <f t="shared" si="19"/>
        <v>175</v>
      </c>
      <c r="AJ90" s="18">
        <f t="shared" si="20"/>
        <v>0</v>
      </c>
      <c r="AK90" s="18">
        <f t="shared" si="21"/>
        <v>0</v>
      </c>
      <c r="AL90" s="18">
        <f t="shared" si="22"/>
        <v>6</v>
      </c>
      <c r="AM90" s="18">
        <f t="shared" si="23"/>
        <v>0</v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>898</v>
      </c>
      <c r="AE91" s="57">
        <f t="shared" si="15"/>
        <v>15900</v>
      </c>
      <c r="AF91" s="18">
        <f t="shared" si="16"/>
        <v>18.350000000000001</v>
      </c>
      <c r="AG91" s="18">
        <f t="shared" si="17"/>
        <v>144</v>
      </c>
      <c r="AH91" s="18">
        <f t="shared" si="18"/>
        <v>6723</v>
      </c>
      <c r="AI91" s="18">
        <f t="shared" si="19"/>
        <v>2465</v>
      </c>
      <c r="AJ91" s="18">
        <f t="shared" si="20"/>
        <v>760</v>
      </c>
      <c r="AK91" s="18">
        <f t="shared" si="21"/>
        <v>15</v>
      </c>
      <c r="AL91" s="18">
        <f t="shared" si="22"/>
        <v>124</v>
      </c>
      <c r="AM91" s="18">
        <f t="shared" si="23"/>
        <v>18</v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>908</v>
      </c>
      <c r="AE92" s="57">
        <f t="shared" si="15"/>
        <v>15950</v>
      </c>
      <c r="AF92" s="18">
        <f t="shared" si="16"/>
        <v>16.399999999999999</v>
      </c>
      <c r="AG92" s="18">
        <f t="shared" si="17"/>
        <v>1</v>
      </c>
      <c r="AH92" s="18">
        <f t="shared" si="18"/>
        <v>811</v>
      </c>
      <c r="AI92" s="18">
        <f t="shared" si="19"/>
        <v>203</v>
      </c>
      <c r="AJ92" s="18">
        <f t="shared" si="20"/>
        <v>0</v>
      </c>
      <c r="AK92" s="18">
        <f t="shared" si="21"/>
        <v>0</v>
      </c>
      <c r="AL92" s="18">
        <f t="shared" si="22"/>
        <v>1</v>
      </c>
      <c r="AM92" s="18">
        <f t="shared" si="23"/>
        <v>0</v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>929</v>
      </c>
      <c r="AE93" s="57">
        <f t="shared" si="15"/>
        <v>16000</v>
      </c>
      <c r="AF93" s="18">
        <f t="shared" si="16"/>
        <v>13.75</v>
      </c>
      <c r="AG93" s="18">
        <f t="shared" si="17"/>
        <v>-532</v>
      </c>
      <c r="AH93" s="18">
        <f t="shared" si="18"/>
        <v>25688</v>
      </c>
      <c r="AI93" s="18">
        <f t="shared" si="19"/>
        <v>8137</v>
      </c>
      <c r="AJ93" s="18">
        <f t="shared" si="20"/>
        <v>872.5</v>
      </c>
      <c r="AK93" s="18">
        <f t="shared" si="21"/>
        <v>24</v>
      </c>
      <c r="AL93" s="18">
        <f t="shared" si="22"/>
        <v>4009</v>
      </c>
      <c r="AM93" s="18">
        <f t="shared" si="23"/>
        <v>263</v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>939</v>
      </c>
      <c r="AE94" s="57">
        <f t="shared" si="15"/>
        <v>16050</v>
      </c>
      <c r="AF94" s="18">
        <f t="shared" si="16"/>
        <v>11.8</v>
      </c>
      <c r="AG94" s="18">
        <f t="shared" si="17"/>
        <v>-12</v>
      </c>
      <c r="AH94" s="18">
        <f t="shared" si="18"/>
        <v>383</v>
      </c>
      <c r="AI94" s="18">
        <f t="shared" si="19"/>
        <v>256</v>
      </c>
      <c r="AJ94" s="18">
        <f t="shared" si="20"/>
        <v>956.75</v>
      </c>
      <c r="AK94" s="18">
        <f t="shared" si="21"/>
        <v>0</v>
      </c>
      <c r="AL94" s="18">
        <f t="shared" si="22"/>
        <v>0</v>
      </c>
      <c r="AM94" s="18">
        <f t="shared" si="23"/>
        <v>1</v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>941</v>
      </c>
      <c r="AE95" s="57">
        <f t="shared" si="15"/>
        <v>16100</v>
      </c>
      <c r="AF95" s="18">
        <f t="shared" si="16"/>
        <v>10.1</v>
      </c>
      <c r="AG95" s="18">
        <f t="shared" si="17"/>
        <v>350</v>
      </c>
      <c r="AH95" s="18">
        <f t="shared" si="18"/>
        <v>2683</v>
      </c>
      <c r="AI95" s="18">
        <f t="shared" si="19"/>
        <v>1701</v>
      </c>
      <c r="AJ95" s="18">
        <f t="shared" si="20"/>
        <v>1000</v>
      </c>
      <c r="AK95" s="18">
        <f t="shared" si="21"/>
        <v>0</v>
      </c>
      <c r="AL95" s="18">
        <f t="shared" si="22"/>
        <v>107</v>
      </c>
      <c r="AM95" s="18">
        <f t="shared" si="23"/>
        <v>1</v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>952</v>
      </c>
      <c r="AE96" s="57">
        <f t="shared" si="15"/>
        <v>16150</v>
      </c>
      <c r="AF96" s="18">
        <f t="shared" si="16"/>
        <v>9.1999999999999993</v>
      </c>
      <c r="AG96" s="18">
        <f t="shared" si="17"/>
        <v>15</v>
      </c>
      <c r="AH96" s="18">
        <f t="shared" si="18"/>
        <v>386</v>
      </c>
      <c r="AI96" s="18">
        <f t="shared" si="19"/>
        <v>105</v>
      </c>
      <c r="AJ96" s="18">
        <f t="shared" si="20"/>
        <v>0</v>
      </c>
      <c r="AK96" s="18">
        <f t="shared" si="21"/>
        <v>0</v>
      </c>
      <c r="AL96" s="18">
        <f t="shared" si="22"/>
        <v>1</v>
      </c>
      <c r="AM96" s="18">
        <f t="shared" si="23"/>
        <v>0</v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>969</v>
      </c>
      <c r="AE97" s="57">
        <f t="shared" si="15"/>
        <v>16200</v>
      </c>
      <c r="AF97" s="18">
        <f t="shared" si="16"/>
        <v>8.5</v>
      </c>
      <c r="AG97" s="18">
        <f t="shared" si="17"/>
        <v>150</v>
      </c>
      <c r="AH97" s="18">
        <f t="shared" si="18"/>
        <v>1252</v>
      </c>
      <c r="AI97" s="18">
        <f t="shared" si="19"/>
        <v>698</v>
      </c>
      <c r="AJ97" s="18">
        <f t="shared" si="20"/>
        <v>0</v>
      </c>
      <c r="AK97" s="18">
        <f t="shared" si="21"/>
        <v>0</v>
      </c>
      <c r="AL97" s="18">
        <f t="shared" si="22"/>
        <v>113</v>
      </c>
      <c r="AM97" s="18">
        <f t="shared" si="23"/>
        <v>0</v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>979</v>
      </c>
      <c r="AE98" s="57">
        <f t="shared" si="15"/>
        <v>16250</v>
      </c>
      <c r="AF98" s="18">
        <f t="shared" si="16"/>
        <v>7.5</v>
      </c>
      <c r="AG98" s="18">
        <f t="shared" si="17"/>
        <v>0</v>
      </c>
      <c r="AH98" s="18">
        <f t="shared" si="18"/>
        <v>108</v>
      </c>
      <c r="AI98" s="18">
        <f t="shared" si="19"/>
        <v>12</v>
      </c>
      <c r="AJ98" s="18">
        <f t="shared" si="20"/>
        <v>1150.45</v>
      </c>
      <c r="AK98" s="18">
        <f t="shared" si="21"/>
        <v>0</v>
      </c>
      <c r="AL98" s="18">
        <f t="shared" si="22"/>
        <v>0</v>
      </c>
      <c r="AM98" s="18">
        <f t="shared" si="23"/>
        <v>1</v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>981</v>
      </c>
      <c r="AE99" s="57">
        <f t="shared" si="15"/>
        <v>16300</v>
      </c>
      <c r="AF99" s="18">
        <f t="shared" si="16"/>
        <v>6.95</v>
      </c>
      <c r="AG99" s="18">
        <f t="shared" si="17"/>
        <v>-33</v>
      </c>
      <c r="AH99" s="18">
        <f t="shared" si="18"/>
        <v>792</v>
      </c>
      <c r="AI99" s="18">
        <f t="shared" si="19"/>
        <v>1208</v>
      </c>
      <c r="AJ99" s="18">
        <f t="shared" si="20"/>
        <v>0</v>
      </c>
      <c r="AK99" s="18">
        <f t="shared" si="21"/>
        <v>0</v>
      </c>
      <c r="AL99" s="18">
        <f t="shared" si="22"/>
        <v>18</v>
      </c>
      <c r="AM99" s="18">
        <f t="shared" si="23"/>
        <v>0</v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>999</v>
      </c>
      <c r="AE100" s="57">
        <f t="shared" si="15"/>
        <v>16350</v>
      </c>
      <c r="AF100" s="18">
        <f t="shared" si="16"/>
        <v>5</v>
      </c>
      <c r="AG100" s="18">
        <f t="shared" si="17"/>
        <v>0</v>
      </c>
      <c r="AH100" s="18">
        <f t="shared" si="18"/>
        <v>18</v>
      </c>
      <c r="AI100" s="18">
        <f t="shared" si="19"/>
        <v>6</v>
      </c>
      <c r="AJ100" s="18">
        <f t="shared" si="20"/>
        <v>0</v>
      </c>
      <c r="AK100" s="18">
        <f t="shared" si="21"/>
        <v>0</v>
      </c>
      <c r="AL100" s="18">
        <f t="shared" si="22"/>
        <v>0</v>
      </c>
      <c r="AM100" s="18">
        <f t="shared" si="23"/>
        <v>0</v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>1001</v>
      </c>
      <c r="AE101" s="57">
        <f t="shared" si="15"/>
        <v>16400</v>
      </c>
      <c r="AF101" s="18">
        <f t="shared" si="16"/>
        <v>5.75</v>
      </c>
      <c r="AG101" s="18">
        <f t="shared" si="17"/>
        <v>197</v>
      </c>
      <c r="AH101" s="18">
        <f t="shared" si="18"/>
        <v>1861</v>
      </c>
      <c r="AI101" s="18">
        <f t="shared" si="19"/>
        <v>743</v>
      </c>
      <c r="AJ101" s="18">
        <f t="shared" si="20"/>
        <v>0</v>
      </c>
      <c r="AK101" s="18">
        <f t="shared" si="21"/>
        <v>0</v>
      </c>
      <c r="AL101" s="18">
        <f t="shared" si="22"/>
        <v>7</v>
      </c>
      <c r="AM101" s="18">
        <f t="shared" si="23"/>
        <v>0</v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>1012</v>
      </c>
      <c r="AE102" s="57">
        <f t="shared" si="15"/>
        <v>16450</v>
      </c>
      <c r="AF102" s="18">
        <f t="shared" si="16"/>
        <v>0</v>
      </c>
      <c r="AG102" s="18">
        <f t="shared" si="17"/>
        <v>0</v>
      </c>
      <c r="AH102" s="18">
        <f t="shared" si="18"/>
        <v>1</v>
      </c>
      <c r="AI102" s="18">
        <f t="shared" si="19"/>
        <v>0</v>
      </c>
      <c r="AJ102" s="18">
        <f t="shared" si="20"/>
        <v>0</v>
      </c>
      <c r="AK102" s="18">
        <f t="shared" si="21"/>
        <v>0</v>
      </c>
      <c r="AL102" s="18">
        <f t="shared" si="22"/>
        <v>0</v>
      </c>
      <c r="AM102" s="18">
        <f t="shared" si="23"/>
        <v>0</v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>1026</v>
      </c>
      <c r="AE103" s="57">
        <f t="shared" si="15"/>
        <v>16500</v>
      </c>
      <c r="AF103" s="18">
        <f t="shared" si="16"/>
        <v>4.8</v>
      </c>
      <c r="AG103" s="18">
        <f t="shared" si="17"/>
        <v>222</v>
      </c>
      <c r="AH103" s="18">
        <f t="shared" si="18"/>
        <v>872</v>
      </c>
      <c r="AI103" s="18">
        <f t="shared" si="19"/>
        <v>1686</v>
      </c>
      <c r="AJ103" s="18">
        <f t="shared" si="20"/>
        <v>1346.05</v>
      </c>
      <c r="AK103" s="18">
        <f t="shared" si="21"/>
        <v>0</v>
      </c>
      <c r="AL103" s="18">
        <f t="shared" si="22"/>
        <v>85</v>
      </c>
      <c r="AM103" s="18">
        <f t="shared" si="23"/>
        <v>7</v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>1035</v>
      </c>
      <c r="AE104" s="57">
        <f t="shared" si="15"/>
        <v>16550</v>
      </c>
      <c r="AF104" s="18">
        <f t="shared" si="16"/>
        <v>0</v>
      </c>
      <c r="AG104" s="18">
        <f t="shared" si="17"/>
        <v>0</v>
      </c>
      <c r="AH104" s="18">
        <f t="shared" si="18"/>
        <v>0</v>
      </c>
      <c r="AI104" s="18">
        <f t="shared" si="19"/>
        <v>0</v>
      </c>
      <c r="AJ104" s="18">
        <f t="shared" si="20"/>
        <v>0</v>
      </c>
      <c r="AK104" s="18">
        <f t="shared" si="21"/>
        <v>0</v>
      </c>
      <c r="AL104" s="18">
        <f t="shared" si="22"/>
        <v>0</v>
      </c>
      <c r="AM104" s="18">
        <f t="shared" si="23"/>
        <v>0</v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>1045</v>
      </c>
      <c r="AE105" s="57">
        <f t="shared" si="15"/>
        <v>16600</v>
      </c>
      <c r="AF105" s="18">
        <f t="shared" si="16"/>
        <v>4.3499999999999996</v>
      </c>
      <c r="AG105" s="18">
        <f t="shared" si="17"/>
        <v>76</v>
      </c>
      <c r="AH105" s="18">
        <f t="shared" si="18"/>
        <v>437</v>
      </c>
      <c r="AI105" s="18">
        <f t="shared" si="19"/>
        <v>183</v>
      </c>
      <c r="AJ105" s="18">
        <f t="shared" si="20"/>
        <v>0</v>
      </c>
      <c r="AK105" s="18">
        <f t="shared" si="21"/>
        <v>0</v>
      </c>
      <c r="AL105" s="18">
        <f t="shared" si="22"/>
        <v>0</v>
      </c>
      <c r="AM105" s="18">
        <f t="shared" si="23"/>
        <v>0</v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2021-03-06T15:31:55Z</dcterms:modified>
</cp:coreProperties>
</file>