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kush.butole\Desktop\"/>
    </mc:Choice>
  </mc:AlternateContent>
  <bookViews>
    <workbookView showSheetTabs="0" xWindow="-120" yWindow="-120" windowWidth="19420" windowHeight="11020"/>
  </bookViews>
  <sheets>
    <sheet name="Calculation" sheetId="4" r:id="rId1"/>
    <sheet name="Data" sheetId="2" state="veryHidden" r:id="rId2"/>
    <sheet name="Cookie" sheetId="1" state="veryHidden" r:id="rId3"/>
  </sheets>
  <functionGroups builtInGroupCount="18"/>
  <definedNames>
    <definedName name="_xlnm._FilterDatabase" localSheetId="0" hidden="1">Calculation!$B$1:$B$4</definedName>
    <definedName name="CE" localSheetId="0">OFFSET(Calculation!$K$3,,,COUNT(Calculation!$K$3:$K$78))</definedName>
    <definedName name="CEPEDifference" localSheetId="0">OFFSET(Calculation!$M$3,,,COUNT(Calculation!$M$3:$M$78))</definedName>
    <definedName name="ExternalData_2" localSheetId="1" hidden="1">Data!$B$1:$AA$1061</definedName>
    <definedName name="N_Range">Calculation!$G$15</definedName>
    <definedName name="NiftyPrice" localSheetId="0">OFFSET(Calculation!$P$3,,,COUNT(Calculation!$P$3:$P$78))</definedName>
    <definedName name="PE" localSheetId="0">OFFSET(Calculation!$L$3,,,COUNT(Calculation!$L$3:$L$78))</definedName>
    <definedName name="Refresh_Status" localSheetId="0">Calculation!$D$2</definedName>
    <definedName name="Refresh_Time" localSheetId="0">Calculation!$F$2</definedName>
    <definedName name="Sheet2">Calculation!$A$63</definedName>
    <definedName name="Time" localSheetId="0">OFFSET(Calculation!$J$3,,,COUNT(Calculation!$J$3:$J$78))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00" i="2" l="1"/>
  <c r="AM1999" i="2"/>
  <c r="AM1998" i="2"/>
  <c r="AM1997" i="2"/>
  <c r="AM1996" i="2"/>
  <c r="AM1995" i="2"/>
  <c r="AM1994" i="2"/>
  <c r="AM1993" i="2"/>
  <c r="AM1992" i="2"/>
  <c r="AM1991" i="2"/>
  <c r="AM1990" i="2"/>
  <c r="AM1989" i="2"/>
  <c r="AM1988" i="2"/>
  <c r="AM1987" i="2"/>
  <c r="AM1986" i="2"/>
  <c r="AM1985" i="2"/>
  <c r="AM1984" i="2"/>
  <c r="AM1983" i="2"/>
  <c r="AM1982" i="2"/>
  <c r="AM1981" i="2"/>
  <c r="AM1980" i="2"/>
  <c r="AM1979" i="2"/>
  <c r="AM1978" i="2"/>
  <c r="AM1977" i="2"/>
  <c r="AM1976" i="2"/>
  <c r="AM1975" i="2"/>
  <c r="AM1974" i="2"/>
  <c r="AM1973" i="2"/>
  <c r="AM1972" i="2"/>
  <c r="AM1971" i="2"/>
  <c r="AM1970" i="2"/>
  <c r="AM1969" i="2"/>
  <c r="AM1968" i="2"/>
  <c r="AM1967" i="2"/>
  <c r="AM1966" i="2"/>
  <c r="AM1965" i="2"/>
  <c r="AM1964" i="2"/>
  <c r="AM1963" i="2"/>
  <c r="AM1962" i="2"/>
  <c r="AM1961" i="2"/>
  <c r="AM1960" i="2"/>
  <c r="AM1959" i="2"/>
  <c r="AM1958" i="2"/>
  <c r="AM1957" i="2"/>
  <c r="AM1956" i="2"/>
  <c r="AM1955" i="2"/>
  <c r="AM1954" i="2"/>
  <c r="AM1953" i="2"/>
  <c r="AM1952" i="2"/>
  <c r="AM1951" i="2"/>
  <c r="AM1950" i="2"/>
  <c r="AM1949" i="2"/>
  <c r="AM1948" i="2"/>
  <c r="AM1947" i="2"/>
  <c r="AM1946" i="2"/>
  <c r="AM1945" i="2"/>
  <c r="AM1944" i="2"/>
  <c r="AM1943" i="2"/>
  <c r="AM1942" i="2"/>
  <c r="AM1941" i="2"/>
  <c r="AM1940" i="2"/>
  <c r="AM1939" i="2"/>
  <c r="AM1938" i="2"/>
  <c r="AM1937" i="2"/>
  <c r="AM1936" i="2"/>
  <c r="AM1935" i="2"/>
  <c r="AM1934" i="2"/>
  <c r="AM1933" i="2"/>
  <c r="AM1932" i="2"/>
  <c r="AM1931" i="2"/>
  <c r="AM1930" i="2"/>
  <c r="AM1929" i="2"/>
  <c r="AM1928" i="2"/>
  <c r="AM1927" i="2"/>
  <c r="AM1926" i="2"/>
  <c r="AM1925" i="2"/>
  <c r="AM1924" i="2"/>
  <c r="AM1923" i="2"/>
  <c r="AM1922" i="2"/>
  <c r="AM1921" i="2"/>
  <c r="AM1920" i="2"/>
  <c r="AM1919" i="2"/>
  <c r="AM1918" i="2"/>
  <c r="AM1917" i="2"/>
  <c r="AM1916" i="2"/>
  <c r="AM1915" i="2"/>
  <c r="AM1914" i="2"/>
  <c r="AM1913" i="2"/>
  <c r="AM1912" i="2"/>
  <c r="AM1911" i="2"/>
  <c r="AM1910" i="2"/>
  <c r="AM1909" i="2"/>
  <c r="AM1908" i="2"/>
  <c r="AM1907" i="2"/>
  <c r="AM1906" i="2"/>
  <c r="AM1905" i="2"/>
  <c r="AM1904" i="2"/>
  <c r="AM1903" i="2"/>
  <c r="AM1902" i="2"/>
  <c r="AM1901" i="2"/>
  <c r="AM1900" i="2"/>
  <c r="AM1899" i="2"/>
  <c r="AM1898" i="2"/>
  <c r="AM1897" i="2"/>
  <c r="AM1896" i="2"/>
  <c r="AM1895" i="2"/>
  <c r="AM1894" i="2"/>
  <c r="AM1893" i="2"/>
  <c r="AM1892" i="2"/>
  <c r="AM1891" i="2"/>
  <c r="AM1890" i="2"/>
  <c r="AM1889" i="2"/>
  <c r="AM1888" i="2"/>
  <c r="AM1887" i="2"/>
  <c r="AM1886" i="2"/>
  <c r="AM1885" i="2"/>
  <c r="AM1884" i="2"/>
  <c r="AM1883" i="2"/>
  <c r="AM1882" i="2"/>
  <c r="AM1881" i="2"/>
  <c r="AM1880" i="2"/>
  <c r="AM1879" i="2"/>
  <c r="AM1878" i="2"/>
  <c r="AM1877" i="2"/>
  <c r="AM1876" i="2"/>
  <c r="AM1875" i="2"/>
  <c r="AM1874" i="2"/>
  <c r="AM1873" i="2"/>
  <c r="AM1872" i="2"/>
  <c r="AM1871" i="2"/>
  <c r="AM1870" i="2"/>
  <c r="AM1869" i="2"/>
  <c r="AM1868" i="2"/>
  <c r="AM1867" i="2"/>
  <c r="AM1866" i="2"/>
  <c r="AM1865" i="2"/>
  <c r="AM1864" i="2"/>
  <c r="AM1863" i="2"/>
  <c r="AM1862" i="2"/>
  <c r="AM1861" i="2"/>
  <c r="AM1860" i="2"/>
  <c r="AM1859" i="2"/>
  <c r="AM1858" i="2"/>
  <c r="AM1857" i="2"/>
  <c r="AM1856" i="2"/>
  <c r="AM1855" i="2"/>
  <c r="AM1854" i="2"/>
  <c r="AM1853" i="2"/>
  <c r="AM1852" i="2"/>
  <c r="AM1851" i="2"/>
  <c r="AM1850" i="2"/>
  <c r="AM1849" i="2"/>
  <c r="AM1848" i="2"/>
  <c r="AM1847" i="2"/>
  <c r="AM1846" i="2"/>
  <c r="AM1845" i="2"/>
  <c r="AM1844" i="2"/>
  <c r="AM1843" i="2"/>
  <c r="AM1842" i="2"/>
  <c r="AM1841" i="2"/>
  <c r="AM1840" i="2"/>
  <c r="AM1839" i="2"/>
  <c r="AM1838" i="2"/>
  <c r="AM1837" i="2"/>
  <c r="AM1836" i="2"/>
  <c r="AM1835" i="2"/>
  <c r="AM1834" i="2"/>
  <c r="AM1833" i="2"/>
  <c r="AM1832" i="2"/>
  <c r="AM1831" i="2"/>
  <c r="AM1830" i="2"/>
  <c r="AM1829" i="2"/>
  <c r="AM1828" i="2"/>
  <c r="AM1827" i="2"/>
  <c r="AM1826" i="2"/>
  <c r="AM1825" i="2"/>
  <c r="AM1824" i="2"/>
  <c r="AM1823" i="2"/>
  <c r="AM1822" i="2"/>
  <c r="AM1821" i="2"/>
  <c r="AM1820" i="2"/>
  <c r="AM1819" i="2"/>
  <c r="AM1818" i="2"/>
  <c r="AM1817" i="2"/>
  <c r="AM1816" i="2"/>
  <c r="AM1815" i="2"/>
  <c r="AM1814" i="2"/>
  <c r="AM1813" i="2"/>
  <c r="AM1812" i="2"/>
  <c r="AM1811" i="2"/>
  <c r="AM1810" i="2"/>
  <c r="AM1809" i="2"/>
  <c r="AM1808" i="2"/>
  <c r="AM1807" i="2"/>
  <c r="AM1806" i="2"/>
  <c r="AM1805" i="2"/>
  <c r="AM1804" i="2"/>
  <c r="AM1803" i="2"/>
  <c r="AM1802" i="2"/>
  <c r="AM1801" i="2"/>
  <c r="AM1800" i="2"/>
  <c r="AM1799" i="2"/>
  <c r="AM1798" i="2"/>
  <c r="AM1797" i="2"/>
  <c r="AM1796" i="2"/>
  <c r="AM1795" i="2"/>
  <c r="AM1794" i="2"/>
  <c r="AM1793" i="2"/>
  <c r="AM1792" i="2"/>
  <c r="AM1791" i="2"/>
  <c r="AM1790" i="2"/>
  <c r="AM1789" i="2"/>
  <c r="AM1788" i="2"/>
  <c r="AM1787" i="2"/>
  <c r="AM1786" i="2"/>
  <c r="AM1785" i="2"/>
  <c r="AM1784" i="2"/>
  <c r="AM1783" i="2"/>
  <c r="AM1782" i="2"/>
  <c r="AM1781" i="2"/>
  <c r="AM1780" i="2"/>
  <c r="AM1779" i="2"/>
  <c r="AM1778" i="2"/>
  <c r="AM1777" i="2"/>
  <c r="AM1776" i="2"/>
  <c r="AM1775" i="2"/>
  <c r="AM1774" i="2"/>
  <c r="AM1773" i="2"/>
  <c r="AM1772" i="2"/>
  <c r="AM1771" i="2"/>
  <c r="AM1770" i="2"/>
  <c r="AM1769" i="2"/>
  <c r="AM1768" i="2"/>
  <c r="AM1767" i="2"/>
  <c r="AM1766" i="2"/>
  <c r="AM1765" i="2"/>
  <c r="AM1764" i="2"/>
  <c r="AM1763" i="2"/>
  <c r="AM1762" i="2"/>
  <c r="AM1761" i="2"/>
  <c r="AM1760" i="2"/>
  <c r="AM1759" i="2"/>
  <c r="AM1758" i="2"/>
  <c r="AM1757" i="2"/>
  <c r="AM1756" i="2"/>
  <c r="AM1755" i="2"/>
  <c r="AM1754" i="2"/>
  <c r="AM1753" i="2"/>
  <c r="AM1752" i="2"/>
  <c r="AM1751" i="2"/>
  <c r="AM1750" i="2"/>
  <c r="AM1749" i="2"/>
  <c r="AM1748" i="2"/>
  <c r="AM1747" i="2"/>
  <c r="AM1746" i="2"/>
  <c r="AM1745" i="2"/>
  <c r="AM1744" i="2"/>
  <c r="AM1743" i="2"/>
  <c r="AM1742" i="2"/>
  <c r="AM1741" i="2"/>
  <c r="AM1740" i="2"/>
  <c r="AM1739" i="2"/>
  <c r="AM1738" i="2"/>
  <c r="AM1737" i="2"/>
  <c r="AM1736" i="2"/>
  <c r="AM1735" i="2"/>
  <c r="AM1734" i="2"/>
  <c r="AM1733" i="2"/>
  <c r="AM1732" i="2"/>
  <c r="AM1731" i="2"/>
  <c r="AM1730" i="2"/>
  <c r="AM1729" i="2"/>
  <c r="AM1728" i="2"/>
  <c r="AM1727" i="2"/>
  <c r="AM1726" i="2"/>
  <c r="AM1725" i="2"/>
  <c r="AM1724" i="2"/>
  <c r="AM1723" i="2"/>
  <c r="AM1722" i="2"/>
  <c r="AM1721" i="2"/>
  <c r="AM1720" i="2"/>
  <c r="AM1719" i="2"/>
  <c r="AM1718" i="2"/>
  <c r="AM1717" i="2"/>
  <c r="AM1716" i="2"/>
  <c r="AM1715" i="2"/>
  <c r="AM1714" i="2"/>
  <c r="AM1713" i="2"/>
  <c r="AM1712" i="2"/>
  <c r="AM1711" i="2"/>
  <c r="AM1710" i="2"/>
  <c r="AM1709" i="2"/>
  <c r="AM1708" i="2"/>
  <c r="AM1707" i="2"/>
  <c r="AM1706" i="2"/>
  <c r="AM1705" i="2"/>
  <c r="AM1704" i="2"/>
  <c r="AM1703" i="2"/>
  <c r="AM1702" i="2"/>
  <c r="AM1701" i="2"/>
  <c r="AM1700" i="2"/>
  <c r="AM1699" i="2"/>
  <c r="AM1698" i="2"/>
  <c r="AM1697" i="2"/>
  <c r="AM1696" i="2"/>
  <c r="AM1695" i="2"/>
  <c r="AM1694" i="2"/>
  <c r="AM1693" i="2"/>
  <c r="AM1692" i="2"/>
  <c r="AM1691" i="2"/>
  <c r="AM1690" i="2"/>
  <c r="AM1689" i="2"/>
  <c r="AM1688" i="2"/>
  <c r="AM1687" i="2"/>
  <c r="AM1686" i="2"/>
  <c r="AM1685" i="2"/>
  <c r="AM1684" i="2"/>
  <c r="AM1683" i="2"/>
  <c r="AM1682" i="2"/>
  <c r="AM1681" i="2"/>
  <c r="AM1680" i="2"/>
  <c r="AM1679" i="2"/>
  <c r="AM1678" i="2"/>
  <c r="AM1677" i="2"/>
  <c r="AM1676" i="2"/>
  <c r="AM1675" i="2"/>
  <c r="AM1674" i="2"/>
  <c r="AM1673" i="2"/>
  <c r="AM1672" i="2"/>
  <c r="AM1671" i="2"/>
  <c r="AM1670" i="2"/>
  <c r="AM1669" i="2"/>
  <c r="AM1668" i="2"/>
  <c r="AM1667" i="2"/>
  <c r="AM1666" i="2"/>
  <c r="AM1665" i="2"/>
  <c r="AM1664" i="2"/>
  <c r="AM1663" i="2"/>
  <c r="AM1662" i="2"/>
  <c r="AM1661" i="2"/>
  <c r="AM1660" i="2"/>
  <c r="AM1659" i="2"/>
  <c r="AM1658" i="2"/>
  <c r="AM1657" i="2"/>
  <c r="AM1656" i="2"/>
  <c r="AM1655" i="2"/>
  <c r="AM1654" i="2"/>
  <c r="AM1653" i="2"/>
  <c r="AM1652" i="2"/>
  <c r="AM1651" i="2"/>
  <c r="AM1650" i="2"/>
  <c r="AM1649" i="2"/>
  <c r="AM1648" i="2"/>
  <c r="AM1647" i="2"/>
  <c r="AM1646" i="2"/>
  <c r="AM1645" i="2"/>
  <c r="AM1644" i="2"/>
  <c r="AM1643" i="2"/>
  <c r="AM1642" i="2"/>
  <c r="AM1641" i="2"/>
  <c r="AM1640" i="2"/>
  <c r="AM1639" i="2"/>
  <c r="AM1638" i="2"/>
  <c r="AM1637" i="2"/>
  <c r="AM1636" i="2"/>
  <c r="AM1635" i="2"/>
  <c r="AM1634" i="2"/>
  <c r="AM1633" i="2"/>
  <c r="AM1632" i="2"/>
  <c r="AM1631" i="2"/>
  <c r="AM1630" i="2"/>
  <c r="AM1629" i="2"/>
  <c r="AM1628" i="2"/>
  <c r="AM1627" i="2"/>
  <c r="AM1626" i="2"/>
  <c r="AM1625" i="2"/>
  <c r="AM1624" i="2"/>
  <c r="AM1623" i="2"/>
  <c r="AM1622" i="2"/>
  <c r="AM1621" i="2"/>
  <c r="AM1620" i="2"/>
  <c r="AM1619" i="2"/>
  <c r="AM1618" i="2"/>
  <c r="AM1617" i="2"/>
  <c r="AM1616" i="2"/>
  <c r="AM1615" i="2"/>
  <c r="AM1614" i="2"/>
  <c r="AM1613" i="2"/>
  <c r="AM1612" i="2"/>
  <c r="AM1611" i="2"/>
  <c r="AM1610" i="2"/>
  <c r="AM1609" i="2"/>
  <c r="AM1608" i="2"/>
  <c r="AM1607" i="2"/>
  <c r="AM1606" i="2"/>
  <c r="AM1605" i="2"/>
  <c r="AM1604" i="2"/>
  <c r="AM1603" i="2"/>
  <c r="AM1602" i="2"/>
  <c r="AM1601" i="2"/>
  <c r="AM1600" i="2"/>
  <c r="AM1599" i="2"/>
  <c r="AM1598" i="2"/>
  <c r="AM1597" i="2"/>
  <c r="AM1596" i="2"/>
  <c r="AM1595" i="2"/>
  <c r="AM1594" i="2"/>
  <c r="AM1593" i="2"/>
  <c r="AM1592" i="2"/>
  <c r="AM1591" i="2"/>
  <c r="AM1590" i="2"/>
  <c r="AM1589" i="2"/>
  <c r="AM1588" i="2"/>
  <c r="AM1587" i="2"/>
  <c r="AM1586" i="2"/>
  <c r="AM1585" i="2"/>
  <c r="AM1584" i="2"/>
  <c r="AM1583" i="2"/>
  <c r="AM1582" i="2"/>
  <c r="AM1581" i="2"/>
  <c r="AM1580" i="2"/>
  <c r="AM1579" i="2"/>
  <c r="AM1578" i="2"/>
  <c r="AM1577" i="2"/>
  <c r="AM1576" i="2"/>
  <c r="AM1575" i="2"/>
  <c r="AM1574" i="2"/>
  <c r="AM1573" i="2"/>
  <c r="AM1572" i="2"/>
  <c r="AM1571" i="2"/>
  <c r="AM1570" i="2"/>
  <c r="AM1569" i="2"/>
  <c r="AM1568" i="2"/>
  <c r="AM1567" i="2"/>
  <c r="AM1566" i="2"/>
  <c r="AM1565" i="2"/>
  <c r="AM1564" i="2"/>
  <c r="AM1563" i="2"/>
  <c r="AM1562" i="2"/>
  <c r="AM1561" i="2"/>
  <c r="AM1560" i="2"/>
  <c r="AM1559" i="2"/>
  <c r="AM1558" i="2"/>
  <c r="AM1557" i="2"/>
  <c r="AM1556" i="2"/>
  <c r="AM1555" i="2"/>
  <c r="AM1554" i="2"/>
  <c r="AM1553" i="2"/>
  <c r="AM1552" i="2"/>
  <c r="AM1551" i="2"/>
  <c r="AM1550" i="2"/>
  <c r="AM1549" i="2"/>
  <c r="AM1548" i="2"/>
  <c r="AM1547" i="2"/>
  <c r="AM1546" i="2"/>
  <c r="AM1545" i="2"/>
  <c r="AM1544" i="2"/>
  <c r="AM1543" i="2"/>
  <c r="AM1542" i="2"/>
  <c r="AM1541" i="2"/>
  <c r="AM1540" i="2"/>
  <c r="AM1539" i="2"/>
  <c r="AM1538" i="2"/>
  <c r="AM1537" i="2"/>
  <c r="AM1536" i="2"/>
  <c r="AM1535" i="2"/>
  <c r="AM1534" i="2"/>
  <c r="AM1533" i="2"/>
  <c r="AM1532" i="2"/>
  <c r="AM1531" i="2"/>
  <c r="AM1530" i="2"/>
  <c r="AM1529" i="2"/>
  <c r="AM1528" i="2"/>
  <c r="AM1527" i="2"/>
  <c r="AM1526" i="2"/>
  <c r="AM1525" i="2"/>
  <c r="AM1524" i="2"/>
  <c r="AM1523" i="2"/>
  <c r="AM1522" i="2"/>
  <c r="AM1521" i="2"/>
  <c r="AM1520" i="2"/>
  <c r="AM1519" i="2"/>
  <c r="AM1518" i="2"/>
  <c r="AM1517" i="2"/>
  <c r="AM1516" i="2"/>
  <c r="AM1515" i="2"/>
  <c r="AM1514" i="2"/>
  <c r="AM1513" i="2"/>
  <c r="AM1512" i="2"/>
  <c r="AM1511" i="2"/>
  <c r="AM1510" i="2"/>
  <c r="AM1509" i="2"/>
  <c r="AM1508" i="2"/>
  <c r="AM1507" i="2"/>
  <c r="AM1506" i="2"/>
  <c r="AM1505" i="2"/>
  <c r="AM1504" i="2"/>
  <c r="AM1503" i="2"/>
  <c r="AM1502" i="2"/>
  <c r="AM1501" i="2"/>
  <c r="AM1500" i="2"/>
  <c r="AM1499" i="2"/>
  <c r="AM1498" i="2"/>
  <c r="AM1497" i="2"/>
  <c r="AM1496" i="2"/>
  <c r="AM1495" i="2"/>
  <c r="AM1494" i="2"/>
  <c r="AM1493" i="2"/>
  <c r="AM1492" i="2"/>
  <c r="AM1491" i="2"/>
  <c r="AM1490" i="2"/>
  <c r="AM1489" i="2"/>
  <c r="AM1488" i="2"/>
  <c r="AM1487" i="2"/>
  <c r="AM1486" i="2"/>
  <c r="AM1485" i="2"/>
  <c r="AM1484" i="2"/>
  <c r="AM1483" i="2"/>
  <c r="AM1482" i="2"/>
  <c r="AM1481" i="2"/>
  <c r="AM1480" i="2"/>
  <c r="AM1479" i="2"/>
  <c r="AM1478" i="2"/>
  <c r="AM1477" i="2"/>
  <c r="AM1476" i="2"/>
  <c r="AM1475" i="2"/>
  <c r="AM1474" i="2"/>
  <c r="AM1473" i="2"/>
  <c r="AM1472" i="2"/>
  <c r="AM1471" i="2"/>
  <c r="AM1470" i="2"/>
  <c r="AM1469" i="2"/>
  <c r="AM1468" i="2"/>
  <c r="AM1467" i="2"/>
  <c r="AM1466" i="2"/>
  <c r="AM1465" i="2"/>
  <c r="AM1464" i="2"/>
  <c r="AM1463" i="2"/>
  <c r="AM1462" i="2"/>
  <c r="AM1461" i="2"/>
  <c r="AM1460" i="2"/>
  <c r="AM1459" i="2"/>
  <c r="AM1458" i="2"/>
  <c r="AM1457" i="2"/>
  <c r="AM1456" i="2"/>
  <c r="AM1455" i="2"/>
  <c r="AM1454" i="2"/>
  <c r="AM1453" i="2"/>
  <c r="AM1452" i="2"/>
  <c r="AM1451" i="2"/>
  <c r="AM1450" i="2"/>
  <c r="AM1449" i="2"/>
  <c r="AM1448" i="2"/>
  <c r="AM1447" i="2"/>
  <c r="AM1446" i="2"/>
  <c r="AM1445" i="2"/>
  <c r="AM1444" i="2"/>
  <c r="AM1443" i="2"/>
  <c r="AM1442" i="2"/>
  <c r="AM1441" i="2"/>
  <c r="AM1440" i="2"/>
  <c r="AM1439" i="2"/>
  <c r="AM1438" i="2"/>
  <c r="AM1437" i="2"/>
  <c r="AM1436" i="2"/>
  <c r="AM1435" i="2"/>
  <c r="AM1434" i="2"/>
  <c r="AM1433" i="2"/>
  <c r="AM1432" i="2"/>
  <c r="AM1431" i="2"/>
  <c r="AM1430" i="2"/>
  <c r="AM1429" i="2"/>
  <c r="AM1428" i="2"/>
  <c r="AM1427" i="2"/>
  <c r="AM1426" i="2"/>
  <c r="AM1425" i="2"/>
  <c r="AM1424" i="2"/>
  <c r="AM1423" i="2"/>
  <c r="AM1422" i="2"/>
  <c r="AM1421" i="2"/>
  <c r="AM1420" i="2"/>
  <c r="AM1419" i="2"/>
  <c r="AM1418" i="2"/>
  <c r="AM1417" i="2"/>
  <c r="AM1416" i="2"/>
  <c r="AM1415" i="2"/>
  <c r="AM1414" i="2"/>
  <c r="AM1413" i="2"/>
  <c r="AM1412" i="2"/>
  <c r="AM1411" i="2"/>
  <c r="AM1410" i="2"/>
  <c r="AM1409" i="2"/>
  <c r="AM1408" i="2"/>
  <c r="AM1407" i="2"/>
  <c r="AM1406" i="2"/>
  <c r="AM1405" i="2"/>
  <c r="AM1404" i="2"/>
  <c r="AM1403" i="2"/>
  <c r="AM1402" i="2"/>
  <c r="AM1401" i="2"/>
  <c r="AM1400" i="2"/>
  <c r="AM1399" i="2"/>
  <c r="AM1398" i="2"/>
  <c r="AM1397" i="2"/>
  <c r="AM1396" i="2"/>
  <c r="AM1395" i="2"/>
  <c r="AM1394" i="2"/>
  <c r="AM1393" i="2"/>
  <c r="AM1392" i="2"/>
  <c r="AM1391" i="2"/>
  <c r="AM1390" i="2"/>
  <c r="AM1389" i="2"/>
  <c r="AM1388" i="2"/>
  <c r="AM1387" i="2"/>
  <c r="AM1386" i="2"/>
  <c r="AM1385" i="2"/>
  <c r="AM1384" i="2"/>
  <c r="AM1383" i="2"/>
  <c r="AM1382" i="2"/>
  <c r="AM1381" i="2"/>
  <c r="AM1380" i="2"/>
  <c r="AM1379" i="2"/>
  <c r="AM1378" i="2"/>
  <c r="AM1377" i="2"/>
  <c r="AM1376" i="2"/>
  <c r="AM1375" i="2"/>
  <c r="AM1374" i="2"/>
  <c r="AM1373" i="2"/>
  <c r="AM1372" i="2"/>
  <c r="AM1371" i="2"/>
  <c r="AM1370" i="2"/>
  <c r="AM1369" i="2"/>
  <c r="AM1368" i="2"/>
  <c r="AM1367" i="2"/>
  <c r="AM1366" i="2"/>
  <c r="AM1365" i="2"/>
  <c r="AM1364" i="2"/>
  <c r="AM1363" i="2"/>
  <c r="AM1362" i="2"/>
  <c r="AM1361" i="2"/>
  <c r="AM1360" i="2"/>
  <c r="AM1359" i="2"/>
  <c r="AM1358" i="2"/>
  <c r="AM1357" i="2"/>
  <c r="AM1356" i="2"/>
  <c r="AM1355" i="2"/>
  <c r="AM1354" i="2"/>
  <c r="AM1353" i="2"/>
  <c r="AM1352" i="2"/>
  <c r="AM1351" i="2"/>
  <c r="AM1350" i="2"/>
  <c r="AM1349" i="2"/>
  <c r="AM1348" i="2"/>
  <c r="AM1347" i="2"/>
  <c r="AM1346" i="2"/>
  <c r="AM1345" i="2"/>
  <c r="AM1344" i="2"/>
  <c r="AM1343" i="2"/>
  <c r="AM1342" i="2"/>
  <c r="AM1341" i="2"/>
  <c r="AM1340" i="2"/>
  <c r="AM1339" i="2"/>
  <c r="AM1338" i="2"/>
  <c r="AM1337" i="2"/>
  <c r="AM1336" i="2"/>
  <c r="AM1335" i="2"/>
  <c r="AM1334" i="2"/>
  <c r="AM1333" i="2"/>
  <c r="AM1332" i="2"/>
  <c r="AM1331" i="2"/>
  <c r="AM1330" i="2"/>
  <c r="AM1329" i="2"/>
  <c r="AM1328" i="2"/>
  <c r="AM1327" i="2"/>
  <c r="AM1326" i="2"/>
  <c r="AM1325" i="2"/>
  <c r="AM1324" i="2"/>
  <c r="AM1323" i="2"/>
  <c r="AM1322" i="2"/>
  <c r="AM1321" i="2"/>
  <c r="AM1320" i="2"/>
  <c r="AM1319" i="2"/>
  <c r="AM1318" i="2"/>
  <c r="AM1317" i="2"/>
  <c r="AM1316" i="2"/>
  <c r="AM1315" i="2"/>
  <c r="AM1314" i="2"/>
  <c r="AM1313" i="2"/>
  <c r="AM1312" i="2"/>
  <c r="AM1311" i="2"/>
  <c r="AM1310" i="2"/>
  <c r="AM1309" i="2"/>
  <c r="AM1308" i="2"/>
  <c r="AM1307" i="2"/>
  <c r="AM1306" i="2"/>
  <c r="AM1305" i="2"/>
  <c r="AM1304" i="2"/>
  <c r="AM1303" i="2"/>
  <c r="AM1302" i="2"/>
  <c r="AM1301" i="2"/>
  <c r="AM1300" i="2"/>
  <c r="AM1299" i="2"/>
  <c r="AM1298" i="2"/>
  <c r="AM1297" i="2"/>
  <c r="AM1296" i="2"/>
  <c r="AM1295" i="2"/>
  <c r="AM1294" i="2"/>
  <c r="AM1293" i="2"/>
  <c r="AM1292" i="2"/>
  <c r="AM1291" i="2"/>
  <c r="AM1290" i="2"/>
  <c r="AM1289" i="2"/>
  <c r="AM1288" i="2"/>
  <c r="AM1287" i="2"/>
  <c r="AM1286" i="2"/>
  <c r="AM1285" i="2"/>
  <c r="AM1284" i="2"/>
  <c r="AM1283" i="2"/>
  <c r="AM1282" i="2"/>
  <c r="AM1281" i="2"/>
  <c r="AM1280" i="2"/>
  <c r="AM1279" i="2"/>
  <c r="AM1278" i="2"/>
  <c r="AM1277" i="2"/>
  <c r="AM1276" i="2"/>
  <c r="AM1275" i="2"/>
  <c r="AM1274" i="2"/>
  <c r="AM1273" i="2"/>
  <c r="AM1272" i="2"/>
  <c r="AM1271" i="2"/>
  <c r="AM1270" i="2"/>
  <c r="AM1269" i="2"/>
  <c r="AM1268" i="2"/>
  <c r="AM1267" i="2"/>
  <c r="AM1266" i="2"/>
  <c r="AM1265" i="2"/>
  <c r="AM1264" i="2"/>
  <c r="AM1263" i="2"/>
  <c r="AM1262" i="2"/>
  <c r="AM1261" i="2"/>
  <c r="AM1260" i="2"/>
  <c r="AM1259" i="2"/>
  <c r="AM1258" i="2"/>
  <c r="AM1257" i="2"/>
  <c r="AM1256" i="2"/>
  <c r="AM1255" i="2"/>
  <c r="AM1254" i="2"/>
  <c r="AM1253" i="2"/>
  <c r="AM1252" i="2"/>
  <c r="AM1251" i="2"/>
  <c r="AM1250" i="2"/>
  <c r="AM1249" i="2"/>
  <c r="AM1248" i="2"/>
  <c r="AM1247" i="2"/>
  <c r="AM1246" i="2"/>
  <c r="AM1245" i="2"/>
  <c r="AM1244" i="2"/>
  <c r="AM1243" i="2"/>
  <c r="AM1242" i="2"/>
  <c r="AM1241" i="2"/>
  <c r="AM1240" i="2"/>
  <c r="AM1239" i="2"/>
  <c r="AM1238" i="2"/>
  <c r="AM1237" i="2"/>
  <c r="AM1236" i="2"/>
  <c r="AM1235" i="2"/>
  <c r="AM1234" i="2"/>
  <c r="AM1233" i="2"/>
  <c r="AM1232" i="2"/>
  <c r="AM1231" i="2"/>
  <c r="AM1230" i="2"/>
  <c r="AM1229" i="2"/>
  <c r="AM1228" i="2"/>
  <c r="AM1227" i="2"/>
  <c r="AM1226" i="2"/>
  <c r="AM1225" i="2"/>
  <c r="AM1224" i="2"/>
  <c r="AM1223" i="2"/>
  <c r="AM1222" i="2"/>
  <c r="AM1221" i="2"/>
  <c r="AM1220" i="2"/>
  <c r="AM1219" i="2"/>
  <c r="AM1218" i="2"/>
  <c r="AM1217" i="2"/>
  <c r="AM1216" i="2"/>
  <c r="AM1215" i="2"/>
  <c r="AM1214" i="2"/>
  <c r="AM1213" i="2"/>
  <c r="AM1212" i="2"/>
  <c r="AM1211" i="2"/>
  <c r="AM1210" i="2"/>
  <c r="AM1209" i="2"/>
  <c r="AM1208" i="2"/>
  <c r="AM1207" i="2"/>
  <c r="AM1206" i="2"/>
  <c r="AM1205" i="2"/>
  <c r="AM1204" i="2"/>
  <c r="AM1203" i="2"/>
  <c r="AM1202" i="2"/>
  <c r="AM1201" i="2"/>
  <c r="AM1200" i="2"/>
  <c r="AM1199" i="2"/>
  <c r="AM1198" i="2"/>
  <c r="AM1197" i="2"/>
  <c r="AM1196" i="2"/>
  <c r="AM1195" i="2"/>
  <c r="AM1194" i="2"/>
  <c r="AM1193" i="2"/>
  <c r="AM1192" i="2"/>
  <c r="AM1191" i="2"/>
  <c r="AM1190" i="2"/>
  <c r="AM1189" i="2"/>
  <c r="AM1188" i="2"/>
  <c r="AM1187" i="2"/>
  <c r="AM1186" i="2"/>
  <c r="AM1185" i="2"/>
  <c r="AM1184" i="2"/>
  <c r="AM1183" i="2"/>
  <c r="AM1182" i="2"/>
  <c r="AM1181" i="2"/>
  <c r="AM1180" i="2"/>
  <c r="AM1179" i="2"/>
  <c r="AM1178" i="2"/>
  <c r="AM1177" i="2"/>
  <c r="AM1176" i="2"/>
  <c r="AM1175" i="2"/>
  <c r="AM1174" i="2"/>
  <c r="AM1173" i="2"/>
  <c r="AM1172" i="2"/>
  <c r="AM1171" i="2"/>
  <c r="AM1170" i="2"/>
  <c r="AM1169" i="2"/>
  <c r="AM1168" i="2"/>
  <c r="AM1167" i="2"/>
  <c r="AM1166" i="2"/>
  <c r="AM1165" i="2"/>
  <c r="AM1164" i="2"/>
  <c r="AM1163" i="2"/>
  <c r="AM1162" i="2"/>
  <c r="AM1161" i="2"/>
  <c r="AM1160" i="2"/>
  <c r="AM1159" i="2"/>
  <c r="AM1158" i="2"/>
  <c r="AM1157" i="2"/>
  <c r="AM1156" i="2"/>
  <c r="AM1155" i="2"/>
  <c r="AM1154" i="2"/>
  <c r="AM1153" i="2"/>
  <c r="AM1152" i="2"/>
  <c r="AM1151" i="2"/>
  <c r="AM1150" i="2"/>
  <c r="AM1149" i="2"/>
  <c r="AM1148" i="2"/>
  <c r="AM1147" i="2"/>
  <c r="AM1146" i="2"/>
  <c r="AM1145" i="2"/>
  <c r="AM1144" i="2"/>
  <c r="AM1143" i="2"/>
  <c r="AM1142" i="2"/>
  <c r="AM1141" i="2"/>
  <c r="AM1140" i="2"/>
  <c r="AM1139" i="2"/>
  <c r="AM1138" i="2"/>
  <c r="AM1137" i="2"/>
  <c r="AM1136" i="2"/>
  <c r="AM1135" i="2"/>
  <c r="AM1134" i="2"/>
  <c r="AM1133" i="2"/>
  <c r="AM1132" i="2"/>
  <c r="AM1131" i="2"/>
  <c r="AM1130" i="2"/>
  <c r="AM1129" i="2"/>
  <c r="AM1128" i="2"/>
  <c r="AM1127" i="2"/>
  <c r="AM1126" i="2"/>
  <c r="AM1125" i="2"/>
  <c r="AM1124" i="2"/>
  <c r="AM1123" i="2"/>
  <c r="AM1122" i="2"/>
  <c r="AM1121" i="2"/>
  <c r="AM1120" i="2"/>
  <c r="AM1119" i="2"/>
  <c r="AM1118" i="2"/>
  <c r="AM1117" i="2"/>
  <c r="AM1116" i="2"/>
  <c r="AM1115" i="2"/>
  <c r="AM1114" i="2"/>
  <c r="AM1113" i="2"/>
  <c r="AM1112" i="2"/>
  <c r="AM1111" i="2"/>
  <c r="AM1110" i="2"/>
  <c r="AM1109" i="2"/>
  <c r="AM1108" i="2"/>
  <c r="AM1107" i="2"/>
  <c r="AM1106" i="2"/>
  <c r="AM1105" i="2"/>
  <c r="AM1104" i="2"/>
  <c r="AM1103" i="2"/>
  <c r="AM1102" i="2"/>
  <c r="AM1101" i="2"/>
  <c r="AM1100" i="2"/>
  <c r="AM1099" i="2"/>
  <c r="AM1098" i="2"/>
  <c r="AM1097" i="2"/>
  <c r="AM1096" i="2"/>
  <c r="AM1095" i="2"/>
  <c r="AM1094" i="2"/>
  <c r="AM1093" i="2"/>
  <c r="AM1092" i="2"/>
  <c r="AM1091" i="2"/>
  <c r="AM1090" i="2"/>
  <c r="AM1089" i="2"/>
  <c r="AM1088" i="2"/>
  <c r="AM1087" i="2"/>
  <c r="AM1086" i="2"/>
  <c r="AM1085" i="2"/>
  <c r="AM1084" i="2"/>
  <c r="AM1083" i="2"/>
  <c r="AM1082" i="2"/>
  <c r="AM1081" i="2"/>
  <c r="AM1080" i="2"/>
  <c r="AM1079" i="2"/>
  <c r="AM1078" i="2"/>
  <c r="AM1077" i="2"/>
  <c r="AM1076" i="2"/>
  <c r="AM1075" i="2"/>
  <c r="AM1074" i="2"/>
  <c r="AM1073" i="2"/>
  <c r="AM1072" i="2"/>
  <c r="AM1071" i="2"/>
  <c r="AM1070" i="2"/>
  <c r="AM1069" i="2"/>
  <c r="AM1068" i="2"/>
  <c r="AM1067" i="2"/>
  <c r="AM1066" i="2"/>
  <c r="AM1065" i="2"/>
  <c r="AM1064" i="2"/>
  <c r="AM1063" i="2"/>
  <c r="AM1062" i="2"/>
  <c r="AM1061" i="2"/>
  <c r="AM1060" i="2"/>
  <c r="AM1059" i="2"/>
  <c r="AM1058" i="2"/>
  <c r="AM1057" i="2"/>
  <c r="AM1056" i="2"/>
  <c r="AM1055" i="2"/>
  <c r="AM1054" i="2"/>
  <c r="AM1053" i="2"/>
  <c r="AM1052" i="2"/>
  <c r="AM1051" i="2"/>
  <c r="AM1050" i="2"/>
  <c r="AM1049" i="2"/>
  <c r="AM1048" i="2"/>
  <c r="AM1047" i="2"/>
  <c r="AM1046" i="2"/>
  <c r="AM1045" i="2"/>
  <c r="AM1044" i="2"/>
  <c r="AM1043" i="2"/>
  <c r="AM1042" i="2"/>
  <c r="AM1041" i="2"/>
  <c r="AM1040" i="2"/>
  <c r="AM1039" i="2"/>
  <c r="AM1038" i="2"/>
  <c r="AM1037" i="2"/>
  <c r="AM1036" i="2"/>
  <c r="AM1035" i="2"/>
  <c r="AM1034" i="2"/>
  <c r="AM1033" i="2"/>
  <c r="AM1032" i="2"/>
  <c r="AM1031" i="2"/>
  <c r="AM1030" i="2"/>
  <c r="AM1029" i="2"/>
  <c r="AM1028" i="2"/>
  <c r="AM1027" i="2"/>
  <c r="AM1026" i="2"/>
  <c r="AM1025" i="2"/>
  <c r="AM1024" i="2"/>
  <c r="AM1023" i="2"/>
  <c r="AM1022" i="2"/>
  <c r="AM1021" i="2"/>
  <c r="AM1020" i="2"/>
  <c r="AM1019" i="2"/>
  <c r="AM1018" i="2"/>
  <c r="AM1017" i="2"/>
  <c r="AM1016" i="2"/>
  <c r="AM1015" i="2"/>
  <c r="AM1014" i="2"/>
  <c r="AM1013" i="2"/>
  <c r="AM1012" i="2"/>
  <c r="AM1011" i="2"/>
  <c r="AM1010" i="2"/>
  <c r="AM1009" i="2"/>
  <c r="AM1008" i="2"/>
  <c r="AM1007" i="2"/>
  <c r="AM1006" i="2"/>
  <c r="AM1005" i="2"/>
  <c r="AM1004" i="2"/>
  <c r="AM1003" i="2"/>
  <c r="AM1002" i="2"/>
  <c r="AM1001" i="2"/>
  <c r="AM1000" i="2"/>
  <c r="AM999" i="2"/>
  <c r="AM998" i="2"/>
  <c r="AM997" i="2"/>
  <c r="AM996" i="2"/>
  <c r="AM995" i="2"/>
  <c r="AM994" i="2"/>
  <c r="AM993" i="2"/>
  <c r="AM992" i="2"/>
  <c r="AM991" i="2"/>
  <c r="AM990" i="2"/>
  <c r="AM989" i="2"/>
  <c r="AM988" i="2"/>
  <c r="AM987" i="2"/>
  <c r="AM986" i="2"/>
  <c r="AM985" i="2"/>
  <c r="AI2000" i="2"/>
  <c r="AI1999" i="2"/>
  <c r="AI1998" i="2"/>
  <c r="AI1997" i="2"/>
  <c r="AI1996" i="2"/>
  <c r="AI1995" i="2"/>
  <c r="AI1994" i="2"/>
  <c r="AI1993" i="2"/>
  <c r="AI1992" i="2"/>
  <c r="AI1991" i="2"/>
  <c r="AI1990" i="2"/>
  <c r="AI1989" i="2"/>
  <c r="AI1988" i="2"/>
  <c r="AI1987" i="2"/>
  <c r="AI1986" i="2"/>
  <c r="AI1985" i="2"/>
  <c r="AI1984" i="2"/>
  <c r="AI1983" i="2"/>
  <c r="AI1982" i="2"/>
  <c r="AI1981" i="2"/>
  <c r="AI1980" i="2"/>
  <c r="AI1979" i="2"/>
  <c r="AI1978" i="2"/>
  <c r="AI1977" i="2"/>
  <c r="AI1976" i="2"/>
  <c r="AI1975" i="2"/>
  <c r="AI1974" i="2"/>
  <c r="AI1973" i="2"/>
  <c r="AI1972" i="2"/>
  <c r="AI1971" i="2"/>
  <c r="AI1970" i="2"/>
  <c r="AI1969" i="2"/>
  <c r="AI1968" i="2"/>
  <c r="AI1967" i="2"/>
  <c r="AI1966" i="2"/>
  <c r="AI1965" i="2"/>
  <c r="AI1964" i="2"/>
  <c r="AI1963" i="2"/>
  <c r="AI1962" i="2"/>
  <c r="AI1961" i="2"/>
  <c r="AI1960" i="2"/>
  <c r="AI1959" i="2"/>
  <c r="AI1958" i="2"/>
  <c r="AI1957" i="2"/>
  <c r="AI1956" i="2"/>
  <c r="AI1955" i="2"/>
  <c r="AI1954" i="2"/>
  <c r="AI1953" i="2"/>
  <c r="AI1952" i="2"/>
  <c r="AI1951" i="2"/>
  <c r="AI1950" i="2"/>
  <c r="AI1949" i="2"/>
  <c r="AI1948" i="2"/>
  <c r="AI1947" i="2"/>
  <c r="AI1946" i="2"/>
  <c r="AI1945" i="2"/>
  <c r="AI1944" i="2"/>
  <c r="AI1943" i="2"/>
  <c r="AI1942" i="2"/>
  <c r="AI1941" i="2"/>
  <c r="AI1940" i="2"/>
  <c r="AI1939" i="2"/>
  <c r="AI1938" i="2"/>
  <c r="AI1937" i="2"/>
  <c r="AI1936" i="2"/>
  <c r="AI1935" i="2"/>
  <c r="AI1934" i="2"/>
  <c r="AI1933" i="2"/>
  <c r="AI1932" i="2"/>
  <c r="AI1931" i="2"/>
  <c r="AI1930" i="2"/>
  <c r="AI1929" i="2"/>
  <c r="AI1928" i="2"/>
  <c r="AI1927" i="2"/>
  <c r="AI1926" i="2"/>
  <c r="AI1925" i="2"/>
  <c r="AI1924" i="2"/>
  <c r="AI1923" i="2"/>
  <c r="AI1922" i="2"/>
  <c r="AI1921" i="2"/>
  <c r="AI1920" i="2"/>
  <c r="AI1919" i="2"/>
  <c r="AI1918" i="2"/>
  <c r="AI1917" i="2"/>
  <c r="AI1916" i="2"/>
  <c r="AI1915" i="2"/>
  <c r="AI1914" i="2"/>
  <c r="AI1913" i="2"/>
  <c r="AI1912" i="2"/>
  <c r="AI1911" i="2"/>
  <c r="AI1910" i="2"/>
  <c r="AI1909" i="2"/>
  <c r="AI1908" i="2"/>
  <c r="AI1907" i="2"/>
  <c r="AI1906" i="2"/>
  <c r="AI1905" i="2"/>
  <c r="AI1904" i="2"/>
  <c r="AI1903" i="2"/>
  <c r="AI1902" i="2"/>
  <c r="AI1901" i="2"/>
  <c r="AI1900" i="2"/>
  <c r="AI1899" i="2"/>
  <c r="AI1898" i="2"/>
  <c r="AI1897" i="2"/>
  <c r="AI1896" i="2"/>
  <c r="AI1895" i="2"/>
  <c r="AI1894" i="2"/>
  <c r="AI1893" i="2"/>
  <c r="AI1892" i="2"/>
  <c r="AI1891" i="2"/>
  <c r="AI1890" i="2"/>
  <c r="AI1889" i="2"/>
  <c r="AI1888" i="2"/>
  <c r="AI1887" i="2"/>
  <c r="AI1886" i="2"/>
  <c r="AI1885" i="2"/>
  <c r="AI1884" i="2"/>
  <c r="AI1883" i="2"/>
  <c r="AI1882" i="2"/>
  <c r="AI1881" i="2"/>
  <c r="AI1880" i="2"/>
  <c r="AI1879" i="2"/>
  <c r="AI1878" i="2"/>
  <c r="AI1877" i="2"/>
  <c r="AI1876" i="2"/>
  <c r="AI1875" i="2"/>
  <c r="AI1874" i="2"/>
  <c r="AI1873" i="2"/>
  <c r="AI1872" i="2"/>
  <c r="AI1871" i="2"/>
  <c r="AI1870" i="2"/>
  <c r="AI1869" i="2"/>
  <c r="AI1868" i="2"/>
  <c r="AI1867" i="2"/>
  <c r="AI1866" i="2"/>
  <c r="AI1865" i="2"/>
  <c r="AI1864" i="2"/>
  <c r="AI1863" i="2"/>
  <c r="AI1862" i="2"/>
  <c r="AI1861" i="2"/>
  <c r="AI1860" i="2"/>
  <c r="AI1859" i="2"/>
  <c r="AI1858" i="2"/>
  <c r="AI1857" i="2"/>
  <c r="AI1856" i="2"/>
  <c r="AI1855" i="2"/>
  <c r="AI1854" i="2"/>
  <c r="AI1853" i="2"/>
  <c r="AI1852" i="2"/>
  <c r="AI1851" i="2"/>
  <c r="AI1850" i="2"/>
  <c r="AI1849" i="2"/>
  <c r="AI1848" i="2"/>
  <c r="AI1847" i="2"/>
  <c r="AI1846" i="2"/>
  <c r="AI1845" i="2"/>
  <c r="AI1844" i="2"/>
  <c r="AI1843" i="2"/>
  <c r="AI1842" i="2"/>
  <c r="AI1841" i="2"/>
  <c r="AI1840" i="2"/>
  <c r="AI1839" i="2"/>
  <c r="AI1838" i="2"/>
  <c r="AI1837" i="2"/>
  <c r="AI1836" i="2"/>
  <c r="AI1835" i="2"/>
  <c r="AI1834" i="2"/>
  <c r="AI1833" i="2"/>
  <c r="AI1832" i="2"/>
  <c r="AI1831" i="2"/>
  <c r="AI1830" i="2"/>
  <c r="AI1829" i="2"/>
  <c r="AI1828" i="2"/>
  <c r="AI1827" i="2"/>
  <c r="AI1826" i="2"/>
  <c r="AI1825" i="2"/>
  <c r="AI1824" i="2"/>
  <c r="AI1823" i="2"/>
  <c r="AI1822" i="2"/>
  <c r="AI1821" i="2"/>
  <c r="AI1820" i="2"/>
  <c r="AI1819" i="2"/>
  <c r="AI1818" i="2"/>
  <c r="AI1817" i="2"/>
  <c r="AI1816" i="2"/>
  <c r="AI1815" i="2"/>
  <c r="AI1814" i="2"/>
  <c r="AI1813" i="2"/>
  <c r="AI1812" i="2"/>
  <c r="AI1811" i="2"/>
  <c r="AI1810" i="2"/>
  <c r="AI1809" i="2"/>
  <c r="AI1808" i="2"/>
  <c r="AI1807" i="2"/>
  <c r="AI1806" i="2"/>
  <c r="AI1805" i="2"/>
  <c r="AI1804" i="2"/>
  <c r="AI1803" i="2"/>
  <c r="AI1802" i="2"/>
  <c r="AI1801" i="2"/>
  <c r="AI1800" i="2"/>
  <c r="AI1799" i="2"/>
  <c r="AI1798" i="2"/>
  <c r="AI1797" i="2"/>
  <c r="AI1796" i="2"/>
  <c r="AI1795" i="2"/>
  <c r="AI1794" i="2"/>
  <c r="AI1793" i="2"/>
  <c r="AI1792" i="2"/>
  <c r="AI1791" i="2"/>
  <c r="AI1790" i="2"/>
  <c r="AI1789" i="2"/>
  <c r="AI1788" i="2"/>
  <c r="AI1787" i="2"/>
  <c r="AI1786" i="2"/>
  <c r="AI1785" i="2"/>
  <c r="AI1784" i="2"/>
  <c r="AI1783" i="2"/>
  <c r="AI1782" i="2"/>
  <c r="AI1781" i="2"/>
  <c r="AI1780" i="2"/>
  <c r="AI1779" i="2"/>
  <c r="AI1778" i="2"/>
  <c r="AI1777" i="2"/>
  <c r="AI1776" i="2"/>
  <c r="AI1775" i="2"/>
  <c r="AI1774" i="2"/>
  <c r="AI1773" i="2"/>
  <c r="AI1772" i="2"/>
  <c r="AI1771" i="2"/>
  <c r="AI1770" i="2"/>
  <c r="AI1769" i="2"/>
  <c r="AI1768" i="2"/>
  <c r="AI1767" i="2"/>
  <c r="AI1766" i="2"/>
  <c r="AI1765" i="2"/>
  <c r="AI1764" i="2"/>
  <c r="AI1763" i="2"/>
  <c r="AI1762" i="2"/>
  <c r="AI1761" i="2"/>
  <c r="AI1760" i="2"/>
  <c r="AI1759" i="2"/>
  <c r="AI1758" i="2"/>
  <c r="AI1757" i="2"/>
  <c r="AI1756" i="2"/>
  <c r="AI1755" i="2"/>
  <c r="AI1754" i="2"/>
  <c r="AI1753" i="2"/>
  <c r="AI1752" i="2"/>
  <c r="AI1751" i="2"/>
  <c r="AI1750" i="2"/>
  <c r="AI1749" i="2"/>
  <c r="AI1748" i="2"/>
  <c r="AI1747" i="2"/>
  <c r="AI1746" i="2"/>
  <c r="AI1745" i="2"/>
  <c r="AI1744" i="2"/>
  <c r="AI1743" i="2"/>
  <c r="AI1742" i="2"/>
  <c r="AI1741" i="2"/>
  <c r="AI1740" i="2"/>
  <c r="AI1739" i="2"/>
  <c r="AI1738" i="2"/>
  <c r="AI1737" i="2"/>
  <c r="AI1736" i="2"/>
  <c r="AI1735" i="2"/>
  <c r="AI1734" i="2"/>
  <c r="AI1733" i="2"/>
  <c r="AI1732" i="2"/>
  <c r="AI1731" i="2"/>
  <c r="AI1730" i="2"/>
  <c r="AI1729" i="2"/>
  <c r="AI1728" i="2"/>
  <c r="AI1727" i="2"/>
  <c r="AI1726" i="2"/>
  <c r="AI1725" i="2"/>
  <c r="AI1724" i="2"/>
  <c r="AI1723" i="2"/>
  <c r="AI1722" i="2"/>
  <c r="AI1721" i="2"/>
  <c r="AI1720" i="2"/>
  <c r="AI1719" i="2"/>
  <c r="AI1718" i="2"/>
  <c r="AI1717" i="2"/>
  <c r="AI1716" i="2"/>
  <c r="AI1715" i="2"/>
  <c r="AI1714" i="2"/>
  <c r="AI1713" i="2"/>
  <c r="AI1712" i="2"/>
  <c r="AI1711" i="2"/>
  <c r="AI1710" i="2"/>
  <c r="AI1709" i="2"/>
  <c r="AI1708" i="2"/>
  <c r="AI1707" i="2"/>
  <c r="AI1706" i="2"/>
  <c r="AI1705" i="2"/>
  <c r="AI1704" i="2"/>
  <c r="AI1703" i="2"/>
  <c r="AI1702" i="2"/>
  <c r="AI1701" i="2"/>
  <c r="AI1700" i="2"/>
  <c r="AI1699" i="2"/>
  <c r="AI1698" i="2"/>
  <c r="AI1697" i="2"/>
  <c r="AI1696" i="2"/>
  <c r="AI1695" i="2"/>
  <c r="AI1694" i="2"/>
  <c r="AI1693" i="2"/>
  <c r="AI1692" i="2"/>
  <c r="AI1691" i="2"/>
  <c r="AI1690" i="2"/>
  <c r="AI1689" i="2"/>
  <c r="AI1688" i="2"/>
  <c r="AI1687" i="2"/>
  <c r="AI1686" i="2"/>
  <c r="AI1685" i="2"/>
  <c r="AI1684" i="2"/>
  <c r="AI1683" i="2"/>
  <c r="AI1682" i="2"/>
  <c r="AI1681" i="2"/>
  <c r="AI1680" i="2"/>
  <c r="AI1679" i="2"/>
  <c r="AI1678" i="2"/>
  <c r="AI1677" i="2"/>
  <c r="AI1676" i="2"/>
  <c r="AI1675" i="2"/>
  <c r="AI1674" i="2"/>
  <c r="AI1673" i="2"/>
  <c r="AI1672" i="2"/>
  <c r="AI1671" i="2"/>
  <c r="AI1670" i="2"/>
  <c r="AI1669" i="2"/>
  <c r="AI1668" i="2"/>
  <c r="AI1667" i="2"/>
  <c r="AI1666" i="2"/>
  <c r="AI1665" i="2"/>
  <c r="AI1664" i="2"/>
  <c r="AI1663" i="2"/>
  <c r="AI1662" i="2"/>
  <c r="AI1661" i="2"/>
  <c r="AI1660" i="2"/>
  <c r="AI1659" i="2"/>
  <c r="AI1658" i="2"/>
  <c r="AI1657" i="2"/>
  <c r="AI1656" i="2"/>
  <c r="AI1655" i="2"/>
  <c r="AI1654" i="2"/>
  <c r="AI1653" i="2"/>
  <c r="AI1652" i="2"/>
  <c r="AI1651" i="2"/>
  <c r="AI1650" i="2"/>
  <c r="AI1649" i="2"/>
  <c r="AI1648" i="2"/>
  <c r="AI1647" i="2"/>
  <c r="AI1646" i="2"/>
  <c r="AI1645" i="2"/>
  <c r="AI1644" i="2"/>
  <c r="AI1643" i="2"/>
  <c r="AI1642" i="2"/>
  <c r="AI1641" i="2"/>
  <c r="AI1640" i="2"/>
  <c r="AI1639" i="2"/>
  <c r="AI1638" i="2"/>
  <c r="AI1637" i="2"/>
  <c r="AI1636" i="2"/>
  <c r="AI1635" i="2"/>
  <c r="AI1634" i="2"/>
  <c r="AI1633" i="2"/>
  <c r="AI1632" i="2"/>
  <c r="AI1631" i="2"/>
  <c r="AI1630" i="2"/>
  <c r="AI1629" i="2"/>
  <c r="AI1628" i="2"/>
  <c r="AI1627" i="2"/>
  <c r="AI1626" i="2"/>
  <c r="AI1625" i="2"/>
  <c r="AI1624" i="2"/>
  <c r="AI1623" i="2"/>
  <c r="AI1622" i="2"/>
  <c r="AI1621" i="2"/>
  <c r="AI1620" i="2"/>
  <c r="AI1619" i="2"/>
  <c r="AI1618" i="2"/>
  <c r="AI1617" i="2"/>
  <c r="AI1616" i="2"/>
  <c r="AI1615" i="2"/>
  <c r="AI1614" i="2"/>
  <c r="AI1613" i="2"/>
  <c r="AI1612" i="2"/>
  <c r="AI1611" i="2"/>
  <c r="AI1610" i="2"/>
  <c r="AI1609" i="2"/>
  <c r="AI1608" i="2"/>
  <c r="AI1607" i="2"/>
  <c r="AI1606" i="2"/>
  <c r="AI1605" i="2"/>
  <c r="AI1604" i="2"/>
  <c r="AI1603" i="2"/>
  <c r="AI1602" i="2"/>
  <c r="AI1601" i="2"/>
  <c r="AI1600" i="2"/>
  <c r="AI1599" i="2"/>
  <c r="AI1598" i="2"/>
  <c r="AI1597" i="2"/>
  <c r="AI1596" i="2"/>
  <c r="AI1595" i="2"/>
  <c r="AI1594" i="2"/>
  <c r="AI1593" i="2"/>
  <c r="AI1592" i="2"/>
  <c r="AI1591" i="2"/>
  <c r="AI1590" i="2"/>
  <c r="AI1589" i="2"/>
  <c r="AI1588" i="2"/>
  <c r="AI1587" i="2"/>
  <c r="AI1586" i="2"/>
  <c r="AI1585" i="2"/>
  <c r="AI1584" i="2"/>
  <c r="AI1583" i="2"/>
  <c r="AI1582" i="2"/>
  <c r="AI1581" i="2"/>
  <c r="AI1580" i="2"/>
  <c r="AI1579" i="2"/>
  <c r="AI1578" i="2"/>
  <c r="AI1577" i="2"/>
  <c r="AI1576" i="2"/>
  <c r="AI1575" i="2"/>
  <c r="AI1574" i="2"/>
  <c r="AI1573" i="2"/>
  <c r="AI1572" i="2"/>
  <c r="AI1571" i="2"/>
  <c r="AI1570" i="2"/>
  <c r="AI1569" i="2"/>
  <c r="AI1568" i="2"/>
  <c r="AI1567" i="2"/>
  <c r="AI1566" i="2"/>
  <c r="AI1565" i="2"/>
  <c r="AI1564" i="2"/>
  <c r="AI1563" i="2"/>
  <c r="AI1562" i="2"/>
  <c r="AI1561" i="2"/>
  <c r="AI1560" i="2"/>
  <c r="AI1559" i="2"/>
  <c r="AI1558" i="2"/>
  <c r="AI1557" i="2"/>
  <c r="AI1556" i="2"/>
  <c r="AI1555" i="2"/>
  <c r="AI1554" i="2"/>
  <c r="AI1553" i="2"/>
  <c r="AI1552" i="2"/>
  <c r="AI1551" i="2"/>
  <c r="AI1550" i="2"/>
  <c r="AI1549" i="2"/>
  <c r="AI1548" i="2"/>
  <c r="AI1547" i="2"/>
  <c r="AI1546" i="2"/>
  <c r="AI1545" i="2"/>
  <c r="AI1544" i="2"/>
  <c r="AI1543" i="2"/>
  <c r="AI1542" i="2"/>
  <c r="AI1541" i="2"/>
  <c r="AI1540" i="2"/>
  <c r="AI1539" i="2"/>
  <c r="AI1538" i="2"/>
  <c r="AI1537" i="2"/>
  <c r="AI1536" i="2"/>
  <c r="AI1535" i="2"/>
  <c r="AI1534" i="2"/>
  <c r="AI1533" i="2"/>
  <c r="AI1532" i="2"/>
  <c r="AI1531" i="2"/>
  <c r="AI1530" i="2"/>
  <c r="AI1529" i="2"/>
  <c r="AI1528" i="2"/>
  <c r="AI1527" i="2"/>
  <c r="AI1526" i="2"/>
  <c r="AI1525" i="2"/>
  <c r="AI1524" i="2"/>
  <c r="AI1523" i="2"/>
  <c r="AI1522" i="2"/>
  <c r="AI1521" i="2"/>
  <c r="AI1520" i="2"/>
  <c r="AI1519" i="2"/>
  <c r="AI1518" i="2"/>
  <c r="AI1517" i="2"/>
  <c r="AI1516" i="2"/>
  <c r="AI1515" i="2"/>
  <c r="AI1514" i="2"/>
  <c r="AI1513" i="2"/>
  <c r="AI1512" i="2"/>
  <c r="AI1511" i="2"/>
  <c r="AI1510" i="2"/>
  <c r="AI1509" i="2"/>
  <c r="AI1508" i="2"/>
  <c r="AI1507" i="2"/>
  <c r="AI1506" i="2"/>
  <c r="AI1505" i="2"/>
  <c r="AI1504" i="2"/>
  <c r="AI1503" i="2"/>
  <c r="AI1502" i="2"/>
  <c r="AI1501" i="2"/>
  <c r="AI1500" i="2"/>
  <c r="AI1499" i="2"/>
  <c r="AI1498" i="2"/>
  <c r="AI1497" i="2"/>
  <c r="AI1496" i="2"/>
  <c r="AI1495" i="2"/>
  <c r="AI1494" i="2"/>
  <c r="AI1493" i="2"/>
  <c r="AI1492" i="2"/>
  <c r="AI1491" i="2"/>
  <c r="AI1490" i="2"/>
  <c r="AI1489" i="2"/>
  <c r="AI1488" i="2"/>
  <c r="AI1487" i="2"/>
  <c r="AI1486" i="2"/>
  <c r="AI1485" i="2"/>
  <c r="AI1484" i="2"/>
  <c r="AI1483" i="2"/>
  <c r="AI1482" i="2"/>
  <c r="AI1481" i="2"/>
  <c r="AI1480" i="2"/>
  <c r="AI1479" i="2"/>
  <c r="AI1478" i="2"/>
  <c r="AI1477" i="2"/>
  <c r="AI1476" i="2"/>
  <c r="AI1475" i="2"/>
  <c r="AI1474" i="2"/>
  <c r="AI1473" i="2"/>
  <c r="AI1472" i="2"/>
  <c r="AI1471" i="2"/>
  <c r="AI1470" i="2"/>
  <c r="AI1469" i="2"/>
  <c r="AI1468" i="2"/>
  <c r="AI1467" i="2"/>
  <c r="AI1466" i="2"/>
  <c r="AI1465" i="2"/>
  <c r="AI1464" i="2"/>
  <c r="AI1463" i="2"/>
  <c r="AI1462" i="2"/>
  <c r="AI1461" i="2"/>
  <c r="AI1460" i="2"/>
  <c r="AI1459" i="2"/>
  <c r="AI1458" i="2"/>
  <c r="AI1457" i="2"/>
  <c r="AI1456" i="2"/>
  <c r="AI1455" i="2"/>
  <c r="AI1454" i="2"/>
  <c r="AI1453" i="2"/>
  <c r="AI1452" i="2"/>
  <c r="AI1451" i="2"/>
  <c r="AI1450" i="2"/>
  <c r="AI1449" i="2"/>
  <c r="AI1448" i="2"/>
  <c r="AI1447" i="2"/>
  <c r="AI1446" i="2"/>
  <c r="AI1445" i="2"/>
  <c r="AI1444" i="2"/>
  <c r="AI1443" i="2"/>
  <c r="AI1442" i="2"/>
  <c r="AI1441" i="2"/>
  <c r="AI1440" i="2"/>
  <c r="AI1439" i="2"/>
  <c r="AI1438" i="2"/>
  <c r="AI1437" i="2"/>
  <c r="AI1436" i="2"/>
  <c r="AI1435" i="2"/>
  <c r="AI1434" i="2"/>
  <c r="AI1433" i="2"/>
  <c r="AI1432" i="2"/>
  <c r="AI1431" i="2"/>
  <c r="AI1430" i="2"/>
  <c r="AI1429" i="2"/>
  <c r="AI1428" i="2"/>
  <c r="AI1427" i="2"/>
  <c r="AI1426" i="2"/>
  <c r="AI1425" i="2"/>
  <c r="AI1424" i="2"/>
  <c r="AI1423" i="2"/>
  <c r="AI1422" i="2"/>
  <c r="AI1421" i="2"/>
  <c r="AI1420" i="2"/>
  <c r="AI1419" i="2"/>
  <c r="AI1418" i="2"/>
  <c r="AI1417" i="2"/>
  <c r="AI1416" i="2"/>
  <c r="AI1415" i="2"/>
  <c r="AI1414" i="2"/>
  <c r="AI1413" i="2"/>
  <c r="AI1412" i="2"/>
  <c r="AI1411" i="2"/>
  <c r="AI1410" i="2"/>
  <c r="AI1409" i="2"/>
  <c r="AI1408" i="2"/>
  <c r="AI1407" i="2"/>
  <c r="AI1406" i="2"/>
  <c r="AI1405" i="2"/>
  <c r="AI1404" i="2"/>
  <c r="AI1403" i="2"/>
  <c r="AI1402" i="2"/>
  <c r="AI1401" i="2"/>
  <c r="AI1400" i="2"/>
  <c r="AI1399" i="2"/>
  <c r="AI1398" i="2"/>
  <c r="AI1397" i="2"/>
  <c r="AI1396" i="2"/>
  <c r="AI1395" i="2"/>
  <c r="AI1394" i="2"/>
  <c r="AI1393" i="2"/>
  <c r="AI1392" i="2"/>
  <c r="AI1391" i="2"/>
  <c r="AI1390" i="2"/>
  <c r="AI1389" i="2"/>
  <c r="AI1388" i="2"/>
  <c r="AI1387" i="2"/>
  <c r="AI1386" i="2"/>
  <c r="AI1385" i="2"/>
  <c r="AI1384" i="2"/>
  <c r="AI1383" i="2"/>
  <c r="AI1382" i="2"/>
  <c r="AI1381" i="2"/>
  <c r="AI1380" i="2"/>
  <c r="AI1379" i="2"/>
  <c r="AI1378" i="2"/>
  <c r="AI1377" i="2"/>
  <c r="AI1376" i="2"/>
  <c r="AI1375" i="2"/>
  <c r="AI1374" i="2"/>
  <c r="AI1373" i="2"/>
  <c r="AI1372" i="2"/>
  <c r="AI1371" i="2"/>
  <c r="AI1370" i="2"/>
  <c r="AI1369" i="2"/>
  <c r="AI1368" i="2"/>
  <c r="AI1367" i="2"/>
  <c r="AI1366" i="2"/>
  <c r="AI1365" i="2"/>
  <c r="AI1364" i="2"/>
  <c r="AI1363" i="2"/>
  <c r="AI1362" i="2"/>
  <c r="AI1361" i="2"/>
  <c r="AI1360" i="2"/>
  <c r="AI1359" i="2"/>
  <c r="AI1358" i="2"/>
  <c r="AI1357" i="2"/>
  <c r="AI1356" i="2"/>
  <c r="AI1355" i="2"/>
  <c r="AI1354" i="2"/>
  <c r="AI1353" i="2"/>
  <c r="AI1352" i="2"/>
  <c r="AI1351" i="2"/>
  <c r="AI1350" i="2"/>
  <c r="AI1349" i="2"/>
  <c r="AI1348" i="2"/>
  <c r="AI1347" i="2"/>
  <c r="AI1346" i="2"/>
  <c r="AI1345" i="2"/>
  <c r="AI1344" i="2"/>
  <c r="AI1343" i="2"/>
  <c r="AI1342" i="2"/>
  <c r="AI1341" i="2"/>
  <c r="AI1340" i="2"/>
  <c r="AI1339" i="2"/>
  <c r="AI1338" i="2"/>
  <c r="AI1337" i="2"/>
  <c r="AI1336" i="2"/>
  <c r="AI1335" i="2"/>
  <c r="AI1334" i="2"/>
  <c r="AI1333" i="2"/>
  <c r="AI1332" i="2"/>
  <c r="AI1331" i="2"/>
  <c r="AI1330" i="2"/>
  <c r="AI1329" i="2"/>
  <c r="AI1328" i="2"/>
  <c r="AI1327" i="2"/>
  <c r="AI1326" i="2"/>
  <c r="AI1325" i="2"/>
  <c r="AI1324" i="2"/>
  <c r="AI1323" i="2"/>
  <c r="AI1322" i="2"/>
  <c r="AI1321" i="2"/>
  <c r="AI1320" i="2"/>
  <c r="AI1319" i="2"/>
  <c r="AI1318" i="2"/>
  <c r="AI1317" i="2"/>
  <c r="AI1316" i="2"/>
  <c r="AI1315" i="2"/>
  <c r="AI1314" i="2"/>
  <c r="AI1313" i="2"/>
  <c r="AI1312" i="2"/>
  <c r="AI1311" i="2"/>
  <c r="AI1310" i="2"/>
  <c r="AI1309" i="2"/>
  <c r="AI1308" i="2"/>
  <c r="AI1307" i="2"/>
  <c r="AI1306" i="2"/>
  <c r="AI1305" i="2"/>
  <c r="AI1304" i="2"/>
  <c r="AI1303" i="2"/>
  <c r="AI1302" i="2"/>
  <c r="AI1301" i="2"/>
  <c r="AI1300" i="2"/>
  <c r="AI1299" i="2"/>
  <c r="AI1298" i="2"/>
  <c r="AI1297" i="2"/>
  <c r="AI1296" i="2"/>
  <c r="AI1295" i="2"/>
  <c r="AI1294" i="2"/>
  <c r="AI1293" i="2"/>
  <c r="AI1292" i="2"/>
  <c r="AI1291" i="2"/>
  <c r="AI1290" i="2"/>
  <c r="AI1289" i="2"/>
  <c r="AI1288" i="2"/>
  <c r="AI1287" i="2"/>
  <c r="AI1286" i="2"/>
  <c r="AI1285" i="2"/>
  <c r="AI1284" i="2"/>
  <c r="AI1283" i="2"/>
  <c r="AI1282" i="2"/>
  <c r="AI1281" i="2"/>
  <c r="AI1280" i="2"/>
  <c r="AI1279" i="2"/>
  <c r="AI1278" i="2"/>
  <c r="AI1277" i="2"/>
  <c r="AI1276" i="2"/>
  <c r="AI1275" i="2"/>
  <c r="AI1274" i="2"/>
  <c r="AI1273" i="2"/>
  <c r="AI1272" i="2"/>
  <c r="AI1271" i="2"/>
  <c r="AI1270" i="2"/>
  <c r="AI1269" i="2"/>
  <c r="AI1268" i="2"/>
  <c r="AI1267" i="2"/>
  <c r="AI1266" i="2"/>
  <c r="AI1265" i="2"/>
  <c r="AI1264" i="2"/>
  <c r="AI1263" i="2"/>
  <c r="AI1262" i="2"/>
  <c r="AI1261" i="2"/>
  <c r="AI1260" i="2"/>
  <c r="AI1259" i="2"/>
  <c r="AI1258" i="2"/>
  <c r="AI1257" i="2"/>
  <c r="AI1256" i="2"/>
  <c r="AI1255" i="2"/>
  <c r="AI1254" i="2"/>
  <c r="AI1253" i="2"/>
  <c r="AI1252" i="2"/>
  <c r="AI1251" i="2"/>
  <c r="AI1250" i="2"/>
  <c r="AI1249" i="2"/>
  <c r="AI1248" i="2"/>
  <c r="AI1247" i="2"/>
  <c r="AI1246" i="2"/>
  <c r="AI1245" i="2"/>
  <c r="AI1244" i="2"/>
  <c r="AI1243" i="2"/>
  <c r="AI1242" i="2"/>
  <c r="AI1241" i="2"/>
  <c r="AI1240" i="2"/>
  <c r="AI1239" i="2"/>
  <c r="AI1238" i="2"/>
  <c r="AI1237" i="2"/>
  <c r="AI1236" i="2"/>
  <c r="AI1235" i="2"/>
  <c r="AI1234" i="2"/>
  <c r="AI1233" i="2"/>
  <c r="AI1232" i="2"/>
  <c r="AI1231" i="2"/>
  <c r="AI1230" i="2"/>
  <c r="AI1229" i="2"/>
  <c r="AI1228" i="2"/>
  <c r="AI1227" i="2"/>
  <c r="AI1226" i="2"/>
  <c r="AI1225" i="2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AI1119" i="2"/>
  <c r="AI1118" i="2"/>
  <c r="AI1117" i="2"/>
  <c r="AI1116" i="2"/>
  <c r="AI1115" i="2"/>
  <c r="AI1114" i="2"/>
  <c r="AI1113" i="2"/>
  <c r="AI1112" i="2"/>
  <c r="AI1111" i="2"/>
  <c r="AI1110" i="2"/>
  <c r="AI1109" i="2"/>
  <c r="AI1108" i="2"/>
  <c r="AI1107" i="2"/>
  <c r="AI1106" i="2"/>
  <c r="AI1105" i="2"/>
  <c r="AI1104" i="2"/>
  <c r="AI1103" i="2"/>
  <c r="AI1102" i="2"/>
  <c r="AI1101" i="2"/>
  <c r="AI1100" i="2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C1" i="2"/>
  <c r="AF985" i="2"/>
  <c r="AG985" i="2"/>
  <c r="AH985" i="2"/>
  <c r="AJ985" i="2"/>
  <c r="AK985" i="2"/>
  <c r="AL985" i="2"/>
  <c r="AF986" i="2"/>
  <c r="AG986" i="2"/>
  <c r="AH986" i="2"/>
  <c r="AJ986" i="2"/>
  <c r="AK986" i="2"/>
  <c r="AL986" i="2"/>
  <c r="AF987" i="2"/>
  <c r="AG987" i="2"/>
  <c r="AH987" i="2"/>
  <c r="AJ987" i="2"/>
  <c r="AK987" i="2"/>
  <c r="AL987" i="2"/>
  <c r="AF988" i="2"/>
  <c r="AG988" i="2"/>
  <c r="AH988" i="2"/>
  <c r="AJ988" i="2"/>
  <c r="AK988" i="2"/>
  <c r="AL988" i="2"/>
  <c r="AF989" i="2"/>
  <c r="AG989" i="2"/>
  <c r="AH989" i="2"/>
  <c r="AJ989" i="2"/>
  <c r="AK989" i="2"/>
  <c r="AL989" i="2"/>
  <c r="AF990" i="2"/>
  <c r="AG990" i="2"/>
  <c r="AH990" i="2"/>
  <c r="AJ990" i="2"/>
  <c r="AK990" i="2"/>
  <c r="AL990" i="2"/>
  <c r="AF991" i="2"/>
  <c r="AG991" i="2"/>
  <c r="AH991" i="2"/>
  <c r="AJ991" i="2"/>
  <c r="AK991" i="2"/>
  <c r="AL991" i="2"/>
  <c r="AF992" i="2"/>
  <c r="AG992" i="2"/>
  <c r="AH992" i="2"/>
  <c r="AJ992" i="2"/>
  <c r="AK992" i="2"/>
  <c r="AL992" i="2"/>
  <c r="AF993" i="2"/>
  <c r="AG993" i="2"/>
  <c r="AH993" i="2"/>
  <c r="AJ993" i="2"/>
  <c r="AK993" i="2"/>
  <c r="AL993" i="2"/>
  <c r="AF994" i="2"/>
  <c r="AG994" i="2"/>
  <c r="AH994" i="2"/>
  <c r="AJ994" i="2"/>
  <c r="AK994" i="2"/>
  <c r="AL994" i="2"/>
  <c r="AF995" i="2"/>
  <c r="AG995" i="2"/>
  <c r="AH995" i="2"/>
  <c r="AJ995" i="2"/>
  <c r="AK995" i="2"/>
  <c r="AL995" i="2"/>
  <c r="AF996" i="2"/>
  <c r="AG996" i="2"/>
  <c r="AH996" i="2"/>
  <c r="AJ996" i="2"/>
  <c r="AK996" i="2"/>
  <c r="AL996" i="2"/>
  <c r="AF997" i="2"/>
  <c r="AG997" i="2"/>
  <c r="AH997" i="2"/>
  <c r="AJ997" i="2"/>
  <c r="AK997" i="2"/>
  <c r="AL997" i="2"/>
  <c r="AF998" i="2"/>
  <c r="AG998" i="2"/>
  <c r="AH998" i="2"/>
  <c r="AJ998" i="2"/>
  <c r="AK998" i="2"/>
  <c r="AL998" i="2"/>
  <c r="AF999" i="2"/>
  <c r="AG999" i="2"/>
  <c r="AH999" i="2"/>
  <c r="AJ999" i="2"/>
  <c r="AK999" i="2"/>
  <c r="AL999" i="2"/>
  <c r="AF1000" i="2"/>
  <c r="AG1000" i="2"/>
  <c r="AH1000" i="2"/>
  <c r="AJ1000" i="2"/>
  <c r="AK1000" i="2"/>
  <c r="AL1000" i="2"/>
  <c r="AF1001" i="2"/>
  <c r="AG1001" i="2"/>
  <c r="AH1001" i="2"/>
  <c r="AJ1001" i="2"/>
  <c r="AK1001" i="2"/>
  <c r="AL1001" i="2"/>
  <c r="AF1002" i="2"/>
  <c r="AG1002" i="2"/>
  <c r="AH1002" i="2"/>
  <c r="AJ1002" i="2"/>
  <c r="AK1002" i="2"/>
  <c r="AL1002" i="2"/>
  <c r="AF1003" i="2"/>
  <c r="AG1003" i="2"/>
  <c r="AH1003" i="2"/>
  <c r="AJ1003" i="2"/>
  <c r="AK1003" i="2"/>
  <c r="AL1003" i="2"/>
  <c r="AF1004" i="2"/>
  <c r="AG1004" i="2"/>
  <c r="AH1004" i="2"/>
  <c r="AJ1004" i="2"/>
  <c r="AK1004" i="2"/>
  <c r="AL1004" i="2"/>
  <c r="AF1005" i="2"/>
  <c r="AG1005" i="2"/>
  <c r="AH1005" i="2"/>
  <c r="AJ1005" i="2"/>
  <c r="AK1005" i="2"/>
  <c r="AL1005" i="2"/>
  <c r="AF1006" i="2"/>
  <c r="AG1006" i="2"/>
  <c r="AH1006" i="2"/>
  <c r="AJ1006" i="2"/>
  <c r="AK1006" i="2"/>
  <c r="AL1006" i="2"/>
  <c r="AF1007" i="2"/>
  <c r="AG1007" i="2"/>
  <c r="AH1007" i="2"/>
  <c r="AJ1007" i="2"/>
  <c r="AK1007" i="2"/>
  <c r="AL1007" i="2"/>
  <c r="AF1008" i="2"/>
  <c r="AG1008" i="2"/>
  <c r="AH1008" i="2"/>
  <c r="AJ1008" i="2"/>
  <c r="AK1008" i="2"/>
  <c r="AL1008" i="2"/>
  <c r="AF1009" i="2"/>
  <c r="AG1009" i="2"/>
  <c r="AH1009" i="2"/>
  <c r="AJ1009" i="2"/>
  <c r="AK1009" i="2"/>
  <c r="AL1009" i="2"/>
  <c r="AF1010" i="2"/>
  <c r="AG1010" i="2"/>
  <c r="AH1010" i="2"/>
  <c r="AJ1010" i="2"/>
  <c r="AK1010" i="2"/>
  <c r="AL1010" i="2"/>
  <c r="AF1011" i="2"/>
  <c r="AG1011" i="2"/>
  <c r="AH1011" i="2"/>
  <c r="AJ1011" i="2"/>
  <c r="AK1011" i="2"/>
  <c r="AL1011" i="2"/>
  <c r="AF1012" i="2"/>
  <c r="AG1012" i="2"/>
  <c r="AH1012" i="2"/>
  <c r="AJ1012" i="2"/>
  <c r="AK1012" i="2"/>
  <c r="AL1012" i="2"/>
  <c r="AF1013" i="2"/>
  <c r="AG1013" i="2"/>
  <c r="AH1013" i="2"/>
  <c r="AJ1013" i="2"/>
  <c r="AK1013" i="2"/>
  <c r="AL1013" i="2"/>
  <c r="AF1014" i="2"/>
  <c r="AG1014" i="2"/>
  <c r="AH1014" i="2"/>
  <c r="AJ1014" i="2"/>
  <c r="AK1014" i="2"/>
  <c r="AL1014" i="2"/>
  <c r="AF1015" i="2"/>
  <c r="AG1015" i="2"/>
  <c r="AH1015" i="2"/>
  <c r="AJ1015" i="2"/>
  <c r="AK1015" i="2"/>
  <c r="AL1015" i="2"/>
  <c r="AF1016" i="2"/>
  <c r="AG1016" i="2"/>
  <c r="AH1016" i="2"/>
  <c r="AJ1016" i="2"/>
  <c r="AK1016" i="2"/>
  <c r="AL1016" i="2"/>
  <c r="AF1017" i="2"/>
  <c r="AG1017" i="2"/>
  <c r="AH1017" i="2"/>
  <c r="AJ1017" i="2"/>
  <c r="AK1017" i="2"/>
  <c r="AL1017" i="2"/>
  <c r="AF1018" i="2"/>
  <c r="AG1018" i="2"/>
  <c r="AH1018" i="2"/>
  <c r="AJ1018" i="2"/>
  <c r="AK1018" i="2"/>
  <c r="AL1018" i="2"/>
  <c r="AF1019" i="2"/>
  <c r="AG1019" i="2"/>
  <c r="AH1019" i="2"/>
  <c r="AJ1019" i="2"/>
  <c r="AK1019" i="2"/>
  <c r="AL1019" i="2"/>
  <c r="AF1020" i="2"/>
  <c r="AG1020" i="2"/>
  <c r="AH1020" i="2"/>
  <c r="AJ1020" i="2"/>
  <c r="AK1020" i="2"/>
  <c r="AL1020" i="2"/>
  <c r="AF1021" i="2"/>
  <c r="AG1021" i="2"/>
  <c r="AH1021" i="2"/>
  <c r="AJ1021" i="2"/>
  <c r="AK1021" i="2"/>
  <c r="AL1021" i="2"/>
  <c r="AF1022" i="2"/>
  <c r="AG1022" i="2"/>
  <c r="AH1022" i="2"/>
  <c r="AJ1022" i="2"/>
  <c r="AK1022" i="2"/>
  <c r="AL1022" i="2"/>
  <c r="AF1023" i="2"/>
  <c r="AG1023" i="2"/>
  <c r="AH1023" i="2"/>
  <c r="AJ1023" i="2"/>
  <c r="AK1023" i="2"/>
  <c r="AL1023" i="2"/>
  <c r="AF1024" i="2"/>
  <c r="AG1024" i="2"/>
  <c r="AH1024" i="2"/>
  <c r="AJ1024" i="2"/>
  <c r="AK1024" i="2"/>
  <c r="AL1024" i="2"/>
  <c r="AF1025" i="2"/>
  <c r="AG1025" i="2"/>
  <c r="AH1025" i="2"/>
  <c r="AJ1025" i="2"/>
  <c r="AK1025" i="2"/>
  <c r="AL1025" i="2"/>
  <c r="AF1026" i="2"/>
  <c r="AG1026" i="2"/>
  <c r="AH1026" i="2"/>
  <c r="AJ1026" i="2"/>
  <c r="AK1026" i="2"/>
  <c r="AL1026" i="2"/>
  <c r="AF1027" i="2"/>
  <c r="AG1027" i="2"/>
  <c r="AH1027" i="2"/>
  <c r="AJ1027" i="2"/>
  <c r="AK1027" i="2"/>
  <c r="AL1027" i="2"/>
  <c r="AF1028" i="2"/>
  <c r="AG1028" i="2"/>
  <c r="AH1028" i="2"/>
  <c r="AJ1028" i="2"/>
  <c r="AK1028" i="2"/>
  <c r="AL1028" i="2"/>
  <c r="AF1029" i="2"/>
  <c r="AG1029" i="2"/>
  <c r="AH1029" i="2"/>
  <c r="AJ1029" i="2"/>
  <c r="AK1029" i="2"/>
  <c r="AL1029" i="2"/>
  <c r="AF1030" i="2"/>
  <c r="AG1030" i="2"/>
  <c r="AH1030" i="2"/>
  <c r="AJ1030" i="2"/>
  <c r="AK1030" i="2"/>
  <c r="AL1030" i="2"/>
  <c r="AF1031" i="2"/>
  <c r="AG1031" i="2"/>
  <c r="AH1031" i="2"/>
  <c r="AJ1031" i="2"/>
  <c r="AK1031" i="2"/>
  <c r="AL1031" i="2"/>
  <c r="AF1032" i="2"/>
  <c r="AG1032" i="2"/>
  <c r="AH1032" i="2"/>
  <c r="AJ1032" i="2"/>
  <c r="AK1032" i="2"/>
  <c r="AL1032" i="2"/>
  <c r="AF1033" i="2"/>
  <c r="AG1033" i="2"/>
  <c r="AH1033" i="2"/>
  <c r="AJ1033" i="2"/>
  <c r="AK1033" i="2"/>
  <c r="AL1033" i="2"/>
  <c r="AF1034" i="2"/>
  <c r="AG1034" i="2"/>
  <c r="AH1034" i="2"/>
  <c r="AJ1034" i="2"/>
  <c r="AK1034" i="2"/>
  <c r="AL1034" i="2"/>
  <c r="AF1035" i="2"/>
  <c r="AG1035" i="2"/>
  <c r="AH1035" i="2"/>
  <c r="AJ1035" i="2"/>
  <c r="AK1035" i="2"/>
  <c r="AL1035" i="2"/>
  <c r="AF1036" i="2"/>
  <c r="AG1036" i="2"/>
  <c r="AH1036" i="2"/>
  <c r="AJ1036" i="2"/>
  <c r="AK1036" i="2"/>
  <c r="AL1036" i="2"/>
  <c r="AF1037" i="2"/>
  <c r="AG1037" i="2"/>
  <c r="AH1037" i="2"/>
  <c r="AJ1037" i="2"/>
  <c r="AK1037" i="2"/>
  <c r="AL1037" i="2"/>
  <c r="AF1038" i="2"/>
  <c r="AG1038" i="2"/>
  <c r="AH1038" i="2"/>
  <c r="AJ1038" i="2"/>
  <c r="AK1038" i="2"/>
  <c r="AL1038" i="2"/>
  <c r="AF1039" i="2"/>
  <c r="AG1039" i="2"/>
  <c r="AH1039" i="2"/>
  <c r="AJ1039" i="2"/>
  <c r="AK1039" i="2"/>
  <c r="AL1039" i="2"/>
  <c r="AF1040" i="2"/>
  <c r="AG1040" i="2"/>
  <c r="AH1040" i="2"/>
  <c r="AJ1040" i="2"/>
  <c r="AK1040" i="2"/>
  <c r="AL1040" i="2"/>
  <c r="AF1041" i="2"/>
  <c r="AG1041" i="2"/>
  <c r="AH1041" i="2"/>
  <c r="AJ1041" i="2"/>
  <c r="AK1041" i="2"/>
  <c r="AL1041" i="2"/>
  <c r="AF1042" i="2"/>
  <c r="AG1042" i="2"/>
  <c r="AH1042" i="2"/>
  <c r="AJ1042" i="2"/>
  <c r="AK1042" i="2"/>
  <c r="AL1042" i="2"/>
  <c r="AF1043" i="2"/>
  <c r="AG1043" i="2"/>
  <c r="AH1043" i="2"/>
  <c r="AJ1043" i="2"/>
  <c r="AK1043" i="2"/>
  <c r="AL1043" i="2"/>
  <c r="AF1044" i="2"/>
  <c r="AG1044" i="2"/>
  <c r="AH1044" i="2"/>
  <c r="AJ1044" i="2"/>
  <c r="AK1044" i="2"/>
  <c r="AL1044" i="2"/>
  <c r="AF1045" i="2"/>
  <c r="AG1045" i="2"/>
  <c r="AH1045" i="2"/>
  <c r="AJ1045" i="2"/>
  <c r="AK1045" i="2"/>
  <c r="AL1045" i="2"/>
  <c r="AF1046" i="2"/>
  <c r="AG1046" i="2"/>
  <c r="AH1046" i="2"/>
  <c r="AJ1046" i="2"/>
  <c r="AK1046" i="2"/>
  <c r="AL1046" i="2"/>
  <c r="AF1047" i="2"/>
  <c r="AG1047" i="2"/>
  <c r="AH1047" i="2"/>
  <c r="AJ1047" i="2"/>
  <c r="AK1047" i="2"/>
  <c r="AL1047" i="2"/>
  <c r="AF1048" i="2"/>
  <c r="AG1048" i="2"/>
  <c r="AH1048" i="2"/>
  <c r="AJ1048" i="2"/>
  <c r="AK1048" i="2"/>
  <c r="AL1048" i="2"/>
  <c r="AF1049" i="2"/>
  <c r="AG1049" i="2"/>
  <c r="AH1049" i="2"/>
  <c r="AJ1049" i="2"/>
  <c r="AK1049" i="2"/>
  <c r="AL1049" i="2"/>
  <c r="AF1050" i="2"/>
  <c r="AG1050" i="2"/>
  <c r="AH1050" i="2"/>
  <c r="AJ1050" i="2"/>
  <c r="AK1050" i="2"/>
  <c r="AL1050" i="2"/>
  <c r="AF1051" i="2"/>
  <c r="AG1051" i="2"/>
  <c r="AH1051" i="2"/>
  <c r="AJ1051" i="2"/>
  <c r="AK1051" i="2"/>
  <c r="AL1051" i="2"/>
  <c r="AF1052" i="2"/>
  <c r="AG1052" i="2"/>
  <c r="AH1052" i="2"/>
  <c r="AJ1052" i="2"/>
  <c r="AK1052" i="2"/>
  <c r="AL1052" i="2"/>
  <c r="AF1053" i="2"/>
  <c r="AG1053" i="2"/>
  <c r="AH1053" i="2"/>
  <c r="AJ1053" i="2"/>
  <c r="AK1053" i="2"/>
  <c r="AL1053" i="2"/>
  <c r="AF1054" i="2"/>
  <c r="AG1054" i="2"/>
  <c r="AH1054" i="2"/>
  <c r="AJ1054" i="2"/>
  <c r="AK1054" i="2"/>
  <c r="AL1054" i="2"/>
  <c r="AF1055" i="2"/>
  <c r="AG1055" i="2"/>
  <c r="AH1055" i="2"/>
  <c r="AJ1055" i="2"/>
  <c r="AK1055" i="2"/>
  <c r="AL1055" i="2"/>
  <c r="AF1056" i="2"/>
  <c r="AG1056" i="2"/>
  <c r="AH1056" i="2"/>
  <c r="AJ1056" i="2"/>
  <c r="AK1056" i="2"/>
  <c r="AL1056" i="2"/>
  <c r="AF1057" i="2"/>
  <c r="AG1057" i="2"/>
  <c r="AH1057" i="2"/>
  <c r="AJ1057" i="2"/>
  <c r="AK1057" i="2"/>
  <c r="AL1057" i="2"/>
  <c r="AF1058" i="2"/>
  <c r="AG1058" i="2"/>
  <c r="AH1058" i="2"/>
  <c r="AJ1058" i="2"/>
  <c r="AK1058" i="2"/>
  <c r="AL1058" i="2"/>
  <c r="AF1059" i="2"/>
  <c r="AG1059" i="2"/>
  <c r="AH1059" i="2"/>
  <c r="AJ1059" i="2"/>
  <c r="AK1059" i="2"/>
  <c r="AL1059" i="2"/>
  <c r="AF1060" i="2"/>
  <c r="AG1060" i="2"/>
  <c r="AH1060" i="2"/>
  <c r="AJ1060" i="2"/>
  <c r="AK1060" i="2"/>
  <c r="AL1060" i="2"/>
  <c r="AF1061" i="2"/>
  <c r="AG1061" i="2"/>
  <c r="AH1061" i="2"/>
  <c r="AJ1061" i="2"/>
  <c r="AK1061" i="2"/>
  <c r="AL1061" i="2"/>
  <c r="AF1062" i="2"/>
  <c r="AG1062" i="2"/>
  <c r="AH1062" i="2"/>
  <c r="AJ1062" i="2"/>
  <c r="AK1062" i="2"/>
  <c r="AL1062" i="2"/>
  <c r="AF1063" i="2"/>
  <c r="AG1063" i="2"/>
  <c r="AH1063" i="2"/>
  <c r="AJ1063" i="2"/>
  <c r="AK1063" i="2"/>
  <c r="AL1063" i="2"/>
  <c r="AF1064" i="2"/>
  <c r="AG1064" i="2"/>
  <c r="AH1064" i="2"/>
  <c r="AJ1064" i="2"/>
  <c r="AK1064" i="2"/>
  <c r="AL1064" i="2"/>
  <c r="AF1065" i="2"/>
  <c r="AG1065" i="2"/>
  <c r="AH1065" i="2"/>
  <c r="AJ1065" i="2"/>
  <c r="AK1065" i="2"/>
  <c r="AL1065" i="2"/>
  <c r="AF1066" i="2"/>
  <c r="AG1066" i="2"/>
  <c r="AH1066" i="2"/>
  <c r="AJ1066" i="2"/>
  <c r="AK1066" i="2"/>
  <c r="AL1066" i="2"/>
  <c r="AF1067" i="2"/>
  <c r="AG1067" i="2"/>
  <c r="AH1067" i="2"/>
  <c r="AJ1067" i="2"/>
  <c r="AK1067" i="2"/>
  <c r="AL1067" i="2"/>
  <c r="AF1068" i="2"/>
  <c r="AG1068" i="2"/>
  <c r="AH1068" i="2"/>
  <c r="AJ1068" i="2"/>
  <c r="AK1068" i="2"/>
  <c r="AL1068" i="2"/>
  <c r="AF1069" i="2"/>
  <c r="AG1069" i="2"/>
  <c r="AH1069" i="2"/>
  <c r="AJ1069" i="2"/>
  <c r="AK1069" i="2"/>
  <c r="AL1069" i="2"/>
  <c r="AF1070" i="2"/>
  <c r="AG1070" i="2"/>
  <c r="AH1070" i="2"/>
  <c r="AJ1070" i="2"/>
  <c r="AK1070" i="2"/>
  <c r="AL1070" i="2"/>
  <c r="AF1071" i="2"/>
  <c r="AG1071" i="2"/>
  <c r="AH1071" i="2"/>
  <c r="AJ1071" i="2"/>
  <c r="AK1071" i="2"/>
  <c r="AL1071" i="2"/>
  <c r="AF1072" i="2"/>
  <c r="AG1072" i="2"/>
  <c r="AH1072" i="2"/>
  <c r="AJ1072" i="2"/>
  <c r="AK1072" i="2"/>
  <c r="AL1072" i="2"/>
  <c r="AF1073" i="2"/>
  <c r="AG1073" i="2"/>
  <c r="AH1073" i="2"/>
  <c r="AJ1073" i="2"/>
  <c r="AK1073" i="2"/>
  <c r="AL1073" i="2"/>
  <c r="AF1074" i="2"/>
  <c r="AG1074" i="2"/>
  <c r="AH1074" i="2"/>
  <c r="AJ1074" i="2"/>
  <c r="AK1074" i="2"/>
  <c r="AL1074" i="2"/>
  <c r="AF1075" i="2"/>
  <c r="AG1075" i="2"/>
  <c r="AH1075" i="2"/>
  <c r="AJ1075" i="2"/>
  <c r="AK1075" i="2"/>
  <c r="AL1075" i="2"/>
  <c r="AF1076" i="2"/>
  <c r="AG1076" i="2"/>
  <c r="AH1076" i="2"/>
  <c r="AJ1076" i="2"/>
  <c r="AK1076" i="2"/>
  <c r="AL1076" i="2"/>
  <c r="AF1077" i="2"/>
  <c r="AG1077" i="2"/>
  <c r="AH1077" i="2"/>
  <c r="AJ1077" i="2"/>
  <c r="AK1077" i="2"/>
  <c r="AL1077" i="2"/>
  <c r="AF1078" i="2"/>
  <c r="AG1078" i="2"/>
  <c r="AH1078" i="2"/>
  <c r="AJ1078" i="2"/>
  <c r="AK1078" i="2"/>
  <c r="AL1078" i="2"/>
  <c r="AF1079" i="2"/>
  <c r="AG1079" i="2"/>
  <c r="AH1079" i="2"/>
  <c r="AJ1079" i="2"/>
  <c r="AK1079" i="2"/>
  <c r="AL1079" i="2"/>
  <c r="AF1080" i="2"/>
  <c r="AG1080" i="2"/>
  <c r="AH1080" i="2"/>
  <c r="AJ1080" i="2"/>
  <c r="AK1080" i="2"/>
  <c r="AL1080" i="2"/>
  <c r="AF1081" i="2"/>
  <c r="AG1081" i="2"/>
  <c r="AH1081" i="2"/>
  <c r="AJ1081" i="2"/>
  <c r="AK1081" i="2"/>
  <c r="AL1081" i="2"/>
  <c r="AF1082" i="2"/>
  <c r="AG1082" i="2"/>
  <c r="AH1082" i="2"/>
  <c r="AJ1082" i="2"/>
  <c r="AK1082" i="2"/>
  <c r="AL1082" i="2"/>
  <c r="AF1083" i="2"/>
  <c r="AG1083" i="2"/>
  <c r="AH1083" i="2"/>
  <c r="AJ1083" i="2"/>
  <c r="AK1083" i="2"/>
  <c r="AL1083" i="2"/>
  <c r="AF1084" i="2"/>
  <c r="AG1084" i="2"/>
  <c r="AH1084" i="2"/>
  <c r="AJ1084" i="2"/>
  <c r="AK1084" i="2"/>
  <c r="AL1084" i="2"/>
  <c r="AF1085" i="2"/>
  <c r="AG1085" i="2"/>
  <c r="AH1085" i="2"/>
  <c r="AJ1085" i="2"/>
  <c r="AK1085" i="2"/>
  <c r="AL1085" i="2"/>
  <c r="AF1086" i="2"/>
  <c r="AG1086" i="2"/>
  <c r="AH1086" i="2"/>
  <c r="AJ1086" i="2"/>
  <c r="AK1086" i="2"/>
  <c r="AL1086" i="2"/>
  <c r="AF1087" i="2"/>
  <c r="AG1087" i="2"/>
  <c r="AH1087" i="2"/>
  <c r="AJ1087" i="2"/>
  <c r="AK1087" i="2"/>
  <c r="AL1087" i="2"/>
  <c r="AF1088" i="2"/>
  <c r="AG1088" i="2"/>
  <c r="AH1088" i="2"/>
  <c r="AJ1088" i="2"/>
  <c r="AK1088" i="2"/>
  <c r="AL1088" i="2"/>
  <c r="AF1089" i="2"/>
  <c r="AG1089" i="2"/>
  <c r="AH1089" i="2"/>
  <c r="AJ1089" i="2"/>
  <c r="AK1089" i="2"/>
  <c r="AL1089" i="2"/>
  <c r="AF1090" i="2"/>
  <c r="AG1090" i="2"/>
  <c r="AH1090" i="2"/>
  <c r="AJ1090" i="2"/>
  <c r="AK1090" i="2"/>
  <c r="AL1090" i="2"/>
  <c r="AF1091" i="2"/>
  <c r="AG1091" i="2"/>
  <c r="AH1091" i="2"/>
  <c r="AJ1091" i="2"/>
  <c r="AK1091" i="2"/>
  <c r="AL1091" i="2"/>
  <c r="AF1092" i="2"/>
  <c r="AG1092" i="2"/>
  <c r="AH1092" i="2"/>
  <c r="AJ1092" i="2"/>
  <c r="AK1092" i="2"/>
  <c r="AL1092" i="2"/>
  <c r="AF1093" i="2"/>
  <c r="AG1093" i="2"/>
  <c r="AH1093" i="2"/>
  <c r="AJ1093" i="2"/>
  <c r="AK1093" i="2"/>
  <c r="AL1093" i="2"/>
  <c r="AF1094" i="2"/>
  <c r="AG1094" i="2"/>
  <c r="AH1094" i="2"/>
  <c r="AJ1094" i="2"/>
  <c r="AK1094" i="2"/>
  <c r="AL1094" i="2"/>
  <c r="AF1095" i="2"/>
  <c r="AG1095" i="2"/>
  <c r="AH1095" i="2"/>
  <c r="AJ1095" i="2"/>
  <c r="AK1095" i="2"/>
  <c r="AL1095" i="2"/>
  <c r="AF1096" i="2"/>
  <c r="AG1096" i="2"/>
  <c r="AH1096" i="2"/>
  <c r="AJ1096" i="2"/>
  <c r="AK1096" i="2"/>
  <c r="AL1096" i="2"/>
  <c r="AF1097" i="2"/>
  <c r="AG1097" i="2"/>
  <c r="AH1097" i="2"/>
  <c r="AJ1097" i="2"/>
  <c r="AK1097" i="2"/>
  <c r="AL1097" i="2"/>
  <c r="AF1098" i="2"/>
  <c r="AG1098" i="2"/>
  <c r="AH1098" i="2"/>
  <c r="AJ1098" i="2"/>
  <c r="AK1098" i="2"/>
  <c r="AL1098" i="2"/>
  <c r="AF1099" i="2"/>
  <c r="AG1099" i="2"/>
  <c r="AH1099" i="2"/>
  <c r="AJ1099" i="2"/>
  <c r="AK1099" i="2"/>
  <c r="AL1099" i="2"/>
  <c r="AF1100" i="2"/>
  <c r="AG1100" i="2"/>
  <c r="AH1100" i="2"/>
  <c r="AJ1100" i="2"/>
  <c r="AK1100" i="2"/>
  <c r="AL1100" i="2"/>
  <c r="AF1101" i="2"/>
  <c r="AG1101" i="2"/>
  <c r="AH1101" i="2"/>
  <c r="AJ1101" i="2"/>
  <c r="AK1101" i="2"/>
  <c r="AL1101" i="2"/>
  <c r="AF1102" i="2"/>
  <c r="AG1102" i="2"/>
  <c r="AH1102" i="2"/>
  <c r="AJ1102" i="2"/>
  <c r="AK1102" i="2"/>
  <c r="AL1102" i="2"/>
  <c r="AF1103" i="2"/>
  <c r="AG1103" i="2"/>
  <c r="AH1103" i="2"/>
  <c r="AJ1103" i="2"/>
  <c r="AK1103" i="2"/>
  <c r="AL1103" i="2"/>
  <c r="AF1104" i="2"/>
  <c r="AG1104" i="2"/>
  <c r="AH1104" i="2"/>
  <c r="AJ1104" i="2"/>
  <c r="AK1104" i="2"/>
  <c r="AL1104" i="2"/>
  <c r="AF1105" i="2"/>
  <c r="AG1105" i="2"/>
  <c r="AH1105" i="2"/>
  <c r="AJ1105" i="2"/>
  <c r="AK1105" i="2"/>
  <c r="AL1105" i="2"/>
  <c r="AF1106" i="2"/>
  <c r="AG1106" i="2"/>
  <c r="AH1106" i="2"/>
  <c r="AJ1106" i="2"/>
  <c r="AK1106" i="2"/>
  <c r="AL1106" i="2"/>
  <c r="AF1107" i="2"/>
  <c r="AG1107" i="2"/>
  <c r="AH1107" i="2"/>
  <c r="AJ1107" i="2"/>
  <c r="AK1107" i="2"/>
  <c r="AL1107" i="2"/>
  <c r="AF1108" i="2"/>
  <c r="AG1108" i="2"/>
  <c r="AH1108" i="2"/>
  <c r="AJ1108" i="2"/>
  <c r="AK1108" i="2"/>
  <c r="AL1108" i="2"/>
  <c r="AF1109" i="2"/>
  <c r="AG1109" i="2"/>
  <c r="AH1109" i="2"/>
  <c r="AJ1109" i="2"/>
  <c r="AK1109" i="2"/>
  <c r="AL1109" i="2"/>
  <c r="AF1110" i="2"/>
  <c r="AG1110" i="2"/>
  <c r="AH1110" i="2"/>
  <c r="AJ1110" i="2"/>
  <c r="AK1110" i="2"/>
  <c r="AL1110" i="2"/>
  <c r="AF1111" i="2"/>
  <c r="AG1111" i="2"/>
  <c r="AH1111" i="2"/>
  <c r="AJ1111" i="2"/>
  <c r="AK1111" i="2"/>
  <c r="AL1111" i="2"/>
  <c r="AF1112" i="2"/>
  <c r="AG1112" i="2"/>
  <c r="AH1112" i="2"/>
  <c r="AJ1112" i="2"/>
  <c r="AK1112" i="2"/>
  <c r="AL1112" i="2"/>
  <c r="AF1113" i="2"/>
  <c r="AG1113" i="2"/>
  <c r="AH1113" i="2"/>
  <c r="AJ1113" i="2"/>
  <c r="AK1113" i="2"/>
  <c r="AL1113" i="2"/>
  <c r="AF1114" i="2"/>
  <c r="AG1114" i="2"/>
  <c r="AH1114" i="2"/>
  <c r="AJ1114" i="2"/>
  <c r="AK1114" i="2"/>
  <c r="AL1114" i="2"/>
  <c r="AF1115" i="2"/>
  <c r="AG1115" i="2"/>
  <c r="AH1115" i="2"/>
  <c r="AJ1115" i="2"/>
  <c r="AK1115" i="2"/>
  <c r="AL1115" i="2"/>
  <c r="AF1116" i="2"/>
  <c r="AG1116" i="2"/>
  <c r="AH1116" i="2"/>
  <c r="AJ1116" i="2"/>
  <c r="AK1116" i="2"/>
  <c r="AL1116" i="2"/>
  <c r="AF1117" i="2"/>
  <c r="AG1117" i="2"/>
  <c r="AH1117" i="2"/>
  <c r="AJ1117" i="2"/>
  <c r="AK1117" i="2"/>
  <c r="AL1117" i="2"/>
  <c r="AF1118" i="2"/>
  <c r="AG1118" i="2"/>
  <c r="AH1118" i="2"/>
  <c r="AJ1118" i="2"/>
  <c r="AK1118" i="2"/>
  <c r="AL1118" i="2"/>
  <c r="AF1119" i="2"/>
  <c r="AG1119" i="2"/>
  <c r="AH1119" i="2"/>
  <c r="AJ1119" i="2"/>
  <c r="AK1119" i="2"/>
  <c r="AL1119" i="2"/>
  <c r="AF1120" i="2"/>
  <c r="AG1120" i="2"/>
  <c r="AH1120" i="2"/>
  <c r="AJ1120" i="2"/>
  <c r="AK1120" i="2"/>
  <c r="AL1120" i="2"/>
  <c r="AF1121" i="2"/>
  <c r="AG1121" i="2"/>
  <c r="AH1121" i="2"/>
  <c r="AJ1121" i="2"/>
  <c r="AK1121" i="2"/>
  <c r="AL1121" i="2"/>
  <c r="AF1122" i="2"/>
  <c r="AG1122" i="2"/>
  <c r="AH1122" i="2"/>
  <c r="AJ1122" i="2"/>
  <c r="AK1122" i="2"/>
  <c r="AL1122" i="2"/>
  <c r="AF1123" i="2"/>
  <c r="AG1123" i="2"/>
  <c r="AH1123" i="2"/>
  <c r="AJ1123" i="2"/>
  <c r="AK1123" i="2"/>
  <c r="AL1123" i="2"/>
  <c r="AF1124" i="2"/>
  <c r="AG1124" i="2"/>
  <c r="AH1124" i="2"/>
  <c r="AJ1124" i="2"/>
  <c r="AK1124" i="2"/>
  <c r="AL1124" i="2"/>
  <c r="AF1125" i="2"/>
  <c r="AG1125" i="2"/>
  <c r="AH1125" i="2"/>
  <c r="AJ1125" i="2"/>
  <c r="AK1125" i="2"/>
  <c r="AL1125" i="2"/>
  <c r="AF1126" i="2"/>
  <c r="AG1126" i="2"/>
  <c r="AH1126" i="2"/>
  <c r="AJ1126" i="2"/>
  <c r="AK1126" i="2"/>
  <c r="AL1126" i="2"/>
  <c r="AF1127" i="2"/>
  <c r="AG1127" i="2"/>
  <c r="AH1127" i="2"/>
  <c r="AJ1127" i="2"/>
  <c r="AK1127" i="2"/>
  <c r="AL1127" i="2"/>
  <c r="AF1128" i="2"/>
  <c r="AG1128" i="2"/>
  <c r="AH1128" i="2"/>
  <c r="AJ1128" i="2"/>
  <c r="AK1128" i="2"/>
  <c r="AL1128" i="2"/>
  <c r="AF1129" i="2"/>
  <c r="AG1129" i="2"/>
  <c r="AH1129" i="2"/>
  <c r="AJ1129" i="2"/>
  <c r="AK1129" i="2"/>
  <c r="AL1129" i="2"/>
  <c r="AF1130" i="2"/>
  <c r="AG1130" i="2"/>
  <c r="AH1130" i="2"/>
  <c r="AJ1130" i="2"/>
  <c r="AK1130" i="2"/>
  <c r="AL1130" i="2"/>
  <c r="AF1131" i="2"/>
  <c r="AG1131" i="2"/>
  <c r="AH1131" i="2"/>
  <c r="AJ1131" i="2"/>
  <c r="AK1131" i="2"/>
  <c r="AL1131" i="2"/>
  <c r="AF1132" i="2"/>
  <c r="AG1132" i="2"/>
  <c r="AH1132" i="2"/>
  <c r="AJ1132" i="2"/>
  <c r="AK1132" i="2"/>
  <c r="AL1132" i="2"/>
  <c r="AF1133" i="2"/>
  <c r="AG1133" i="2"/>
  <c r="AH1133" i="2"/>
  <c r="AJ1133" i="2"/>
  <c r="AK1133" i="2"/>
  <c r="AL1133" i="2"/>
  <c r="AF1134" i="2"/>
  <c r="AG1134" i="2"/>
  <c r="AH1134" i="2"/>
  <c r="AJ1134" i="2"/>
  <c r="AK1134" i="2"/>
  <c r="AL1134" i="2"/>
  <c r="AF1135" i="2"/>
  <c r="AG1135" i="2"/>
  <c r="AH1135" i="2"/>
  <c r="AJ1135" i="2"/>
  <c r="AK1135" i="2"/>
  <c r="AL1135" i="2"/>
  <c r="AF1136" i="2"/>
  <c r="AG1136" i="2"/>
  <c r="AH1136" i="2"/>
  <c r="AJ1136" i="2"/>
  <c r="AK1136" i="2"/>
  <c r="AL1136" i="2"/>
  <c r="AF1137" i="2"/>
  <c r="AG1137" i="2"/>
  <c r="AH1137" i="2"/>
  <c r="AJ1137" i="2"/>
  <c r="AK1137" i="2"/>
  <c r="AL1137" i="2"/>
  <c r="AF1138" i="2"/>
  <c r="AG1138" i="2"/>
  <c r="AH1138" i="2"/>
  <c r="AJ1138" i="2"/>
  <c r="AK1138" i="2"/>
  <c r="AL1138" i="2"/>
  <c r="AF1139" i="2"/>
  <c r="AG1139" i="2"/>
  <c r="AH1139" i="2"/>
  <c r="AJ1139" i="2"/>
  <c r="AK1139" i="2"/>
  <c r="AL1139" i="2"/>
  <c r="AF1140" i="2"/>
  <c r="AG1140" i="2"/>
  <c r="AH1140" i="2"/>
  <c r="AJ1140" i="2"/>
  <c r="AK1140" i="2"/>
  <c r="AL1140" i="2"/>
  <c r="AF1141" i="2"/>
  <c r="AG1141" i="2"/>
  <c r="AH1141" i="2"/>
  <c r="AJ1141" i="2"/>
  <c r="AK1141" i="2"/>
  <c r="AL1141" i="2"/>
  <c r="AF1142" i="2"/>
  <c r="AG1142" i="2"/>
  <c r="AH1142" i="2"/>
  <c r="AJ1142" i="2"/>
  <c r="AK1142" i="2"/>
  <c r="AL1142" i="2"/>
  <c r="AF1143" i="2"/>
  <c r="AG1143" i="2"/>
  <c r="AH1143" i="2"/>
  <c r="AJ1143" i="2"/>
  <c r="AK1143" i="2"/>
  <c r="AL1143" i="2"/>
  <c r="AF1144" i="2"/>
  <c r="AG1144" i="2"/>
  <c r="AH1144" i="2"/>
  <c r="AJ1144" i="2"/>
  <c r="AK1144" i="2"/>
  <c r="AL1144" i="2"/>
  <c r="AF1145" i="2"/>
  <c r="AG1145" i="2"/>
  <c r="AH1145" i="2"/>
  <c r="AJ1145" i="2"/>
  <c r="AK1145" i="2"/>
  <c r="AL1145" i="2"/>
  <c r="AF1146" i="2"/>
  <c r="AG1146" i="2"/>
  <c r="AH1146" i="2"/>
  <c r="AJ1146" i="2"/>
  <c r="AK1146" i="2"/>
  <c r="AL1146" i="2"/>
  <c r="AF1147" i="2"/>
  <c r="AG1147" i="2"/>
  <c r="AH1147" i="2"/>
  <c r="AJ1147" i="2"/>
  <c r="AK1147" i="2"/>
  <c r="AL1147" i="2"/>
  <c r="AF1148" i="2"/>
  <c r="AG1148" i="2"/>
  <c r="AH1148" i="2"/>
  <c r="AJ1148" i="2"/>
  <c r="AK1148" i="2"/>
  <c r="AL1148" i="2"/>
  <c r="AF1149" i="2"/>
  <c r="AG1149" i="2"/>
  <c r="AH1149" i="2"/>
  <c r="AJ1149" i="2"/>
  <c r="AK1149" i="2"/>
  <c r="AL1149" i="2"/>
  <c r="AF1150" i="2"/>
  <c r="AG1150" i="2"/>
  <c r="AH1150" i="2"/>
  <c r="AJ1150" i="2"/>
  <c r="AK1150" i="2"/>
  <c r="AL1150" i="2"/>
  <c r="AF1151" i="2"/>
  <c r="AG1151" i="2"/>
  <c r="AH1151" i="2"/>
  <c r="AJ1151" i="2"/>
  <c r="AK1151" i="2"/>
  <c r="AL1151" i="2"/>
  <c r="AF1152" i="2"/>
  <c r="AG1152" i="2"/>
  <c r="AH1152" i="2"/>
  <c r="AJ1152" i="2"/>
  <c r="AK1152" i="2"/>
  <c r="AL1152" i="2"/>
  <c r="AF1153" i="2"/>
  <c r="AG1153" i="2"/>
  <c r="AH1153" i="2"/>
  <c r="AJ1153" i="2"/>
  <c r="AK1153" i="2"/>
  <c r="AL1153" i="2"/>
  <c r="AF1154" i="2"/>
  <c r="AG1154" i="2"/>
  <c r="AH1154" i="2"/>
  <c r="AJ1154" i="2"/>
  <c r="AK1154" i="2"/>
  <c r="AL1154" i="2"/>
  <c r="AF1155" i="2"/>
  <c r="AG1155" i="2"/>
  <c r="AH1155" i="2"/>
  <c r="AJ1155" i="2"/>
  <c r="AK1155" i="2"/>
  <c r="AL1155" i="2"/>
  <c r="AF1156" i="2"/>
  <c r="AG1156" i="2"/>
  <c r="AH1156" i="2"/>
  <c r="AJ1156" i="2"/>
  <c r="AK1156" i="2"/>
  <c r="AL1156" i="2"/>
  <c r="AF1157" i="2"/>
  <c r="AG1157" i="2"/>
  <c r="AH1157" i="2"/>
  <c r="AJ1157" i="2"/>
  <c r="AK1157" i="2"/>
  <c r="AL1157" i="2"/>
  <c r="AF1158" i="2"/>
  <c r="AG1158" i="2"/>
  <c r="AH1158" i="2"/>
  <c r="AJ1158" i="2"/>
  <c r="AK1158" i="2"/>
  <c r="AL1158" i="2"/>
  <c r="AF1159" i="2"/>
  <c r="AG1159" i="2"/>
  <c r="AH1159" i="2"/>
  <c r="AJ1159" i="2"/>
  <c r="AK1159" i="2"/>
  <c r="AL1159" i="2"/>
  <c r="AF1160" i="2"/>
  <c r="AG1160" i="2"/>
  <c r="AH1160" i="2"/>
  <c r="AJ1160" i="2"/>
  <c r="AK1160" i="2"/>
  <c r="AL1160" i="2"/>
  <c r="AF1161" i="2"/>
  <c r="AG1161" i="2"/>
  <c r="AH1161" i="2"/>
  <c r="AJ1161" i="2"/>
  <c r="AK1161" i="2"/>
  <c r="AL1161" i="2"/>
  <c r="AF1162" i="2"/>
  <c r="AG1162" i="2"/>
  <c r="AH1162" i="2"/>
  <c r="AJ1162" i="2"/>
  <c r="AK1162" i="2"/>
  <c r="AL1162" i="2"/>
  <c r="AF1163" i="2"/>
  <c r="AG1163" i="2"/>
  <c r="AH1163" i="2"/>
  <c r="AJ1163" i="2"/>
  <c r="AK1163" i="2"/>
  <c r="AL1163" i="2"/>
  <c r="AF1164" i="2"/>
  <c r="AG1164" i="2"/>
  <c r="AH1164" i="2"/>
  <c r="AJ1164" i="2"/>
  <c r="AK1164" i="2"/>
  <c r="AL1164" i="2"/>
  <c r="AF1165" i="2"/>
  <c r="AG1165" i="2"/>
  <c r="AH1165" i="2"/>
  <c r="AJ1165" i="2"/>
  <c r="AK1165" i="2"/>
  <c r="AL1165" i="2"/>
  <c r="AF1166" i="2"/>
  <c r="AG1166" i="2"/>
  <c r="AH1166" i="2"/>
  <c r="AJ1166" i="2"/>
  <c r="AK1166" i="2"/>
  <c r="AL1166" i="2"/>
  <c r="AF1167" i="2"/>
  <c r="AG1167" i="2"/>
  <c r="AH1167" i="2"/>
  <c r="AJ1167" i="2"/>
  <c r="AK1167" i="2"/>
  <c r="AL1167" i="2"/>
  <c r="AF1168" i="2"/>
  <c r="AG1168" i="2"/>
  <c r="AH1168" i="2"/>
  <c r="AJ1168" i="2"/>
  <c r="AK1168" i="2"/>
  <c r="AL1168" i="2"/>
  <c r="AF1169" i="2"/>
  <c r="AG1169" i="2"/>
  <c r="AH1169" i="2"/>
  <c r="AJ1169" i="2"/>
  <c r="AK1169" i="2"/>
  <c r="AL1169" i="2"/>
  <c r="AF1170" i="2"/>
  <c r="AG1170" i="2"/>
  <c r="AH1170" i="2"/>
  <c r="AJ1170" i="2"/>
  <c r="AK1170" i="2"/>
  <c r="AL1170" i="2"/>
  <c r="AF1171" i="2"/>
  <c r="AG1171" i="2"/>
  <c r="AH1171" i="2"/>
  <c r="AJ1171" i="2"/>
  <c r="AK1171" i="2"/>
  <c r="AL1171" i="2"/>
  <c r="AF1172" i="2"/>
  <c r="AG1172" i="2"/>
  <c r="AH1172" i="2"/>
  <c r="AJ1172" i="2"/>
  <c r="AK1172" i="2"/>
  <c r="AL1172" i="2"/>
  <c r="AF1173" i="2"/>
  <c r="AG1173" i="2"/>
  <c r="AH1173" i="2"/>
  <c r="AJ1173" i="2"/>
  <c r="AK1173" i="2"/>
  <c r="AL1173" i="2"/>
  <c r="AF1174" i="2"/>
  <c r="AG1174" i="2"/>
  <c r="AH1174" i="2"/>
  <c r="AJ1174" i="2"/>
  <c r="AK1174" i="2"/>
  <c r="AL1174" i="2"/>
  <c r="AF1175" i="2"/>
  <c r="AG1175" i="2"/>
  <c r="AH1175" i="2"/>
  <c r="AJ1175" i="2"/>
  <c r="AK1175" i="2"/>
  <c r="AL1175" i="2"/>
  <c r="AF1176" i="2"/>
  <c r="AG1176" i="2"/>
  <c r="AH1176" i="2"/>
  <c r="AJ1176" i="2"/>
  <c r="AK1176" i="2"/>
  <c r="AL1176" i="2"/>
  <c r="AF1177" i="2"/>
  <c r="AG1177" i="2"/>
  <c r="AH1177" i="2"/>
  <c r="AJ1177" i="2"/>
  <c r="AK1177" i="2"/>
  <c r="AL1177" i="2"/>
  <c r="AF1178" i="2"/>
  <c r="AG1178" i="2"/>
  <c r="AH1178" i="2"/>
  <c r="AJ1178" i="2"/>
  <c r="AK1178" i="2"/>
  <c r="AL1178" i="2"/>
  <c r="AF1179" i="2"/>
  <c r="AG1179" i="2"/>
  <c r="AH1179" i="2"/>
  <c r="AJ1179" i="2"/>
  <c r="AK1179" i="2"/>
  <c r="AL1179" i="2"/>
  <c r="AF1180" i="2"/>
  <c r="AG1180" i="2"/>
  <c r="AH1180" i="2"/>
  <c r="AJ1180" i="2"/>
  <c r="AK1180" i="2"/>
  <c r="AL1180" i="2"/>
  <c r="AF1181" i="2"/>
  <c r="AG1181" i="2"/>
  <c r="AH1181" i="2"/>
  <c r="AJ1181" i="2"/>
  <c r="AK1181" i="2"/>
  <c r="AL1181" i="2"/>
  <c r="AF1182" i="2"/>
  <c r="AG1182" i="2"/>
  <c r="AH1182" i="2"/>
  <c r="AJ1182" i="2"/>
  <c r="AK1182" i="2"/>
  <c r="AL1182" i="2"/>
  <c r="AF1183" i="2"/>
  <c r="AG1183" i="2"/>
  <c r="AH1183" i="2"/>
  <c r="AJ1183" i="2"/>
  <c r="AK1183" i="2"/>
  <c r="AL1183" i="2"/>
  <c r="AF1184" i="2"/>
  <c r="AG1184" i="2"/>
  <c r="AH1184" i="2"/>
  <c r="AJ1184" i="2"/>
  <c r="AK1184" i="2"/>
  <c r="AL1184" i="2"/>
  <c r="AF1185" i="2"/>
  <c r="AG1185" i="2"/>
  <c r="AH1185" i="2"/>
  <c r="AJ1185" i="2"/>
  <c r="AK1185" i="2"/>
  <c r="AL1185" i="2"/>
  <c r="AF1186" i="2"/>
  <c r="AG1186" i="2"/>
  <c r="AH1186" i="2"/>
  <c r="AJ1186" i="2"/>
  <c r="AK1186" i="2"/>
  <c r="AL1186" i="2"/>
  <c r="AF1187" i="2"/>
  <c r="AG1187" i="2"/>
  <c r="AH1187" i="2"/>
  <c r="AJ1187" i="2"/>
  <c r="AK1187" i="2"/>
  <c r="AL1187" i="2"/>
  <c r="AF1188" i="2"/>
  <c r="AG1188" i="2"/>
  <c r="AH1188" i="2"/>
  <c r="AJ1188" i="2"/>
  <c r="AK1188" i="2"/>
  <c r="AL1188" i="2"/>
  <c r="AF1189" i="2"/>
  <c r="AG1189" i="2"/>
  <c r="AH1189" i="2"/>
  <c r="AJ1189" i="2"/>
  <c r="AK1189" i="2"/>
  <c r="AL1189" i="2"/>
  <c r="AF1190" i="2"/>
  <c r="AG1190" i="2"/>
  <c r="AH1190" i="2"/>
  <c r="AJ1190" i="2"/>
  <c r="AK1190" i="2"/>
  <c r="AL1190" i="2"/>
  <c r="AF1191" i="2"/>
  <c r="AG1191" i="2"/>
  <c r="AH1191" i="2"/>
  <c r="AJ1191" i="2"/>
  <c r="AK1191" i="2"/>
  <c r="AL1191" i="2"/>
  <c r="AF1192" i="2"/>
  <c r="AG1192" i="2"/>
  <c r="AH1192" i="2"/>
  <c r="AJ1192" i="2"/>
  <c r="AK1192" i="2"/>
  <c r="AL1192" i="2"/>
  <c r="AF1193" i="2"/>
  <c r="AG1193" i="2"/>
  <c r="AH1193" i="2"/>
  <c r="AJ1193" i="2"/>
  <c r="AK1193" i="2"/>
  <c r="AL1193" i="2"/>
  <c r="AF1194" i="2"/>
  <c r="AG1194" i="2"/>
  <c r="AH1194" i="2"/>
  <c r="AJ1194" i="2"/>
  <c r="AK1194" i="2"/>
  <c r="AL1194" i="2"/>
  <c r="AF1195" i="2"/>
  <c r="AG1195" i="2"/>
  <c r="AH1195" i="2"/>
  <c r="AJ1195" i="2"/>
  <c r="AK1195" i="2"/>
  <c r="AL1195" i="2"/>
  <c r="AF1196" i="2"/>
  <c r="AG1196" i="2"/>
  <c r="AH1196" i="2"/>
  <c r="AJ1196" i="2"/>
  <c r="AK1196" i="2"/>
  <c r="AL1196" i="2"/>
  <c r="AF1197" i="2"/>
  <c r="AG1197" i="2"/>
  <c r="AH1197" i="2"/>
  <c r="AJ1197" i="2"/>
  <c r="AK1197" i="2"/>
  <c r="AL1197" i="2"/>
  <c r="AF1198" i="2"/>
  <c r="AG1198" i="2"/>
  <c r="AH1198" i="2"/>
  <c r="AJ1198" i="2"/>
  <c r="AK1198" i="2"/>
  <c r="AL1198" i="2"/>
  <c r="AF1199" i="2"/>
  <c r="AG1199" i="2"/>
  <c r="AH1199" i="2"/>
  <c r="AJ1199" i="2"/>
  <c r="AK1199" i="2"/>
  <c r="AL1199" i="2"/>
  <c r="AF1200" i="2"/>
  <c r="AG1200" i="2"/>
  <c r="AH1200" i="2"/>
  <c r="AJ1200" i="2"/>
  <c r="AK1200" i="2"/>
  <c r="AL1200" i="2"/>
  <c r="AF1201" i="2"/>
  <c r="AG1201" i="2"/>
  <c r="AH1201" i="2"/>
  <c r="AJ1201" i="2"/>
  <c r="AK1201" i="2"/>
  <c r="AL1201" i="2"/>
  <c r="AF1202" i="2"/>
  <c r="AG1202" i="2"/>
  <c r="AH1202" i="2"/>
  <c r="AJ1202" i="2"/>
  <c r="AK1202" i="2"/>
  <c r="AL1202" i="2"/>
  <c r="AF1203" i="2"/>
  <c r="AG1203" i="2"/>
  <c r="AH1203" i="2"/>
  <c r="AJ1203" i="2"/>
  <c r="AK1203" i="2"/>
  <c r="AL1203" i="2"/>
  <c r="AF1204" i="2"/>
  <c r="AG1204" i="2"/>
  <c r="AH1204" i="2"/>
  <c r="AJ1204" i="2"/>
  <c r="AK1204" i="2"/>
  <c r="AL1204" i="2"/>
  <c r="AF1205" i="2"/>
  <c r="AG1205" i="2"/>
  <c r="AH1205" i="2"/>
  <c r="AJ1205" i="2"/>
  <c r="AK1205" i="2"/>
  <c r="AL1205" i="2"/>
  <c r="AF1206" i="2"/>
  <c r="AG1206" i="2"/>
  <c r="AH1206" i="2"/>
  <c r="AJ1206" i="2"/>
  <c r="AK1206" i="2"/>
  <c r="AL1206" i="2"/>
  <c r="AF1207" i="2"/>
  <c r="AG1207" i="2"/>
  <c r="AH1207" i="2"/>
  <c r="AJ1207" i="2"/>
  <c r="AK1207" i="2"/>
  <c r="AL1207" i="2"/>
  <c r="AF1208" i="2"/>
  <c r="AG1208" i="2"/>
  <c r="AH1208" i="2"/>
  <c r="AJ1208" i="2"/>
  <c r="AK1208" i="2"/>
  <c r="AL1208" i="2"/>
  <c r="AF1209" i="2"/>
  <c r="AG1209" i="2"/>
  <c r="AH1209" i="2"/>
  <c r="AJ1209" i="2"/>
  <c r="AK1209" i="2"/>
  <c r="AL1209" i="2"/>
  <c r="AF1210" i="2"/>
  <c r="AG1210" i="2"/>
  <c r="AH1210" i="2"/>
  <c r="AJ1210" i="2"/>
  <c r="AK1210" i="2"/>
  <c r="AL1210" i="2"/>
  <c r="AF1211" i="2"/>
  <c r="AG1211" i="2"/>
  <c r="AH1211" i="2"/>
  <c r="AJ1211" i="2"/>
  <c r="AK1211" i="2"/>
  <c r="AL1211" i="2"/>
  <c r="AF1212" i="2"/>
  <c r="AG1212" i="2"/>
  <c r="AH1212" i="2"/>
  <c r="AJ1212" i="2"/>
  <c r="AK1212" i="2"/>
  <c r="AL1212" i="2"/>
  <c r="AF1213" i="2"/>
  <c r="AG1213" i="2"/>
  <c r="AH1213" i="2"/>
  <c r="AJ1213" i="2"/>
  <c r="AK1213" i="2"/>
  <c r="AL1213" i="2"/>
  <c r="AF1214" i="2"/>
  <c r="AG1214" i="2"/>
  <c r="AH1214" i="2"/>
  <c r="AJ1214" i="2"/>
  <c r="AK1214" i="2"/>
  <c r="AL1214" i="2"/>
  <c r="AF1215" i="2"/>
  <c r="AG1215" i="2"/>
  <c r="AH1215" i="2"/>
  <c r="AJ1215" i="2"/>
  <c r="AK1215" i="2"/>
  <c r="AL1215" i="2"/>
  <c r="AF1216" i="2"/>
  <c r="AG1216" i="2"/>
  <c r="AH1216" i="2"/>
  <c r="AJ1216" i="2"/>
  <c r="AK1216" i="2"/>
  <c r="AL1216" i="2"/>
  <c r="AF1217" i="2"/>
  <c r="AG1217" i="2"/>
  <c r="AH1217" i="2"/>
  <c r="AJ1217" i="2"/>
  <c r="AK1217" i="2"/>
  <c r="AL1217" i="2"/>
  <c r="AF1218" i="2"/>
  <c r="AG1218" i="2"/>
  <c r="AH1218" i="2"/>
  <c r="AJ1218" i="2"/>
  <c r="AK1218" i="2"/>
  <c r="AL1218" i="2"/>
  <c r="AF1219" i="2"/>
  <c r="AG1219" i="2"/>
  <c r="AH1219" i="2"/>
  <c r="AJ1219" i="2"/>
  <c r="AK1219" i="2"/>
  <c r="AL1219" i="2"/>
  <c r="AF1220" i="2"/>
  <c r="AG1220" i="2"/>
  <c r="AH1220" i="2"/>
  <c r="AJ1220" i="2"/>
  <c r="AK1220" i="2"/>
  <c r="AL1220" i="2"/>
  <c r="AF1221" i="2"/>
  <c r="AG1221" i="2"/>
  <c r="AH1221" i="2"/>
  <c r="AJ1221" i="2"/>
  <c r="AK1221" i="2"/>
  <c r="AL1221" i="2"/>
  <c r="AF1222" i="2"/>
  <c r="AG1222" i="2"/>
  <c r="AH1222" i="2"/>
  <c r="AJ1222" i="2"/>
  <c r="AK1222" i="2"/>
  <c r="AL1222" i="2"/>
  <c r="AF1223" i="2"/>
  <c r="AG1223" i="2"/>
  <c r="AH1223" i="2"/>
  <c r="AJ1223" i="2"/>
  <c r="AK1223" i="2"/>
  <c r="AL1223" i="2"/>
  <c r="AF1224" i="2"/>
  <c r="AG1224" i="2"/>
  <c r="AH1224" i="2"/>
  <c r="AJ1224" i="2"/>
  <c r="AK1224" i="2"/>
  <c r="AL1224" i="2"/>
  <c r="AF1225" i="2"/>
  <c r="AG1225" i="2"/>
  <c r="AH1225" i="2"/>
  <c r="AJ1225" i="2"/>
  <c r="AK1225" i="2"/>
  <c r="AL1225" i="2"/>
  <c r="AF1226" i="2"/>
  <c r="AG1226" i="2"/>
  <c r="AH1226" i="2"/>
  <c r="AJ1226" i="2"/>
  <c r="AK1226" i="2"/>
  <c r="AL1226" i="2"/>
  <c r="AF1227" i="2"/>
  <c r="AG1227" i="2"/>
  <c r="AH1227" i="2"/>
  <c r="AJ1227" i="2"/>
  <c r="AK1227" i="2"/>
  <c r="AL1227" i="2"/>
  <c r="AF1228" i="2"/>
  <c r="AG1228" i="2"/>
  <c r="AH1228" i="2"/>
  <c r="AJ1228" i="2"/>
  <c r="AK1228" i="2"/>
  <c r="AL1228" i="2"/>
  <c r="AF1229" i="2"/>
  <c r="AG1229" i="2"/>
  <c r="AH1229" i="2"/>
  <c r="AJ1229" i="2"/>
  <c r="AK1229" i="2"/>
  <c r="AL1229" i="2"/>
  <c r="AF1230" i="2"/>
  <c r="AG1230" i="2"/>
  <c r="AH1230" i="2"/>
  <c r="AJ1230" i="2"/>
  <c r="AK1230" i="2"/>
  <c r="AL1230" i="2"/>
  <c r="AF1231" i="2"/>
  <c r="AG1231" i="2"/>
  <c r="AH1231" i="2"/>
  <c r="AJ1231" i="2"/>
  <c r="AK1231" i="2"/>
  <c r="AL1231" i="2"/>
  <c r="AF1232" i="2"/>
  <c r="AG1232" i="2"/>
  <c r="AH1232" i="2"/>
  <c r="AJ1232" i="2"/>
  <c r="AK1232" i="2"/>
  <c r="AL1232" i="2"/>
  <c r="AF1233" i="2"/>
  <c r="AG1233" i="2"/>
  <c r="AH1233" i="2"/>
  <c r="AJ1233" i="2"/>
  <c r="AK1233" i="2"/>
  <c r="AL1233" i="2"/>
  <c r="AF1234" i="2"/>
  <c r="AG1234" i="2"/>
  <c r="AH1234" i="2"/>
  <c r="AJ1234" i="2"/>
  <c r="AK1234" i="2"/>
  <c r="AL1234" i="2"/>
  <c r="AF1235" i="2"/>
  <c r="AG1235" i="2"/>
  <c r="AH1235" i="2"/>
  <c r="AJ1235" i="2"/>
  <c r="AK1235" i="2"/>
  <c r="AL1235" i="2"/>
  <c r="AF1236" i="2"/>
  <c r="AG1236" i="2"/>
  <c r="AH1236" i="2"/>
  <c r="AJ1236" i="2"/>
  <c r="AK1236" i="2"/>
  <c r="AL1236" i="2"/>
  <c r="AF1237" i="2"/>
  <c r="AG1237" i="2"/>
  <c r="AH1237" i="2"/>
  <c r="AJ1237" i="2"/>
  <c r="AK1237" i="2"/>
  <c r="AL1237" i="2"/>
  <c r="AF1238" i="2"/>
  <c r="AG1238" i="2"/>
  <c r="AH1238" i="2"/>
  <c r="AJ1238" i="2"/>
  <c r="AK1238" i="2"/>
  <c r="AL1238" i="2"/>
  <c r="AF1239" i="2"/>
  <c r="AG1239" i="2"/>
  <c r="AH1239" i="2"/>
  <c r="AJ1239" i="2"/>
  <c r="AK1239" i="2"/>
  <c r="AL1239" i="2"/>
  <c r="AF1240" i="2"/>
  <c r="AG1240" i="2"/>
  <c r="AH1240" i="2"/>
  <c r="AJ1240" i="2"/>
  <c r="AK1240" i="2"/>
  <c r="AL1240" i="2"/>
  <c r="AF1241" i="2"/>
  <c r="AG1241" i="2"/>
  <c r="AH1241" i="2"/>
  <c r="AJ1241" i="2"/>
  <c r="AK1241" i="2"/>
  <c r="AL1241" i="2"/>
  <c r="AF1242" i="2"/>
  <c r="AG1242" i="2"/>
  <c r="AH1242" i="2"/>
  <c r="AJ1242" i="2"/>
  <c r="AK1242" i="2"/>
  <c r="AL1242" i="2"/>
  <c r="AF1243" i="2"/>
  <c r="AG1243" i="2"/>
  <c r="AH1243" i="2"/>
  <c r="AJ1243" i="2"/>
  <c r="AK1243" i="2"/>
  <c r="AL1243" i="2"/>
  <c r="AF1244" i="2"/>
  <c r="AG1244" i="2"/>
  <c r="AH1244" i="2"/>
  <c r="AJ1244" i="2"/>
  <c r="AK1244" i="2"/>
  <c r="AL1244" i="2"/>
  <c r="AF1245" i="2"/>
  <c r="AG1245" i="2"/>
  <c r="AH1245" i="2"/>
  <c r="AJ1245" i="2"/>
  <c r="AK1245" i="2"/>
  <c r="AL1245" i="2"/>
  <c r="AF1246" i="2"/>
  <c r="AG1246" i="2"/>
  <c r="AH1246" i="2"/>
  <c r="AJ1246" i="2"/>
  <c r="AK1246" i="2"/>
  <c r="AL1246" i="2"/>
  <c r="AF1247" i="2"/>
  <c r="AG1247" i="2"/>
  <c r="AH1247" i="2"/>
  <c r="AJ1247" i="2"/>
  <c r="AK1247" i="2"/>
  <c r="AL1247" i="2"/>
  <c r="AF1248" i="2"/>
  <c r="AG1248" i="2"/>
  <c r="AH1248" i="2"/>
  <c r="AJ1248" i="2"/>
  <c r="AK1248" i="2"/>
  <c r="AL1248" i="2"/>
  <c r="AF1249" i="2"/>
  <c r="AG1249" i="2"/>
  <c r="AH1249" i="2"/>
  <c r="AJ1249" i="2"/>
  <c r="AK1249" i="2"/>
  <c r="AL1249" i="2"/>
  <c r="AF1250" i="2"/>
  <c r="AG1250" i="2"/>
  <c r="AH1250" i="2"/>
  <c r="AJ1250" i="2"/>
  <c r="AK1250" i="2"/>
  <c r="AL1250" i="2"/>
  <c r="AF1251" i="2"/>
  <c r="AG1251" i="2"/>
  <c r="AH1251" i="2"/>
  <c r="AJ1251" i="2"/>
  <c r="AK1251" i="2"/>
  <c r="AL1251" i="2"/>
  <c r="AF1252" i="2"/>
  <c r="AG1252" i="2"/>
  <c r="AH1252" i="2"/>
  <c r="AJ1252" i="2"/>
  <c r="AK1252" i="2"/>
  <c r="AL1252" i="2"/>
  <c r="AF1253" i="2"/>
  <c r="AG1253" i="2"/>
  <c r="AH1253" i="2"/>
  <c r="AJ1253" i="2"/>
  <c r="AK1253" i="2"/>
  <c r="AL1253" i="2"/>
  <c r="AF1254" i="2"/>
  <c r="AG1254" i="2"/>
  <c r="AH1254" i="2"/>
  <c r="AJ1254" i="2"/>
  <c r="AK1254" i="2"/>
  <c r="AL1254" i="2"/>
  <c r="AF1255" i="2"/>
  <c r="AG1255" i="2"/>
  <c r="AH1255" i="2"/>
  <c r="AJ1255" i="2"/>
  <c r="AK1255" i="2"/>
  <c r="AL1255" i="2"/>
  <c r="AF1256" i="2"/>
  <c r="AG1256" i="2"/>
  <c r="AH1256" i="2"/>
  <c r="AJ1256" i="2"/>
  <c r="AK1256" i="2"/>
  <c r="AL1256" i="2"/>
  <c r="AF1257" i="2"/>
  <c r="AG1257" i="2"/>
  <c r="AH1257" i="2"/>
  <c r="AJ1257" i="2"/>
  <c r="AK1257" i="2"/>
  <c r="AL1257" i="2"/>
  <c r="AF1258" i="2"/>
  <c r="AG1258" i="2"/>
  <c r="AH1258" i="2"/>
  <c r="AJ1258" i="2"/>
  <c r="AK1258" i="2"/>
  <c r="AL1258" i="2"/>
  <c r="AF1259" i="2"/>
  <c r="AG1259" i="2"/>
  <c r="AH1259" i="2"/>
  <c r="AJ1259" i="2"/>
  <c r="AK1259" i="2"/>
  <c r="AL1259" i="2"/>
  <c r="AF1260" i="2"/>
  <c r="AG1260" i="2"/>
  <c r="AH1260" i="2"/>
  <c r="AJ1260" i="2"/>
  <c r="AK1260" i="2"/>
  <c r="AL1260" i="2"/>
  <c r="AF1261" i="2"/>
  <c r="AG1261" i="2"/>
  <c r="AH1261" i="2"/>
  <c r="AJ1261" i="2"/>
  <c r="AK1261" i="2"/>
  <c r="AL1261" i="2"/>
  <c r="AF1262" i="2"/>
  <c r="AG1262" i="2"/>
  <c r="AH1262" i="2"/>
  <c r="AJ1262" i="2"/>
  <c r="AK1262" i="2"/>
  <c r="AL1262" i="2"/>
  <c r="AF1263" i="2"/>
  <c r="AG1263" i="2"/>
  <c r="AH1263" i="2"/>
  <c r="AJ1263" i="2"/>
  <c r="AK1263" i="2"/>
  <c r="AL1263" i="2"/>
  <c r="AF1264" i="2"/>
  <c r="AG1264" i="2"/>
  <c r="AH1264" i="2"/>
  <c r="AJ1264" i="2"/>
  <c r="AK1264" i="2"/>
  <c r="AL1264" i="2"/>
  <c r="AF1265" i="2"/>
  <c r="AG1265" i="2"/>
  <c r="AH1265" i="2"/>
  <c r="AJ1265" i="2"/>
  <c r="AK1265" i="2"/>
  <c r="AL1265" i="2"/>
  <c r="AF1266" i="2"/>
  <c r="AG1266" i="2"/>
  <c r="AH1266" i="2"/>
  <c r="AJ1266" i="2"/>
  <c r="AK1266" i="2"/>
  <c r="AL1266" i="2"/>
  <c r="AF1267" i="2"/>
  <c r="AG1267" i="2"/>
  <c r="AH1267" i="2"/>
  <c r="AJ1267" i="2"/>
  <c r="AK1267" i="2"/>
  <c r="AL1267" i="2"/>
  <c r="AF1268" i="2"/>
  <c r="AG1268" i="2"/>
  <c r="AH1268" i="2"/>
  <c r="AJ1268" i="2"/>
  <c r="AK1268" i="2"/>
  <c r="AL1268" i="2"/>
  <c r="AF1269" i="2"/>
  <c r="AG1269" i="2"/>
  <c r="AH1269" i="2"/>
  <c r="AJ1269" i="2"/>
  <c r="AK1269" i="2"/>
  <c r="AL1269" i="2"/>
  <c r="AF1270" i="2"/>
  <c r="AG1270" i="2"/>
  <c r="AH1270" i="2"/>
  <c r="AJ1270" i="2"/>
  <c r="AK1270" i="2"/>
  <c r="AL1270" i="2"/>
  <c r="AF1271" i="2"/>
  <c r="AG1271" i="2"/>
  <c r="AH1271" i="2"/>
  <c r="AJ1271" i="2"/>
  <c r="AK1271" i="2"/>
  <c r="AL1271" i="2"/>
  <c r="AF1272" i="2"/>
  <c r="AG1272" i="2"/>
  <c r="AH1272" i="2"/>
  <c r="AJ1272" i="2"/>
  <c r="AK1272" i="2"/>
  <c r="AL1272" i="2"/>
  <c r="AF1273" i="2"/>
  <c r="AG1273" i="2"/>
  <c r="AH1273" i="2"/>
  <c r="AJ1273" i="2"/>
  <c r="AK1273" i="2"/>
  <c r="AL1273" i="2"/>
  <c r="AF1274" i="2"/>
  <c r="AG1274" i="2"/>
  <c r="AH1274" i="2"/>
  <c r="AJ1274" i="2"/>
  <c r="AK1274" i="2"/>
  <c r="AL1274" i="2"/>
  <c r="AF1275" i="2"/>
  <c r="AG1275" i="2"/>
  <c r="AH1275" i="2"/>
  <c r="AJ1275" i="2"/>
  <c r="AK1275" i="2"/>
  <c r="AL1275" i="2"/>
  <c r="AF1276" i="2"/>
  <c r="AG1276" i="2"/>
  <c r="AH1276" i="2"/>
  <c r="AJ1276" i="2"/>
  <c r="AK1276" i="2"/>
  <c r="AL1276" i="2"/>
  <c r="AF1277" i="2"/>
  <c r="AG1277" i="2"/>
  <c r="AH1277" i="2"/>
  <c r="AJ1277" i="2"/>
  <c r="AK1277" i="2"/>
  <c r="AL1277" i="2"/>
  <c r="AF1278" i="2"/>
  <c r="AG1278" i="2"/>
  <c r="AH1278" i="2"/>
  <c r="AJ1278" i="2"/>
  <c r="AK1278" i="2"/>
  <c r="AL1278" i="2"/>
  <c r="AF1279" i="2"/>
  <c r="AG1279" i="2"/>
  <c r="AH1279" i="2"/>
  <c r="AJ1279" i="2"/>
  <c r="AK1279" i="2"/>
  <c r="AL1279" i="2"/>
  <c r="AF1280" i="2"/>
  <c r="AG1280" i="2"/>
  <c r="AH1280" i="2"/>
  <c r="AJ1280" i="2"/>
  <c r="AK1280" i="2"/>
  <c r="AL1280" i="2"/>
  <c r="AF1281" i="2"/>
  <c r="AG1281" i="2"/>
  <c r="AH1281" i="2"/>
  <c r="AJ1281" i="2"/>
  <c r="AK1281" i="2"/>
  <c r="AL1281" i="2"/>
  <c r="AF1282" i="2"/>
  <c r="AG1282" i="2"/>
  <c r="AH1282" i="2"/>
  <c r="AJ1282" i="2"/>
  <c r="AK1282" i="2"/>
  <c r="AL1282" i="2"/>
  <c r="AF1283" i="2"/>
  <c r="AG1283" i="2"/>
  <c r="AH1283" i="2"/>
  <c r="AJ1283" i="2"/>
  <c r="AK1283" i="2"/>
  <c r="AL1283" i="2"/>
  <c r="AF1284" i="2"/>
  <c r="AG1284" i="2"/>
  <c r="AH1284" i="2"/>
  <c r="AJ1284" i="2"/>
  <c r="AK1284" i="2"/>
  <c r="AL1284" i="2"/>
  <c r="AF1285" i="2"/>
  <c r="AG1285" i="2"/>
  <c r="AH1285" i="2"/>
  <c r="AJ1285" i="2"/>
  <c r="AK1285" i="2"/>
  <c r="AL1285" i="2"/>
  <c r="AF1286" i="2"/>
  <c r="AG1286" i="2"/>
  <c r="AH1286" i="2"/>
  <c r="AJ1286" i="2"/>
  <c r="AK1286" i="2"/>
  <c r="AL1286" i="2"/>
  <c r="AF1287" i="2"/>
  <c r="AG1287" i="2"/>
  <c r="AH1287" i="2"/>
  <c r="AJ1287" i="2"/>
  <c r="AK1287" i="2"/>
  <c r="AL1287" i="2"/>
  <c r="AF1288" i="2"/>
  <c r="AG1288" i="2"/>
  <c r="AH1288" i="2"/>
  <c r="AJ1288" i="2"/>
  <c r="AK1288" i="2"/>
  <c r="AL1288" i="2"/>
  <c r="AF1289" i="2"/>
  <c r="AG1289" i="2"/>
  <c r="AH1289" i="2"/>
  <c r="AJ1289" i="2"/>
  <c r="AK1289" i="2"/>
  <c r="AL1289" i="2"/>
  <c r="AF1290" i="2"/>
  <c r="AG1290" i="2"/>
  <c r="AH1290" i="2"/>
  <c r="AJ1290" i="2"/>
  <c r="AK1290" i="2"/>
  <c r="AL1290" i="2"/>
  <c r="AF1291" i="2"/>
  <c r="AG1291" i="2"/>
  <c r="AH1291" i="2"/>
  <c r="AJ1291" i="2"/>
  <c r="AK1291" i="2"/>
  <c r="AL1291" i="2"/>
  <c r="AF1292" i="2"/>
  <c r="AG1292" i="2"/>
  <c r="AH1292" i="2"/>
  <c r="AJ1292" i="2"/>
  <c r="AK1292" i="2"/>
  <c r="AL1292" i="2"/>
  <c r="AF1293" i="2"/>
  <c r="AG1293" i="2"/>
  <c r="AH1293" i="2"/>
  <c r="AJ1293" i="2"/>
  <c r="AK1293" i="2"/>
  <c r="AL1293" i="2"/>
  <c r="AF1294" i="2"/>
  <c r="AG1294" i="2"/>
  <c r="AH1294" i="2"/>
  <c r="AJ1294" i="2"/>
  <c r="AK1294" i="2"/>
  <c r="AL1294" i="2"/>
  <c r="AF1295" i="2"/>
  <c r="AG1295" i="2"/>
  <c r="AH1295" i="2"/>
  <c r="AJ1295" i="2"/>
  <c r="AK1295" i="2"/>
  <c r="AL1295" i="2"/>
  <c r="AF1296" i="2"/>
  <c r="AG1296" i="2"/>
  <c r="AH1296" i="2"/>
  <c r="AJ1296" i="2"/>
  <c r="AK1296" i="2"/>
  <c r="AL1296" i="2"/>
  <c r="AF1297" i="2"/>
  <c r="AG1297" i="2"/>
  <c r="AH1297" i="2"/>
  <c r="AJ1297" i="2"/>
  <c r="AK1297" i="2"/>
  <c r="AL1297" i="2"/>
  <c r="AF1298" i="2"/>
  <c r="AG1298" i="2"/>
  <c r="AH1298" i="2"/>
  <c r="AJ1298" i="2"/>
  <c r="AK1298" i="2"/>
  <c r="AL1298" i="2"/>
  <c r="AF1299" i="2"/>
  <c r="AG1299" i="2"/>
  <c r="AH1299" i="2"/>
  <c r="AJ1299" i="2"/>
  <c r="AK1299" i="2"/>
  <c r="AL1299" i="2"/>
  <c r="AF1300" i="2"/>
  <c r="AG1300" i="2"/>
  <c r="AH1300" i="2"/>
  <c r="AJ1300" i="2"/>
  <c r="AK1300" i="2"/>
  <c r="AL1300" i="2"/>
  <c r="AF1301" i="2"/>
  <c r="AG1301" i="2"/>
  <c r="AH1301" i="2"/>
  <c r="AJ1301" i="2"/>
  <c r="AK1301" i="2"/>
  <c r="AL1301" i="2"/>
  <c r="AF1302" i="2"/>
  <c r="AG1302" i="2"/>
  <c r="AH1302" i="2"/>
  <c r="AJ1302" i="2"/>
  <c r="AK1302" i="2"/>
  <c r="AL1302" i="2"/>
  <c r="AF1303" i="2"/>
  <c r="AG1303" i="2"/>
  <c r="AH1303" i="2"/>
  <c r="AJ1303" i="2"/>
  <c r="AK1303" i="2"/>
  <c r="AL1303" i="2"/>
  <c r="AF1304" i="2"/>
  <c r="AG1304" i="2"/>
  <c r="AH1304" i="2"/>
  <c r="AJ1304" i="2"/>
  <c r="AK1304" i="2"/>
  <c r="AL1304" i="2"/>
  <c r="AF1305" i="2"/>
  <c r="AG1305" i="2"/>
  <c r="AH1305" i="2"/>
  <c r="AJ1305" i="2"/>
  <c r="AK1305" i="2"/>
  <c r="AL1305" i="2"/>
  <c r="AF1306" i="2"/>
  <c r="AG1306" i="2"/>
  <c r="AH1306" i="2"/>
  <c r="AJ1306" i="2"/>
  <c r="AK1306" i="2"/>
  <c r="AL1306" i="2"/>
  <c r="AF1307" i="2"/>
  <c r="AG1307" i="2"/>
  <c r="AH1307" i="2"/>
  <c r="AJ1307" i="2"/>
  <c r="AK1307" i="2"/>
  <c r="AL1307" i="2"/>
  <c r="AF1308" i="2"/>
  <c r="AG1308" i="2"/>
  <c r="AH1308" i="2"/>
  <c r="AJ1308" i="2"/>
  <c r="AK1308" i="2"/>
  <c r="AL1308" i="2"/>
  <c r="AF1309" i="2"/>
  <c r="AG1309" i="2"/>
  <c r="AH1309" i="2"/>
  <c r="AJ1309" i="2"/>
  <c r="AK1309" i="2"/>
  <c r="AL1309" i="2"/>
  <c r="AF1310" i="2"/>
  <c r="AG1310" i="2"/>
  <c r="AH1310" i="2"/>
  <c r="AJ1310" i="2"/>
  <c r="AK1310" i="2"/>
  <c r="AL1310" i="2"/>
  <c r="AF1311" i="2"/>
  <c r="AG1311" i="2"/>
  <c r="AH1311" i="2"/>
  <c r="AJ1311" i="2"/>
  <c r="AK1311" i="2"/>
  <c r="AL1311" i="2"/>
  <c r="AF1312" i="2"/>
  <c r="AG1312" i="2"/>
  <c r="AH1312" i="2"/>
  <c r="AJ1312" i="2"/>
  <c r="AK1312" i="2"/>
  <c r="AL1312" i="2"/>
  <c r="AF1313" i="2"/>
  <c r="AG1313" i="2"/>
  <c r="AH1313" i="2"/>
  <c r="AJ1313" i="2"/>
  <c r="AK1313" i="2"/>
  <c r="AL1313" i="2"/>
  <c r="AF1314" i="2"/>
  <c r="AG1314" i="2"/>
  <c r="AH1314" i="2"/>
  <c r="AJ1314" i="2"/>
  <c r="AK1314" i="2"/>
  <c r="AL1314" i="2"/>
  <c r="AF1315" i="2"/>
  <c r="AG1315" i="2"/>
  <c r="AH1315" i="2"/>
  <c r="AJ1315" i="2"/>
  <c r="AK1315" i="2"/>
  <c r="AL1315" i="2"/>
  <c r="AF1316" i="2"/>
  <c r="AG1316" i="2"/>
  <c r="AH1316" i="2"/>
  <c r="AJ1316" i="2"/>
  <c r="AK1316" i="2"/>
  <c r="AL1316" i="2"/>
  <c r="AF1317" i="2"/>
  <c r="AG1317" i="2"/>
  <c r="AH1317" i="2"/>
  <c r="AJ1317" i="2"/>
  <c r="AK1317" i="2"/>
  <c r="AL1317" i="2"/>
  <c r="AF1318" i="2"/>
  <c r="AG1318" i="2"/>
  <c r="AH1318" i="2"/>
  <c r="AJ1318" i="2"/>
  <c r="AK1318" i="2"/>
  <c r="AL1318" i="2"/>
  <c r="AF1319" i="2"/>
  <c r="AG1319" i="2"/>
  <c r="AH1319" i="2"/>
  <c r="AJ1319" i="2"/>
  <c r="AK1319" i="2"/>
  <c r="AL1319" i="2"/>
  <c r="AF1320" i="2"/>
  <c r="AG1320" i="2"/>
  <c r="AH1320" i="2"/>
  <c r="AJ1320" i="2"/>
  <c r="AK1320" i="2"/>
  <c r="AL1320" i="2"/>
  <c r="AF1321" i="2"/>
  <c r="AG1321" i="2"/>
  <c r="AH1321" i="2"/>
  <c r="AJ1321" i="2"/>
  <c r="AK1321" i="2"/>
  <c r="AL1321" i="2"/>
  <c r="AF1322" i="2"/>
  <c r="AG1322" i="2"/>
  <c r="AH1322" i="2"/>
  <c r="AJ1322" i="2"/>
  <c r="AK1322" i="2"/>
  <c r="AL1322" i="2"/>
  <c r="AF1323" i="2"/>
  <c r="AG1323" i="2"/>
  <c r="AH1323" i="2"/>
  <c r="AJ1323" i="2"/>
  <c r="AK1323" i="2"/>
  <c r="AL1323" i="2"/>
  <c r="AF1324" i="2"/>
  <c r="AG1324" i="2"/>
  <c r="AH1324" i="2"/>
  <c r="AJ1324" i="2"/>
  <c r="AK1324" i="2"/>
  <c r="AL1324" i="2"/>
  <c r="AF1325" i="2"/>
  <c r="AG1325" i="2"/>
  <c r="AH1325" i="2"/>
  <c r="AJ1325" i="2"/>
  <c r="AK1325" i="2"/>
  <c r="AL1325" i="2"/>
  <c r="AF1326" i="2"/>
  <c r="AG1326" i="2"/>
  <c r="AH1326" i="2"/>
  <c r="AJ1326" i="2"/>
  <c r="AK1326" i="2"/>
  <c r="AL1326" i="2"/>
  <c r="AF1327" i="2"/>
  <c r="AG1327" i="2"/>
  <c r="AH1327" i="2"/>
  <c r="AJ1327" i="2"/>
  <c r="AK1327" i="2"/>
  <c r="AL1327" i="2"/>
  <c r="AF1328" i="2"/>
  <c r="AG1328" i="2"/>
  <c r="AH1328" i="2"/>
  <c r="AJ1328" i="2"/>
  <c r="AK1328" i="2"/>
  <c r="AL1328" i="2"/>
  <c r="AF1329" i="2"/>
  <c r="AG1329" i="2"/>
  <c r="AH1329" i="2"/>
  <c r="AJ1329" i="2"/>
  <c r="AK1329" i="2"/>
  <c r="AL1329" i="2"/>
  <c r="AF1330" i="2"/>
  <c r="AG1330" i="2"/>
  <c r="AH1330" i="2"/>
  <c r="AJ1330" i="2"/>
  <c r="AK1330" i="2"/>
  <c r="AL1330" i="2"/>
  <c r="AF1331" i="2"/>
  <c r="AG1331" i="2"/>
  <c r="AH1331" i="2"/>
  <c r="AJ1331" i="2"/>
  <c r="AK1331" i="2"/>
  <c r="AL1331" i="2"/>
  <c r="AF1332" i="2"/>
  <c r="AG1332" i="2"/>
  <c r="AH1332" i="2"/>
  <c r="AJ1332" i="2"/>
  <c r="AK1332" i="2"/>
  <c r="AL1332" i="2"/>
  <c r="AF1333" i="2"/>
  <c r="AG1333" i="2"/>
  <c r="AH1333" i="2"/>
  <c r="AJ1333" i="2"/>
  <c r="AK1333" i="2"/>
  <c r="AL1333" i="2"/>
  <c r="AF1334" i="2"/>
  <c r="AG1334" i="2"/>
  <c r="AH1334" i="2"/>
  <c r="AJ1334" i="2"/>
  <c r="AK1334" i="2"/>
  <c r="AL1334" i="2"/>
  <c r="AF1335" i="2"/>
  <c r="AG1335" i="2"/>
  <c r="AH1335" i="2"/>
  <c r="AJ1335" i="2"/>
  <c r="AK1335" i="2"/>
  <c r="AL1335" i="2"/>
  <c r="AF1336" i="2"/>
  <c r="AG1336" i="2"/>
  <c r="AH1336" i="2"/>
  <c r="AJ1336" i="2"/>
  <c r="AK1336" i="2"/>
  <c r="AL1336" i="2"/>
  <c r="AF1337" i="2"/>
  <c r="AG1337" i="2"/>
  <c r="AH1337" i="2"/>
  <c r="AJ1337" i="2"/>
  <c r="AK1337" i="2"/>
  <c r="AL1337" i="2"/>
  <c r="AF1338" i="2"/>
  <c r="AG1338" i="2"/>
  <c r="AH1338" i="2"/>
  <c r="AJ1338" i="2"/>
  <c r="AK1338" i="2"/>
  <c r="AL1338" i="2"/>
  <c r="AF1339" i="2"/>
  <c r="AG1339" i="2"/>
  <c r="AH1339" i="2"/>
  <c r="AJ1339" i="2"/>
  <c r="AK1339" i="2"/>
  <c r="AL1339" i="2"/>
  <c r="AF1340" i="2"/>
  <c r="AG1340" i="2"/>
  <c r="AH1340" i="2"/>
  <c r="AJ1340" i="2"/>
  <c r="AK1340" i="2"/>
  <c r="AL1340" i="2"/>
  <c r="AF1341" i="2"/>
  <c r="AG1341" i="2"/>
  <c r="AH1341" i="2"/>
  <c r="AJ1341" i="2"/>
  <c r="AK1341" i="2"/>
  <c r="AL1341" i="2"/>
  <c r="AF1342" i="2"/>
  <c r="AG1342" i="2"/>
  <c r="AH1342" i="2"/>
  <c r="AJ1342" i="2"/>
  <c r="AK1342" i="2"/>
  <c r="AL1342" i="2"/>
  <c r="AF1343" i="2"/>
  <c r="AG1343" i="2"/>
  <c r="AH1343" i="2"/>
  <c r="AJ1343" i="2"/>
  <c r="AK1343" i="2"/>
  <c r="AL1343" i="2"/>
  <c r="AF1344" i="2"/>
  <c r="AG1344" i="2"/>
  <c r="AH1344" i="2"/>
  <c r="AJ1344" i="2"/>
  <c r="AK1344" i="2"/>
  <c r="AL1344" i="2"/>
  <c r="AF1345" i="2"/>
  <c r="AG1345" i="2"/>
  <c r="AH1345" i="2"/>
  <c r="AJ1345" i="2"/>
  <c r="AK1345" i="2"/>
  <c r="AL1345" i="2"/>
  <c r="AF1346" i="2"/>
  <c r="AG1346" i="2"/>
  <c r="AH1346" i="2"/>
  <c r="AJ1346" i="2"/>
  <c r="AK1346" i="2"/>
  <c r="AL1346" i="2"/>
  <c r="AF1347" i="2"/>
  <c r="AG1347" i="2"/>
  <c r="AH1347" i="2"/>
  <c r="AJ1347" i="2"/>
  <c r="AK1347" i="2"/>
  <c r="AL1347" i="2"/>
  <c r="AF1348" i="2"/>
  <c r="AG1348" i="2"/>
  <c r="AH1348" i="2"/>
  <c r="AJ1348" i="2"/>
  <c r="AK1348" i="2"/>
  <c r="AL1348" i="2"/>
  <c r="AF1349" i="2"/>
  <c r="AG1349" i="2"/>
  <c r="AH1349" i="2"/>
  <c r="AJ1349" i="2"/>
  <c r="AK1349" i="2"/>
  <c r="AL1349" i="2"/>
  <c r="AF1350" i="2"/>
  <c r="AG1350" i="2"/>
  <c r="AH1350" i="2"/>
  <c r="AJ1350" i="2"/>
  <c r="AK1350" i="2"/>
  <c r="AL1350" i="2"/>
  <c r="AF1351" i="2"/>
  <c r="AG1351" i="2"/>
  <c r="AH1351" i="2"/>
  <c r="AJ1351" i="2"/>
  <c r="AK1351" i="2"/>
  <c r="AL1351" i="2"/>
  <c r="AF1352" i="2"/>
  <c r="AG1352" i="2"/>
  <c r="AH1352" i="2"/>
  <c r="AJ1352" i="2"/>
  <c r="AK1352" i="2"/>
  <c r="AL1352" i="2"/>
  <c r="AF1353" i="2"/>
  <c r="AG1353" i="2"/>
  <c r="AH1353" i="2"/>
  <c r="AJ1353" i="2"/>
  <c r="AK1353" i="2"/>
  <c r="AL1353" i="2"/>
  <c r="AF1354" i="2"/>
  <c r="AG1354" i="2"/>
  <c r="AH1354" i="2"/>
  <c r="AJ1354" i="2"/>
  <c r="AK1354" i="2"/>
  <c r="AL1354" i="2"/>
  <c r="AF1355" i="2"/>
  <c r="AG1355" i="2"/>
  <c r="AH1355" i="2"/>
  <c r="AJ1355" i="2"/>
  <c r="AK1355" i="2"/>
  <c r="AL1355" i="2"/>
  <c r="AF1356" i="2"/>
  <c r="AG1356" i="2"/>
  <c r="AH1356" i="2"/>
  <c r="AJ1356" i="2"/>
  <c r="AK1356" i="2"/>
  <c r="AL1356" i="2"/>
  <c r="AF1357" i="2"/>
  <c r="AG1357" i="2"/>
  <c r="AH1357" i="2"/>
  <c r="AJ1357" i="2"/>
  <c r="AK1357" i="2"/>
  <c r="AL1357" i="2"/>
  <c r="AF1358" i="2"/>
  <c r="AG1358" i="2"/>
  <c r="AH1358" i="2"/>
  <c r="AJ1358" i="2"/>
  <c r="AK1358" i="2"/>
  <c r="AL1358" i="2"/>
  <c r="AF1359" i="2"/>
  <c r="AG1359" i="2"/>
  <c r="AH1359" i="2"/>
  <c r="AJ1359" i="2"/>
  <c r="AK1359" i="2"/>
  <c r="AL1359" i="2"/>
  <c r="AF1360" i="2"/>
  <c r="AG1360" i="2"/>
  <c r="AH1360" i="2"/>
  <c r="AJ1360" i="2"/>
  <c r="AK1360" i="2"/>
  <c r="AL1360" i="2"/>
  <c r="AF1361" i="2"/>
  <c r="AG1361" i="2"/>
  <c r="AH1361" i="2"/>
  <c r="AJ1361" i="2"/>
  <c r="AK1361" i="2"/>
  <c r="AL1361" i="2"/>
  <c r="AF1362" i="2"/>
  <c r="AG1362" i="2"/>
  <c r="AH1362" i="2"/>
  <c r="AJ1362" i="2"/>
  <c r="AK1362" i="2"/>
  <c r="AL1362" i="2"/>
  <c r="AF1363" i="2"/>
  <c r="AG1363" i="2"/>
  <c r="AH1363" i="2"/>
  <c r="AJ1363" i="2"/>
  <c r="AK1363" i="2"/>
  <c r="AL1363" i="2"/>
  <c r="AF1364" i="2"/>
  <c r="AG1364" i="2"/>
  <c r="AH1364" i="2"/>
  <c r="AJ1364" i="2"/>
  <c r="AK1364" i="2"/>
  <c r="AL1364" i="2"/>
  <c r="AF1365" i="2"/>
  <c r="AG1365" i="2"/>
  <c r="AH1365" i="2"/>
  <c r="AJ1365" i="2"/>
  <c r="AK1365" i="2"/>
  <c r="AL1365" i="2"/>
  <c r="AF1366" i="2"/>
  <c r="AG1366" i="2"/>
  <c r="AH1366" i="2"/>
  <c r="AJ1366" i="2"/>
  <c r="AK1366" i="2"/>
  <c r="AL1366" i="2"/>
  <c r="AF1367" i="2"/>
  <c r="AG1367" i="2"/>
  <c r="AH1367" i="2"/>
  <c r="AJ1367" i="2"/>
  <c r="AK1367" i="2"/>
  <c r="AL1367" i="2"/>
  <c r="AF1368" i="2"/>
  <c r="AG1368" i="2"/>
  <c r="AH1368" i="2"/>
  <c r="AJ1368" i="2"/>
  <c r="AK1368" i="2"/>
  <c r="AL1368" i="2"/>
  <c r="AF1369" i="2"/>
  <c r="AG1369" i="2"/>
  <c r="AH1369" i="2"/>
  <c r="AJ1369" i="2"/>
  <c r="AK1369" i="2"/>
  <c r="AL1369" i="2"/>
  <c r="AF1370" i="2"/>
  <c r="AG1370" i="2"/>
  <c r="AH1370" i="2"/>
  <c r="AJ1370" i="2"/>
  <c r="AK1370" i="2"/>
  <c r="AL1370" i="2"/>
  <c r="AF1371" i="2"/>
  <c r="AG1371" i="2"/>
  <c r="AH1371" i="2"/>
  <c r="AJ1371" i="2"/>
  <c r="AK1371" i="2"/>
  <c r="AL1371" i="2"/>
  <c r="AF1372" i="2"/>
  <c r="AG1372" i="2"/>
  <c r="AH1372" i="2"/>
  <c r="AJ1372" i="2"/>
  <c r="AK1372" i="2"/>
  <c r="AL1372" i="2"/>
  <c r="AF1373" i="2"/>
  <c r="AG1373" i="2"/>
  <c r="AH1373" i="2"/>
  <c r="AJ1373" i="2"/>
  <c r="AK1373" i="2"/>
  <c r="AL1373" i="2"/>
  <c r="AF1374" i="2"/>
  <c r="AG1374" i="2"/>
  <c r="AH1374" i="2"/>
  <c r="AJ1374" i="2"/>
  <c r="AK1374" i="2"/>
  <c r="AL1374" i="2"/>
  <c r="AF1375" i="2"/>
  <c r="AG1375" i="2"/>
  <c r="AH1375" i="2"/>
  <c r="AJ1375" i="2"/>
  <c r="AK1375" i="2"/>
  <c r="AL1375" i="2"/>
  <c r="AF1376" i="2"/>
  <c r="AG1376" i="2"/>
  <c r="AH1376" i="2"/>
  <c r="AJ1376" i="2"/>
  <c r="AK1376" i="2"/>
  <c r="AL1376" i="2"/>
  <c r="AF1377" i="2"/>
  <c r="AG1377" i="2"/>
  <c r="AH1377" i="2"/>
  <c r="AJ1377" i="2"/>
  <c r="AK1377" i="2"/>
  <c r="AL1377" i="2"/>
  <c r="AF1378" i="2"/>
  <c r="AG1378" i="2"/>
  <c r="AH1378" i="2"/>
  <c r="AJ1378" i="2"/>
  <c r="AK1378" i="2"/>
  <c r="AL1378" i="2"/>
  <c r="AF1379" i="2"/>
  <c r="AG1379" i="2"/>
  <c r="AH1379" i="2"/>
  <c r="AJ1379" i="2"/>
  <c r="AK1379" i="2"/>
  <c r="AL1379" i="2"/>
  <c r="AF1380" i="2"/>
  <c r="AG1380" i="2"/>
  <c r="AH1380" i="2"/>
  <c r="AJ1380" i="2"/>
  <c r="AK1380" i="2"/>
  <c r="AL1380" i="2"/>
  <c r="AF1381" i="2"/>
  <c r="AG1381" i="2"/>
  <c r="AH1381" i="2"/>
  <c r="AJ1381" i="2"/>
  <c r="AK1381" i="2"/>
  <c r="AL1381" i="2"/>
  <c r="AF1382" i="2"/>
  <c r="AG1382" i="2"/>
  <c r="AH1382" i="2"/>
  <c r="AJ1382" i="2"/>
  <c r="AK1382" i="2"/>
  <c r="AL1382" i="2"/>
  <c r="AF1383" i="2"/>
  <c r="AG1383" i="2"/>
  <c r="AH1383" i="2"/>
  <c r="AJ1383" i="2"/>
  <c r="AK1383" i="2"/>
  <c r="AL1383" i="2"/>
  <c r="AF1384" i="2"/>
  <c r="AG1384" i="2"/>
  <c r="AH1384" i="2"/>
  <c r="AJ1384" i="2"/>
  <c r="AK1384" i="2"/>
  <c r="AL1384" i="2"/>
  <c r="AF1385" i="2"/>
  <c r="AG1385" i="2"/>
  <c r="AH1385" i="2"/>
  <c r="AJ1385" i="2"/>
  <c r="AK1385" i="2"/>
  <c r="AL1385" i="2"/>
  <c r="AF1386" i="2"/>
  <c r="AG1386" i="2"/>
  <c r="AH1386" i="2"/>
  <c r="AJ1386" i="2"/>
  <c r="AK1386" i="2"/>
  <c r="AL1386" i="2"/>
  <c r="AF1387" i="2"/>
  <c r="AG1387" i="2"/>
  <c r="AH1387" i="2"/>
  <c r="AJ1387" i="2"/>
  <c r="AK1387" i="2"/>
  <c r="AL1387" i="2"/>
  <c r="AF1388" i="2"/>
  <c r="AG1388" i="2"/>
  <c r="AH1388" i="2"/>
  <c r="AJ1388" i="2"/>
  <c r="AK1388" i="2"/>
  <c r="AL1388" i="2"/>
  <c r="AF1389" i="2"/>
  <c r="AG1389" i="2"/>
  <c r="AH1389" i="2"/>
  <c r="AJ1389" i="2"/>
  <c r="AK1389" i="2"/>
  <c r="AL1389" i="2"/>
  <c r="AF1390" i="2"/>
  <c r="AG1390" i="2"/>
  <c r="AH1390" i="2"/>
  <c r="AJ1390" i="2"/>
  <c r="AK1390" i="2"/>
  <c r="AL1390" i="2"/>
  <c r="AF1391" i="2"/>
  <c r="AG1391" i="2"/>
  <c r="AH1391" i="2"/>
  <c r="AJ1391" i="2"/>
  <c r="AK1391" i="2"/>
  <c r="AL1391" i="2"/>
  <c r="AF1392" i="2"/>
  <c r="AG1392" i="2"/>
  <c r="AH1392" i="2"/>
  <c r="AJ1392" i="2"/>
  <c r="AK1392" i="2"/>
  <c r="AL1392" i="2"/>
  <c r="AF1393" i="2"/>
  <c r="AG1393" i="2"/>
  <c r="AH1393" i="2"/>
  <c r="AJ1393" i="2"/>
  <c r="AK1393" i="2"/>
  <c r="AL1393" i="2"/>
  <c r="AF1394" i="2"/>
  <c r="AG1394" i="2"/>
  <c r="AH1394" i="2"/>
  <c r="AJ1394" i="2"/>
  <c r="AK1394" i="2"/>
  <c r="AL1394" i="2"/>
  <c r="AF1395" i="2"/>
  <c r="AG1395" i="2"/>
  <c r="AH1395" i="2"/>
  <c r="AJ1395" i="2"/>
  <c r="AK1395" i="2"/>
  <c r="AL1395" i="2"/>
  <c r="AF1396" i="2"/>
  <c r="AG1396" i="2"/>
  <c r="AH1396" i="2"/>
  <c r="AJ1396" i="2"/>
  <c r="AK1396" i="2"/>
  <c r="AL1396" i="2"/>
  <c r="AF1397" i="2"/>
  <c r="AG1397" i="2"/>
  <c r="AH1397" i="2"/>
  <c r="AJ1397" i="2"/>
  <c r="AK1397" i="2"/>
  <c r="AL1397" i="2"/>
  <c r="AF1398" i="2"/>
  <c r="AG1398" i="2"/>
  <c r="AH1398" i="2"/>
  <c r="AJ1398" i="2"/>
  <c r="AK1398" i="2"/>
  <c r="AL1398" i="2"/>
  <c r="AF1399" i="2"/>
  <c r="AG1399" i="2"/>
  <c r="AH1399" i="2"/>
  <c r="AJ1399" i="2"/>
  <c r="AK1399" i="2"/>
  <c r="AL1399" i="2"/>
  <c r="AF1400" i="2"/>
  <c r="AG1400" i="2"/>
  <c r="AH1400" i="2"/>
  <c r="AJ1400" i="2"/>
  <c r="AK1400" i="2"/>
  <c r="AL1400" i="2"/>
  <c r="AF1401" i="2"/>
  <c r="AG1401" i="2"/>
  <c r="AH1401" i="2"/>
  <c r="AJ1401" i="2"/>
  <c r="AK1401" i="2"/>
  <c r="AL1401" i="2"/>
  <c r="AF1402" i="2"/>
  <c r="AG1402" i="2"/>
  <c r="AH1402" i="2"/>
  <c r="AJ1402" i="2"/>
  <c r="AK1402" i="2"/>
  <c r="AL1402" i="2"/>
  <c r="AF1403" i="2"/>
  <c r="AG1403" i="2"/>
  <c r="AH1403" i="2"/>
  <c r="AJ1403" i="2"/>
  <c r="AK1403" i="2"/>
  <c r="AL1403" i="2"/>
  <c r="AF1404" i="2"/>
  <c r="AG1404" i="2"/>
  <c r="AH1404" i="2"/>
  <c r="AJ1404" i="2"/>
  <c r="AK1404" i="2"/>
  <c r="AL1404" i="2"/>
  <c r="AF1405" i="2"/>
  <c r="AG1405" i="2"/>
  <c r="AH1405" i="2"/>
  <c r="AJ1405" i="2"/>
  <c r="AK1405" i="2"/>
  <c r="AL1405" i="2"/>
  <c r="AF1406" i="2"/>
  <c r="AG1406" i="2"/>
  <c r="AH1406" i="2"/>
  <c r="AJ1406" i="2"/>
  <c r="AK1406" i="2"/>
  <c r="AL1406" i="2"/>
  <c r="AF1407" i="2"/>
  <c r="AG1407" i="2"/>
  <c r="AH1407" i="2"/>
  <c r="AJ1407" i="2"/>
  <c r="AK1407" i="2"/>
  <c r="AL1407" i="2"/>
  <c r="AF1408" i="2"/>
  <c r="AG1408" i="2"/>
  <c r="AH1408" i="2"/>
  <c r="AJ1408" i="2"/>
  <c r="AK1408" i="2"/>
  <c r="AL1408" i="2"/>
  <c r="AF1409" i="2"/>
  <c r="AG1409" i="2"/>
  <c r="AH1409" i="2"/>
  <c r="AJ1409" i="2"/>
  <c r="AK1409" i="2"/>
  <c r="AL1409" i="2"/>
  <c r="AF1410" i="2"/>
  <c r="AG1410" i="2"/>
  <c r="AH1410" i="2"/>
  <c r="AJ1410" i="2"/>
  <c r="AK1410" i="2"/>
  <c r="AL1410" i="2"/>
  <c r="AF1411" i="2"/>
  <c r="AG1411" i="2"/>
  <c r="AH1411" i="2"/>
  <c r="AJ1411" i="2"/>
  <c r="AK1411" i="2"/>
  <c r="AL1411" i="2"/>
  <c r="AF1412" i="2"/>
  <c r="AG1412" i="2"/>
  <c r="AH1412" i="2"/>
  <c r="AJ1412" i="2"/>
  <c r="AK1412" i="2"/>
  <c r="AL1412" i="2"/>
  <c r="AF1413" i="2"/>
  <c r="AG1413" i="2"/>
  <c r="AH1413" i="2"/>
  <c r="AJ1413" i="2"/>
  <c r="AK1413" i="2"/>
  <c r="AL1413" i="2"/>
  <c r="AF1414" i="2"/>
  <c r="AG1414" i="2"/>
  <c r="AH1414" i="2"/>
  <c r="AJ1414" i="2"/>
  <c r="AK1414" i="2"/>
  <c r="AL1414" i="2"/>
  <c r="AF1415" i="2"/>
  <c r="AG1415" i="2"/>
  <c r="AH1415" i="2"/>
  <c r="AJ1415" i="2"/>
  <c r="AK1415" i="2"/>
  <c r="AL1415" i="2"/>
  <c r="AF1416" i="2"/>
  <c r="AG1416" i="2"/>
  <c r="AH1416" i="2"/>
  <c r="AJ1416" i="2"/>
  <c r="AK1416" i="2"/>
  <c r="AL1416" i="2"/>
  <c r="AF1417" i="2"/>
  <c r="AG1417" i="2"/>
  <c r="AH1417" i="2"/>
  <c r="AJ1417" i="2"/>
  <c r="AK1417" i="2"/>
  <c r="AL1417" i="2"/>
  <c r="AF1418" i="2"/>
  <c r="AG1418" i="2"/>
  <c r="AH1418" i="2"/>
  <c r="AJ1418" i="2"/>
  <c r="AK1418" i="2"/>
  <c r="AL1418" i="2"/>
  <c r="AF1419" i="2"/>
  <c r="AG1419" i="2"/>
  <c r="AH1419" i="2"/>
  <c r="AJ1419" i="2"/>
  <c r="AK1419" i="2"/>
  <c r="AL1419" i="2"/>
  <c r="AF1420" i="2"/>
  <c r="AG1420" i="2"/>
  <c r="AH1420" i="2"/>
  <c r="AJ1420" i="2"/>
  <c r="AK1420" i="2"/>
  <c r="AL1420" i="2"/>
  <c r="AF1421" i="2"/>
  <c r="AG1421" i="2"/>
  <c r="AH1421" i="2"/>
  <c r="AJ1421" i="2"/>
  <c r="AK1421" i="2"/>
  <c r="AL1421" i="2"/>
  <c r="AF1422" i="2"/>
  <c r="AG1422" i="2"/>
  <c r="AH1422" i="2"/>
  <c r="AJ1422" i="2"/>
  <c r="AK1422" i="2"/>
  <c r="AL1422" i="2"/>
  <c r="AF1423" i="2"/>
  <c r="AG1423" i="2"/>
  <c r="AH1423" i="2"/>
  <c r="AJ1423" i="2"/>
  <c r="AK1423" i="2"/>
  <c r="AL1423" i="2"/>
  <c r="AF1424" i="2"/>
  <c r="AG1424" i="2"/>
  <c r="AH1424" i="2"/>
  <c r="AJ1424" i="2"/>
  <c r="AK1424" i="2"/>
  <c r="AL1424" i="2"/>
  <c r="AF1425" i="2"/>
  <c r="AG1425" i="2"/>
  <c r="AH1425" i="2"/>
  <c r="AJ1425" i="2"/>
  <c r="AK1425" i="2"/>
  <c r="AL1425" i="2"/>
  <c r="AF1426" i="2"/>
  <c r="AG1426" i="2"/>
  <c r="AH1426" i="2"/>
  <c r="AJ1426" i="2"/>
  <c r="AK1426" i="2"/>
  <c r="AL1426" i="2"/>
  <c r="AF1427" i="2"/>
  <c r="AG1427" i="2"/>
  <c r="AH1427" i="2"/>
  <c r="AJ1427" i="2"/>
  <c r="AK1427" i="2"/>
  <c r="AL1427" i="2"/>
  <c r="AF1428" i="2"/>
  <c r="AG1428" i="2"/>
  <c r="AH1428" i="2"/>
  <c r="AJ1428" i="2"/>
  <c r="AK1428" i="2"/>
  <c r="AL1428" i="2"/>
  <c r="AF1429" i="2"/>
  <c r="AG1429" i="2"/>
  <c r="AH1429" i="2"/>
  <c r="AJ1429" i="2"/>
  <c r="AK1429" i="2"/>
  <c r="AL1429" i="2"/>
  <c r="AF1430" i="2"/>
  <c r="AG1430" i="2"/>
  <c r="AH1430" i="2"/>
  <c r="AJ1430" i="2"/>
  <c r="AK1430" i="2"/>
  <c r="AL1430" i="2"/>
  <c r="AF1431" i="2"/>
  <c r="AG1431" i="2"/>
  <c r="AH1431" i="2"/>
  <c r="AJ1431" i="2"/>
  <c r="AK1431" i="2"/>
  <c r="AL1431" i="2"/>
  <c r="AF1432" i="2"/>
  <c r="AG1432" i="2"/>
  <c r="AH1432" i="2"/>
  <c r="AJ1432" i="2"/>
  <c r="AK1432" i="2"/>
  <c r="AL1432" i="2"/>
  <c r="AF1433" i="2"/>
  <c r="AG1433" i="2"/>
  <c r="AH1433" i="2"/>
  <c r="AJ1433" i="2"/>
  <c r="AK1433" i="2"/>
  <c r="AL1433" i="2"/>
  <c r="AF1434" i="2"/>
  <c r="AG1434" i="2"/>
  <c r="AH1434" i="2"/>
  <c r="AJ1434" i="2"/>
  <c r="AK1434" i="2"/>
  <c r="AL1434" i="2"/>
  <c r="AF1435" i="2"/>
  <c r="AG1435" i="2"/>
  <c r="AH1435" i="2"/>
  <c r="AJ1435" i="2"/>
  <c r="AK1435" i="2"/>
  <c r="AL1435" i="2"/>
  <c r="AF1436" i="2"/>
  <c r="AG1436" i="2"/>
  <c r="AH1436" i="2"/>
  <c r="AJ1436" i="2"/>
  <c r="AK1436" i="2"/>
  <c r="AL1436" i="2"/>
  <c r="AF1437" i="2"/>
  <c r="AG1437" i="2"/>
  <c r="AH1437" i="2"/>
  <c r="AJ1437" i="2"/>
  <c r="AK1437" i="2"/>
  <c r="AL1437" i="2"/>
  <c r="AF1438" i="2"/>
  <c r="AG1438" i="2"/>
  <c r="AH1438" i="2"/>
  <c r="AJ1438" i="2"/>
  <c r="AK1438" i="2"/>
  <c r="AL1438" i="2"/>
  <c r="AF1439" i="2"/>
  <c r="AG1439" i="2"/>
  <c r="AH1439" i="2"/>
  <c r="AJ1439" i="2"/>
  <c r="AK1439" i="2"/>
  <c r="AL1439" i="2"/>
  <c r="AF1440" i="2"/>
  <c r="AG1440" i="2"/>
  <c r="AH1440" i="2"/>
  <c r="AJ1440" i="2"/>
  <c r="AK1440" i="2"/>
  <c r="AL1440" i="2"/>
  <c r="AF1441" i="2"/>
  <c r="AG1441" i="2"/>
  <c r="AH1441" i="2"/>
  <c r="AJ1441" i="2"/>
  <c r="AK1441" i="2"/>
  <c r="AL1441" i="2"/>
  <c r="AF1442" i="2"/>
  <c r="AG1442" i="2"/>
  <c r="AH1442" i="2"/>
  <c r="AJ1442" i="2"/>
  <c r="AK1442" i="2"/>
  <c r="AL1442" i="2"/>
  <c r="AF1443" i="2"/>
  <c r="AG1443" i="2"/>
  <c r="AH1443" i="2"/>
  <c r="AJ1443" i="2"/>
  <c r="AK1443" i="2"/>
  <c r="AL1443" i="2"/>
  <c r="AF1444" i="2"/>
  <c r="AG1444" i="2"/>
  <c r="AH1444" i="2"/>
  <c r="AJ1444" i="2"/>
  <c r="AK1444" i="2"/>
  <c r="AL1444" i="2"/>
  <c r="AF1445" i="2"/>
  <c r="AG1445" i="2"/>
  <c r="AH1445" i="2"/>
  <c r="AJ1445" i="2"/>
  <c r="AK1445" i="2"/>
  <c r="AL1445" i="2"/>
  <c r="AF1446" i="2"/>
  <c r="AG1446" i="2"/>
  <c r="AH1446" i="2"/>
  <c r="AJ1446" i="2"/>
  <c r="AK1446" i="2"/>
  <c r="AL1446" i="2"/>
  <c r="AF1447" i="2"/>
  <c r="AG1447" i="2"/>
  <c r="AH1447" i="2"/>
  <c r="AJ1447" i="2"/>
  <c r="AK1447" i="2"/>
  <c r="AL1447" i="2"/>
  <c r="AF1448" i="2"/>
  <c r="AG1448" i="2"/>
  <c r="AH1448" i="2"/>
  <c r="AJ1448" i="2"/>
  <c r="AK1448" i="2"/>
  <c r="AL1448" i="2"/>
  <c r="AF1449" i="2"/>
  <c r="AG1449" i="2"/>
  <c r="AH1449" i="2"/>
  <c r="AJ1449" i="2"/>
  <c r="AK1449" i="2"/>
  <c r="AL1449" i="2"/>
  <c r="AF1450" i="2"/>
  <c r="AG1450" i="2"/>
  <c r="AH1450" i="2"/>
  <c r="AJ1450" i="2"/>
  <c r="AK1450" i="2"/>
  <c r="AL1450" i="2"/>
  <c r="AF1451" i="2"/>
  <c r="AG1451" i="2"/>
  <c r="AH1451" i="2"/>
  <c r="AJ1451" i="2"/>
  <c r="AK1451" i="2"/>
  <c r="AL1451" i="2"/>
  <c r="AF1452" i="2"/>
  <c r="AG1452" i="2"/>
  <c r="AH1452" i="2"/>
  <c r="AJ1452" i="2"/>
  <c r="AK1452" i="2"/>
  <c r="AL1452" i="2"/>
  <c r="AF1453" i="2"/>
  <c r="AG1453" i="2"/>
  <c r="AH1453" i="2"/>
  <c r="AJ1453" i="2"/>
  <c r="AK1453" i="2"/>
  <c r="AL1453" i="2"/>
  <c r="AF1454" i="2"/>
  <c r="AG1454" i="2"/>
  <c r="AH1454" i="2"/>
  <c r="AJ1454" i="2"/>
  <c r="AK1454" i="2"/>
  <c r="AL1454" i="2"/>
  <c r="AF1455" i="2"/>
  <c r="AG1455" i="2"/>
  <c r="AH1455" i="2"/>
  <c r="AJ1455" i="2"/>
  <c r="AK1455" i="2"/>
  <c r="AL1455" i="2"/>
  <c r="AF1456" i="2"/>
  <c r="AG1456" i="2"/>
  <c r="AH1456" i="2"/>
  <c r="AJ1456" i="2"/>
  <c r="AK1456" i="2"/>
  <c r="AL1456" i="2"/>
  <c r="AF1457" i="2"/>
  <c r="AG1457" i="2"/>
  <c r="AH1457" i="2"/>
  <c r="AJ1457" i="2"/>
  <c r="AK1457" i="2"/>
  <c r="AL1457" i="2"/>
  <c r="AF1458" i="2"/>
  <c r="AG1458" i="2"/>
  <c r="AH1458" i="2"/>
  <c r="AJ1458" i="2"/>
  <c r="AK1458" i="2"/>
  <c r="AL1458" i="2"/>
  <c r="AF1459" i="2"/>
  <c r="AG1459" i="2"/>
  <c r="AH1459" i="2"/>
  <c r="AJ1459" i="2"/>
  <c r="AK1459" i="2"/>
  <c r="AL1459" i="2"/>
  <c r="AF1460" i="2"/>
  <c r="AG1460" i="2"/>
  <c r="AH1460" i="2"/>
  <c r="AJ1460" i="2"/>
  <c r="AK1460" i="2"/>
  <c r="AL1460" i="2"/>
  <c r="AF1461" i="2"/>
  <c r="AG1461" i="2"/>
  <c r="AH1461" i="2"/>
  <c r="AJ1461" i="2"/>
  <c r="AK1461" i="2"/>
  <c r="AL1461" i="2"/>
  <c r="AF1462" i="2"/>
  <c r="AG1462" i="2"/>
  <c r="AH1462" i="2"/>
  <c r="AJ1462" i="2"/>
  <c r="AK1462" i="2"/>
  <c r="AL1462" i="2"/>
  <c r="AF1463" i="2"/>
  <c r="AG1463" i="2"/>
  <c r="AH1463" i="2"/>
  <c r="AJ1463" i="2"/>
  <c r="AK1463" i="2"/>
  <c r="AL1463" i="2"/>
  <c r="AF1464" i="2"/>
  <c r="AG1464" i="2"/>
  <c r="AH1464" i="2"/>
  <c r="AJ1464" i="2"/>
  <c r="AK1464" i="2"/>
  <c r="AL1464" i="2"/>
  <c r="AF1465" i="2"/>
  <c r="AG1465" i="2"/>
  <c r="AH1465" i="2"/>
  <c r="AJ1465" i="2"/>
  <c r="AK1465" i="2"/>
  <c r="AL1465" i="2"/>
  <c r="AF1466" i="2"/>
  <c r="AG1466" i="2"/>
  <c r="AH1466" i="2"/>
  <c r="AJ1466" i="2"/>
  <c r="AK1466" i="2"/>
  <c r="AL1466" i="2"/>
  <c r="AF1467" i="2"/>
  <c r="AG1467" i="2"/>
  <c r="AH1467" i="2"/>
  <c r="AJ1467" i="2"/>
  <c r="AK1467" i="2"/>
  <c r="AL1467" i="2"/>
  <c r="AF1468" i="2"/>
  <c r="AG1468" i="2"/>
  <c r="AH1468" i="2"/>
  <c r="AJ1468" i="2"/>
  <c r="AK1468" i="2"/>
  <c r="AL1468" i="2"/>
  <c r="AF1469" i="2"/>
  <c r="AG1469" i="2"/>
  <c r="AH1469" i="2"/>
  <c r="AJ1469" i="2"/>
  <c r="AK1469" i="2"/>
  <c r="AL1469" i="2"/>
  <c r="AF1470" i="2"/>
  <c r="AG1470" i="2"/>
  <c r="AH1470" i="2"/>
  <c r="AJ1470" i="2"/>
  <c r="AK1470" i="2"/>
  <c r="AL1470" i="2"/>
  <c r="AF1471" i="2"/>
  <c r="AG1471" i="2"/>
  <c r="AH1471" i="2"/>
  <c r="AJ1471" i="2"/>
  <c r="AK1471" i="2"/>
  <c r="AL1471" i="2"/>
  <c r="AF1472" i="2"/>
  <c r="AG1472" i="2"/>
  <c r="AH1472" i="2"/>
  <c r="AJ1472" i="2"/>
  <c r="AK1472" i="2"/>
  <c r="AL1472" i="2"/>
  <c r="AF1473" i="2"/>
  <c r="AG1473" i="2"/>
  <c r="AH1473" i="2"/>
  <c r="AJ1473" i="2"/>
  <c r="AK1473" i="2"/>
  <c r="AL1473" i="2"/>
  <c r="AF1474" i="2"/>
  <c r="AG1474" i="2"/>
  <c r="AH1474" i="2"/>
  <c r="AJ1474" i="2"/>
  <c r="AK1474" i="2"/>
  <c r="AL1474" i="2"/>
  <c r="AF1475" i="2"/>
  <c r="AG1475" i="2"/>
  <c r="AH1475" i="2"/>
  <c r="AJ1475" i="2"/>
  <c r="AK1475" i="2"/>
  <c r="AL1475" i="2"/>
  <c r="AF1476" i="2"/>
  <c r="AG1476" i="2"/>
  <c r="AH1476" i="2"/>
  <c r="AJ1476" i="2"/>
  <c r="AK1476" i="2"/>
  <c r="AL1476" i="2"/>
  <c r="AF1477" i="2"/>
  <c r="AG1477" i="2"/>
  <c r="AH1477" i="2"/>
  <c r="AJ1477" i="2"/>
  <c r="AK1477" i="2"/>
  <c r="AL1477" i="2"/>
  <c r="AF1478" i="2"/>
  <c r="AG1478" i="2"/>
  <c r="AH1478" i="2"/>
  <c r="AJ1478" i="2"/>
  <c r="AK1478" i="2"/>
  <c r="AL1478" i="2"/>
  <c r="AF1479" i="2"/>
  <c r="AG1479" i="2"/>
  <c r="AH1479" i="2"/>
  <c r="AJ1479" i="2"/>
  <c r="AK1479" i="2"/>
  <c r="AL1479" i="2"/>
  <c r="AF1480" i="2"/>
  <c r="AG1480" i="2"/>
  <c r="AH1480" i="2"/>
  <c r="AJ1480" i="2"/>
  <c r="AK1480" i="2"/>
  <c r="AL1480" i="2"/>
  <c r="AF1481" i="2"/>
  <c r="AG1481" i="2"/>
  <c r="AH1481" i="2"/>
  <c r="AJ1481" i="2"/>
  <c r="AK1481" i="2"/>
  <c r="AL1481" i="2"/>
  <c r="AF1482" i="2"/>
  <c r="AG1482" i="2"/>
  <c r="AH1482" i="2"/>
  <c r="AJ1482" i="2"/>
  <c r="AK1482" i="2"/>
  <c r="AL1482" i="2"/>
  <c r="AF1483" i="2"/>
  <c r="AG1483" i="2"/>
  <c r="AH1483" i="2"/>
  <c r="AJ1483" i="2"/>
  <c r="AK1483" i="2"/>
  <c r="AL1483" i="2"/>
  <c r="AF1484" i="2"/>
  <c r="AG1484" i="2"/>
  <c r="AH1484" i="2"/>
  <c r="AJ1484" i="2"/>
  <c r="AK1484" i="2"/>
  <c r="AL1484" i="2"/>
  <c r="AF1485" i="2"/>
  <c r="AG1485" i="2"/>
  <c r="AH1485" i="2"/>
  <c r="AJ1485" i="2"/>
  <c r="AK1485" i="2"/>
  <c r="AL1485" i="2"/>
  <c r="AF1486" i="2"/>
  <c r="AG1486" i="2"/>
  <c r="AH1486" i="2"/>
  <c r="AJ1486" i="2"/>
  <c r="AK1486" i="2"/>
  <c r="AL1486" i="2"/>
  <c r="AF1487" i="2"/>
  <c r="AG1487" i="2"/>
  <c r="AH1487" i="2"/>
  <c r="AJ1487" i="2"/>
  <c r="AK1487" i="2"/>
  <c r="AL1487" i="2"/>
  <c r="AF1488" i="2"/>
  <c r="AG1488" i="2"/>
  <c r="AH1488" i="2"/>
  <c r="AJ1488" i="2"/>
  <c r="AK1488" i="2"/>
  <c r="AL1488" i="2"/>
  <c r="AF1489" i="2"/>
  <c r="AG1489" i="2"/>
  <c r="AH1489" i="2"/>
  <c r="AJ1489" i="2"/>
  <c r="AK1489" i="2"/>
  <c r="AL1489" i="2"/>
  <c r="AF1490" i="2"/>
  <c r="AG1490" i="2"/>
  <c r="AH1490" i="2"/>
  <c r="AJ1490" i="2"/>
  <c r="AK1490" i="2"/>
  <c r="AL1490" i="2"/>
  <c r="AF1491" i="2"/>
  <c r="AG1491" i="2"/>
  <c r="AH1491" i="2"/>
  <c r="AJ1491" i="2"/>
  <c r="AK1491" i="2"/>
  <c r="AL1491" i="2"/>
  <c r="AF1492" i="2"/>
  <c r="AG1492" i="2"/>
  <c r="AH1492" i="2"/>
  <c r="AJ1492" i="2"/>
  <c r="AK1492" i="2"/>
  <c r="AL1492" i="2"/>
  <c r="AF1493" i="2"/>
  <c r="AG1493" i="2"/>
  <c r="AH1493" i="2"/>
  <c r="AJ1493" i="2"/>
  <c r="AK1493" i="2"/>
  <c r="AL1493" i="2"/>
  <c r="AF1494" i="2"/>
  <c r="AG1494" i="2"/>
  <c r="AH1494" i="2"/>
  <c r="AJ1494" i="2"/>
  <c r="AK1494" i="2"/>
  <c r="AL1494" i="2"/>
  <c r="AF1495" i="2"/>
  <c r="AG1495" i="2"/>
  <c r="AH1495" i="2"/>
  <c r="AJ1495" i="2"/>
  <c r="AK1495" i="2"/>
  <c r="AL1495" i="2"/>
  <c r="AF1496" i="2"/>
  <c r="AG1496" i="2"/>
  <c r="AH1496" i="2"/>
  <c r="AJ1496" i="2"/>
  <c r="AK1496" i="2"/>
  <c r="AL1496" i="2"/>
  <c r="AF1497" i="2"/>
  <c r="AG1497" i="2"/>
  <c r="AH1497" i="2"/>
  <c r="AJ1497" i="2"/>
  <c r="AK1497" i="2"/>
  <c r="AL1497" i="2"/>
  <c r="AF1498" i="2"/>
  <c r="AG1498" i="2"/>
  <c r="AH1498" i="2"/>
  <c r="AJ1498" i="2"/>
  <c r="AK1498" i="2"/>
  <c r="AL1498" i="2"/>
  <c r="AF1499" i="2"/>
  <c r="AG1499" i="2"/>
  <c r="AH1499" i="2"/>
  <c r="AJ1499" i="2"/>
  <c r="AK1499" i="2"/>
  <c r="AL1499" i="2"/>
  <c r="AF1500" i="2"/>
  <c r="AG1500" i="2"/>
  <c r="AH1500" i="2"/>
  <c r="AJ1500" i="2"/>
  <c r="AK1500" i="2"/>
  <c r="AL1500" i="2"/>
  <c r="AF1501" i="2"/>
  <c r="AG1501" i="2"/>
  <c r="AH1501" i="2"/>
  <c r="AJ1501" i="2"/>
  <c r="AK1501" i="2"/>
  <c r="AL1501" i="2"/>
  <c r="AF1502" i="2"/>
  <c r="AG1502" i="2"/>
  <c r="AH1502" i="2"/>
  <c r="AJ1502" i="2"/>
  <c r="AK1502" i="2"/>
  <c r="AL1502" i="2"/>
  <c r="AF1503" i="2"/>
  <c r="AG1503" i="2"/>
  <c r="AH1503" i="2"/>
  <c r="AJ1503" i="2"/>
  <c r="AK1503" i="2"/>
  <c r="AL1503" i="2"/>
  <c r="AF1504" i="2"/>
  <c r="AG1504" i="2"/>
  <c r="AH1504" i="2"/>
  <c r="AJ1504" i="2"/>
  <c r="AK1504" i="2"/>
  <c r="AL1504" i="2"/>
  <c r="AF1505" i="2"/>
  <c r="AG1505" i="2"/>
  <c r="AH1505" i="2"/>
  <c r="AJ1505" i="2"/>
  <c r="AK1505" i="2"/>
  <c r="AL1505" i="2"/>
  <c r="AF1506" i="2"/>
  <c r="AG1506" i="2"/>
  <c r="AH1506" i="2"/>
  <c r="AJ1506" i="2"/>
  <c r="AK1506" i="2"/>
  <c r="AL1506" i="2"/>
  <c r="AF1507" i="2"/>
  <c r="AG1507" i="2"/>
  <c r="AH1507" i="2"/>
  <c r="AJ1507" i="2"/>
  <c r="AK1507" i="2"/>
  <c r="AL1507" i="2"/>
  <c r="AF1508" i="2"/>
  <c r="AG1508" i="2"/>
  <c r="AH1508" i="2"/>
  <c r="AJ1508" i="2"/>
  <c r="AK1508" i="2"/>
  <c r="AL1508" i="2"/>
  <c r="AF1509" i="2"/>
  <c r="AG1509" i="2"/>
  <c r="AH1509" i="2"/>
  <c r="AJ1509" i="2"/>
  <c r="AK1509" i="2"/>
  <c r="AL1509" i="2"/>
  <c r="AF1510" i="2"/>
  <c r="AG1510" i="2"/>
  <c r="AH1510" i="2"/>
  <c r="AJ1510" i="2"/>
  <c r="AK1510" i="2"/>
  <c r="AL1510" i="2"/>
  <c r="AF1511" i="2"/>
  <c r="AG1511" i="2"/>
  <c r="AH1511" i="2"/>
  <c r="AJ1511" i="2"/>
  <c r="AK1511" i="2"/>
  <c r="AL1511" i="2"/>
  <c r="AF1512" i="2"/>
  <c r="AG1512" i="2"/>
  <c r="AH1512" i="2"/>
  <c r="AJ1512" i="2"/>
  <c r="AK1512" i="2"/>
  <c r="AL1512" i="2"/>
  <c r="AF1513" i="2"/>
  <c r="AG1513" i="2"/>
  <c r="AH1513" i="2"/>
  <c r="AJ1513" i="2"/>
  <c r="AK1513" i="2"/>
  <c r="AL1513" i="2"/>
  <c r="AF1514" i="2"/>
  <c r="AG1514" i="2"/>
  <c r="AH1514" i="2"/>
  <c r="AJ1514" i="2"/>
  <c r="AK1514" i="2"/>
  <c r="AL1514" i="2"/>
  <c r="AF1515" i="2"/>
  <c r="AG1515" i="2"/>
  <c r="AH1515" i="2"/>
  <c r="AJ1515" i="2"/>
  <c r="AK1515" i="2"/>
  <c r="AL1515" i="2"/>
  <c r="AF1516" i="2"/>
  <c r="AG1516" i="2"/>
  <c r="AH1516" i="2"/>
  <c r="AJ1516" i="2"/>
  <c r="AK1516" i="2"/>
  <c r="AL1516" i="2"/>
  <c r="AF1517" i="2"/>
  <c r="AG1517" i="2"/>
  <c r="AH1517" i="2"/>
  <c r="AJ1517" i="2"/>
  <c r="AK1517" i="2"/>
  <c r="AL1517" i="2"/>
  <c r="AF1518" i="2"/>
  <c r="AG1518" i="2"/>
  <c r="AH1518" i="2"/>
  <c r="AJ1518" i="2"/>
  <c r="AK1518" i="2"/>
  <c r="AL1518" i="2"/>
  <c r="AF1519" i="2"/>
  <c r="AG1519" i="2"/>
  <c r="AH1519" i="2"/>
  <c r="AJ1519" i="2"/>
  <c r="AK1519" i="2"/>
  <c r="AL1519" i="2"/>
  <c r="AF1520" i="2"/>
  <c r="AG1520" i="2"/>
  <c r="AH1520" i="2"/>
  <c r="AJ1520" i="2"/>
  <c r="AK1520" i="2"/>
  <c r="AL1520" i="2"/>
  <c r="AF1521" i="2"/>
  <c r="AG1521" i="2"/>
  <c r="AH1521" i="2"/>
  <c r="AJ1521" i="2"/>
  <c r="AK1521" i="2"/>
  <c r="AL1521" i="2"/>
  <c r="AF1522" i="2"/>
  <c r="AG1522" i="2"/>
  <c r="AH1522" i="2"/>
  <c r="AJ1522" i="2"/>
  <c r="AK1522" i="2"/>
  <c r="AL1522" i="2"/>
  <c r="AF1523" i="2"/>
  <c r="AG1523" i="2"/>
  <c r="AH1523" i="2"/>
  <c r="AJ1523" i="2"/>
  <c r="AK1523" i="2"/>
  <c r="AL1523" i="2"/>
  <c r="AF1524" i="2"/>
  <c r="AG1524" i="2"/>
  <c r="AH1524" i="2"/>
  <c r="AJ1524" i="2"/>
  <c r="AK1524" i="2"/>
  <c r="AL1524" i="2"/>
  <c r="AF1525" i="2"/>
  <c r="AG1525" i="2"/>
  <c r="AH1525" i="2"/>
  <c r="AJ1525" i="2"/>
  <c r="AK1525" i="2"/>
  <c r="AL1525" i="2"/>
  <c r="AF1526" i="2"/>
  <c r="AG1526" i="2"/>
  <c r="AH1526" i="2"/>
  <c r="AJ1526" i="2"/>
  <c r="AK1526" i="2"/>
  <c r="AL1526" i="2"/>
  <c r="AF1527" i="2"/>
  <c r="AG1527" i="2"/>
  <c r="AH1527" i="2"/>
  <c r="AJ1527" i="2"/>
  <c r="AK1527" i="2"/>
  <c r="AL1527" i="2"/>
  <c r="AF1528" i="2"/>
  <c r="AG1528" i="2"/>
  <c r="AH1528" i="2"/>
  <c r="AJ1528" i="2"/>
  <c r="AK1528" i="2"/>
  <c r="AL1528" i="2"/>
  <c r="AF1529" i="2"/>
  <c r="AG1529" i="2"/>
  <c r="AH1529" i="2"/>
  <c r="AJ1529" i="2"/>
  <c r="AK1529" i="2"/>
  <c r="AL1529" i="2"/>
  <c r="AF1530" i="2"/>
  <c r="AG1530" i="2"/>
  <c r="AH1530" i="2"/>
  <c r="AJ1530" i="2"/>
  <c r="AK1530" i="2"/>
  <c r="AL1530" i="2"/>
  <c r="AF1531" i="2"/>
  <c r="AG1531" i="2"/>
  <c r="AH1531" i="2"/>
  <c r="AJ1531" i="2"/>
  <c r="AK1531" i="2"/>
  <c r="AL1531" i="2"/>
  <c r="AF1532" i="2"/>
  <c r="AG1532" i="2"/>
  <c r="AH1532" i="2"/>
  <c r="AJ1532" i="2"/>
  <c r="AK1532" i="2"/>
  <c r="AL1532" i="2"/>
  <c r="AF1533" i="2"/>
  <c r="AG1533" i="2"/>
  <c r="AH1533" i="2"/>
  <c r="AJ1533" i="2"/>
  <c r="AK1533" i="2"/>
  <c r="AL1533" i="2"/>
  <c r="AF1534" i="2"/>
  <c r="AG1534" i="2"/>
  <c r="AH1534" i="2"/>
  <c r="AJ1534" i="2"/>
  <c r="AK1534" i="2"/>
  <c r="AL1534" i="2"/>
  <c r="AF1535" i="2"/>
  <c r="AG1535" i="2"/>
  <c r="AH1535" i="2"/>
  <c r="AJ1535" i="2"/>
  <c r="AK1535" i="2"/>
  <c r="AL1535" i="2"/>
  <c r="AF1536" i="2"/>
  <c r="AG1536" i="2"/>
  <c r="AH1536" i="2"/>
  <c r="AJ1536" i="2"/>
  <c r="AK1536" i="2"/>
  <c r="AL1536" i="2"/>
  <c r="AF1537" i="2"/>
  <c r="AG1537" i="2"/>
  <c r="AH1537" i="2"/>
  <c r="AJ1537" i="2"/>
  <c r="AK1537" i="2"/>
  <c r="AL1537" i="2"/>
  <c r="AF1538" i="2"/>
  <c r="AG1538" i="2"/>
  <c r="AH1538" i="2"/>
  <c r="AJ1538" i="2"/>
  <c r="AK1538" i="2"/>
  <c r="AL1538" i="2"/>
  <c r="AF1539" i="2"/>
  <c r="AG1539" i="2"/>
  <c r="AH1539" i="2"/>
  <c r="AJ1539" i="2"/>
  <c r="AK1539" i="2"/>
  <c r="AL1539" i="2"/>
  <c r="AF1540" i="2"/>
  <c r="AG1540" i="2"/>
  <c r="AH1540" i="2"/>
  <c r="AJ1540" i="2"/>
  <c r="AK1540" i="2"/>
  <c r="AL1540" i="2"/>
  <c r="AF1541" i="2"/>
  <c r="AG1541" i="2"/>
  <c r="AH1541" i="2"/>
  <c r="AJ1541" i="2"/>
  <c r="AK1541" i="2"/>
  <c r="AL1541" i="2"/>
  <c r="AF1542" i="2"/>
  <c r="AG1542" i="2"/>
  <c r="AH1542" i="2"/>
  <c r="AJ1542" i="2"/>
  <c r="AK1542" i="2"/>
  <c r="AL1542" i="2"/>
  <c r="AF1543" i="2"/>
  <c r="AG1543" i="2"/>
  <c r="AH1543" i="2"/>
  <c r="AJ1543" i="2"/>
  <c r="AK1543" i="2"/>
  <c r="AL1543" i="2"/>
  <c r="AF1544" i="2"/>
  <c r="AG1544" i="2"/>
  <c r="AH1544" i="2"/>
  <c r="AJ1544" i="2"/>
  <c r="AK1544" i="2"/>
  <c r="AL1544" i="2"/>
  <c r="AF1545" i="2"/>
  <c r="AG1545" i="2"/>
  <c r="AH1545" i="2"/>
  <c r="AJ1545" i="2"/>
  <c r="AK1545" i="2"/>
  <c r="AL1545" i="2"/>
  <c r="AF1546" i="2"/>
  <c r="AG1546" i="2"/>
  <c r="AH1546" i="2"/>
  <c r="AJ1546" i="2"/>
  <c r="AK1546" i="2"/>
  <c r="AL1546" i="2"/>
  <c r="AF1547" i="2"/>
  <c r="AG1547" i="2"/>
  <c r="AH1547" i="2"/>
  <c r="AJ1547" i="2"/>
  <c r="AK1547" i="2"/>
  <c r="AL1547" i="2"/>
  <c r="AF1548" i="2"/>
  <c r="AG1548" i="2"/>
  <c r="AH1548" i="2"/>
  <c r="AJ1548" i="2"/>
  <c r="AK1548" i="2"/>
  <c r="AL1548" i="2"/>
  <c r="AF1549" i="2"/>
  <c r="AG1549" i="2"/>
  <c r="AH1549" i="2"/>
  <c r="AJ1549" i="2"/>
  <c r="AK1549" i="2"/>
  <c r="AL1549" i="2"/>
  <c r="AF1550" i="2"/>
  <c r="AG1550" i="2"/>
  <c r="AH1550" i="2"/>
  <c r="AJ1550" i="2"/>
  <c r="AK1550" i="2"/>
  <c r="AL1550" i="2"/>
  <c r="AF1551" i="2"/>
  <c r="AG1551" i="2"/>
  <c r="AH1551" i="2"/>
  <c r="AJ1551" i="2"/>
  <c r="AK1551" i="2"/>
  <c r="AL1551" i="2"/>
  <c r="AF1552" i="2"/>
  <c r="AG1552" i="2"/>
  <c r="AH1552" i="2"/>
  <c r="AJ1552" i="2"/>
  <c r="AK1552" i="2"/>
  <c r="AL1552" i="2"/>
  <c r="AF1553" i="2"/>
  <c r="AG1553" i="2"/>
  <c r="AH1553" i="2"/>
  <c r="AJ1553" i="2"/>
  <c r="AK1553" i="2"/>
  <c r="AL1553" i="2"/>
  <c r="AF1554" i="2"/>
  <c r="AG1554" i="2"/>
  <c r="AH1554" i="2"/>
  <c r="AJ1554" i="2"/>
  <c r="AK1554" i="2"/>
  <c r="AL1554" i="2"/>
  <c r="AF1555" i="2"/>
  <c r="AG1555" i="2"/>
  <c r="AH1555" i="2"/>
  <c r="AJ1555" i="2"/>
  <c r="AK1555" i="2"/>
  <c r="AL1555" i="2"/>
  <c r="AF1556" i="2"/>
  <c r="AG1556" i="2"/>
  <c r="AH1556" i="2"/>
  <c r="AJ1556" i="2"/>
  <c r="AK1556" i="2"/>
  <c r="AL1556" i="2"/>
  <c r="AF1557" i="2"/>
  <c r="AG1557" i="2"/>
  <c r="AH1557" i="2"/>
  <c r="AJ1557" i="2"/>
  <c r="AK1557" i="2"/>
  <c r="AL1557" i="2"/>
  <c r="AF1558" i="2"/>
  <c r="AG1558" i="2"/>
  <c r="AH1558" i="2"/>
  <c r="AJ1558" i="2"/>
  <c r="AK1558" i="2"/>
  <c r="AL1558" i="2"/>
  <c r="AF1559" i="2"/>
  <c r="AG1559" i="2"/>
  <c r="AH1559" i="2"/>
  <c r="AJ1559" i="2"/>
  <c r="AK1559" i="2"/>
  <c r="AL1559" i="2"/>
  <c r="AF1560" i="2"/>
  <c r="AG1560" i="2"/>
  <c r="AH1560" i="2"/>
  <c r="AJ1560" i="2"/>
  <c r="AK1560" i="2"/>
  <c r="AL1560" i="2"/>
  <c r="AF1561" i="2"/>
  <c r="AG1561" i="2"/>
  <c r="AH1561" i="2"/>
  <c r="AJ1561" i="2"/>
  <c r="AK1561" i="2"/>
  <c r="AL1561" i="2"/>
  <c r="AF1562" i="2"/>
  <c r="AG1562" i="2"/>
  <c r="AH1562" i="2"/>
  <c r="AJ1562" i="2"/>
  <c r="AK1562" i="2"/>
  <c r="AL1562" i="2"/>
  <c r="AF1563" i="2"/>
  <c r="AG1563" i="2"/>
  <c r="AH1563" i="2"/>
  <c r="AJ1563" i="2"/>
  <c r="AK1563" i="2"/>
  <c r="AL1563" i="2"/>
  <c r="AF1564" i="2"/>
  <c r="AG1564" i="2"/>
  <c r="AH1564" i="2"/>
  <c r="AJ1564" i="2"/>
  <c r="AK1564" i="2"/>
  <c r="AL1564" i="2"/>
  <c r="AF1565" i="2"/>
  <c r="AG1565" i="2"/>
  <c r="AH1565" i="2"/>
  <c r="AJ1565" i="2"/>
  <c r="AK1565" i="2"/>
  <c r="AL1565" i="2"/>
  <c r="AF1566" i="2"/>
  <c r="AG1566" i="2"/>
  <c r="AH1566" i="2"/>
  <c r="AJ1566" i="2"/>
  <c r="AK1566" i="2"/>
  <c r="AL1566" i="2"/>
  <c r="AF1567" i="2"/>
  <c r="AG1567" i="2"/>
  <c r="AH1567" i="2"/>
  <c r="AJ1567" i="2"/>
  <c r="AK1567" i="2"/>
  <c r="AL1567" i="2"/>
  <c r="AF1568" i="2"/>
  <c r="AG1568" i="2"/>
  <c r="AH1568" i="2"/>
  <c r="AJ1568" i="2"/>
  <c r="AK1568" i="2"/>
  <c r="AL1568" i="2"/>
  <c r="AF1569" i="2"/>
  <c r="AG1569" i="2"/>
  <c r="AH1569" i="2"/>
  <c r="AJ1569" i="2"/>
  <c r="AK1569" i="2"/>
  <c r="AL1569" i="2"/>
  <c r="AF1570" i="2"/>
  <c r="AG1570" i="2"/>
  <c r="AH1570" i="2"/>
  <c r="AJ1570" i="2"/>
  <c r="AK1570" i="2"/>
  <c r="AL1570" i="2"/>
  <c r="AF1571" i="2"/>
  <c r="AG1571" i="2"/>
  <c r="AH1571" i="2"/>
  <c r="AJ1571" i="2"/>
  <c r="AK1571" i="2"/>
  <c r="AL1571" i="2"/>
  <c r="AF1572" i="2"/>
  <c r="AG1572" i="2"/>
  <c r="AH1572" i="2"/>
  <c r="AJ1572" i="2"/>
  <c r="AK1572" i="2"/>
  <c r="AL1572" i="2"/>
  <c r="AF1573" i="2"/>
  <c r="AG1573" i="2"/>
  <c r="AH1573" i="2"/>
  <c r="AJ1573" i="2"/>
  <c r="AK1573" i="2"/>
  <c r="AL1573" i="2"/>
  <c r="AF1574" i="2"/>
  <c r="AG1574" i="2"/>
  <c r="AH1574" i="2"/>
  <c r="AJ1574" i="2"/>
  <c r="AK1574" i="2"/>
  <c r="AL1574" i="2"/>
  <c r="AF1575" i="2"/>
  <c r="AG1575" i="2"/>
  <c r="AH1575" i="2"/>
  <c r="AJ1575" i="2"/>
  <c r="AK1575" i="2"/>
  <c r="AL1575" i="2"/>
  <c r="AF1576" i="2"/>
  <c r="AG1576" i="2"/>
  <c r="AH1576" i="2"/>
  <c r="AJ1576" i="2"/>
  <c r="AK1576" i="2"/>
  <c r="AL1576" i="2"/>
  <c r="AF1577" i="2"/>
  <c r="AG1577" i="2"/>
  <c r="AH1577" i="2"/>
  <c r="AJ1577" i="2"/>
  <c r="AK1577" i="2"/>
  <c r="AL1577" i="2"/>
  <c r="AF1578" i="2"/>
  <c r="AG1578" i="2"/>
  <c r="AH1578" i="2"/>
  <c r="AJ1578" i="2"/>
  <c r="AK1578" i="2"/>
  <c r="AL1578" i="2"/>
  <c r="AF1579" i="2"/>
  <c r="AG1579" i="2"/>
  <c r="AH1579" i="2"/>
  <c r="AJ1579" i="2"/>
  <c r="AK1579" i="2"/>
  <c r="AL1579" i="2"/>
  <c r="AF1580" i="2"/>
  <c r="AG1580" i="2"/>
  <c r="AH1580" i="2"/>
  <c r="AJ1580" i="2"/>
  <c r="AK1580" i="2"/>
  <c r="AL1580" i="2"/>
  <c r="AF1581" i="2"/>
  <c r="AG1581" i="2"/>
  <c r="AH1581" i="2"/>
  <c r="AJ1581" i="2"/>
  <c r="AK1581" i="2"/>
  <c r="AL1581" i="2"/>
  <c r="AF1582" i="2"/>
  <c r="AG1582" i="2"/>
  <c r="AH1582" i="2"/>
  <c r="AJ1582" i="2"/>
  <c r="AK1582" i="2"/>
  <c r="AL1582" i="2"/>
  <c r="AF1583" i="2"/>
  <c r="AG1583" i="2"/>
  <c r="AH1583" i="2"/>
  <c r="AJ1583" i="2"/>
  <c r="AK1583" i="2"/>
  <c r="AL1583" i="2"/>
  <c r="AF1584" i="2"/>
  <c r="AG1584" i="2"/>
  <c r="AH1584" i="2"/>
  <c r="AJ1584" i="2"/>
  <c r="AK1584" i="2"/>
  <c r="AL1584" i="2"/>
  <c r="AF1585" i="2"/>
  <c r="AG1585" i="2"/>
  <c r="AH1585" i="2"/>
  <c r="AJ1585" i="2"/>
  <c r="AK1585" i="2"/>
  <c r="AL1585" i="2"/>
  <c r="AF1586" i="2"/>
  <c r="AG1586" i="2"/>
  <c r="AH1586" i="2"/>
  <c r="AJ1586" i="2"/>
  <c r="AK1586" i="2"/>
  <c r="AL1586" i="2"/>
  <c r="AF1587" i="2"/>
  <c r="AG1587" i="2"/>
  <c r="AH1587" i="2"/>
  <c r="AJ1587" i="2"/>
  <c r="AK1587" i="2"/>
  <c r="AL1587" i="2"/>
  <c r="AF1588" i="2"/>
  <c r="AG1588" i="2"/>
  <c r="AH1588" i="2"/>
  <c r="AJ1588" i="2"/>
  <c r="AK1588" i="2"/>
  <c r="AL1588" i="2"/>
  <c r="AF1589" i="2"/>
  <c r="AG1589" i="2"/>
  <c r="AH1589" i="2"/>
  <c r="AJ1589" i="2"/>
  <c r="AK1589" i="2"/>
  <c r="AL1589" i="2"/>
  <c r="AF1590" i="2"/>
  <c r="AG1590" i="2"/>
  <c r="AH1590" i="2"/>
  <c r="AJ1590" i="2"/>
  <c r="AK1590" i="2"/>
  <c r="AL1590" i="2"/>
  <c r="AF1591" i="2"/>
  <c r="AG1591" i="2"/>
  <c r="AH1591" i="2"/>
  <c r="AJ1591" i="2"/>
  <c r="AK1591" i="2"/>
  <c r="AL1591" i="2"/>
  <c r="AF1592" i="2"/>
  <c r="AG1592" i="2"/>
  <c r="AH1592" i="2"/>
  <c r="AJ1592" i="2"/>
  <c r="AK1592" i="2"/>
  <c r="AL1592" i="2"/>
  <c r="AF1593" i="2"/>
  <c r="AG1593" i="2"/>
  <c r="AH1593" i="2"/>
  <c r="AJ1593" i="2"/>
  <c r="AK1593" i="2"/>
  <c r="AL1593" i="2"/>
  <c r="AF1594" i="2"/>
  <c r="AG1594" i="2"/>
  <c r="AH1594" i="2"/>
  <c r="AJ1594" i="2"/>
  <c r="AK1594" i="2"/>
  <c r="AL1594" i="2"/>
  <c r="AF1595" i="2"/>
  <c r="AG1595" i="2"/>
  <c r="AH1595" i="2"/>
  <c r="AJ1595" i="2"/>
  <c r="AK1595" i="2"/>
  <c r="AL1595" i="2"/>
  <c r="AF1596" i="2"/>
  <c r="AG1596" i="2"/>
  <c r="AH1596" i="2"/>
  <c r="AJ1596" i="2"/>
  <c r="AK1596" i="2"/>
  <c r="AL1596" i="2"/>
  <c r="AF1597" i="2"/>
  <c r="AG1597" i="2"/>
  <c r="AH1597" i="2"/>
  <c r="AJ1597" i="2"/>
  <c r="AK1597" i="2"/>
  <c r="AL1597" i="2"/>
  <c r="AF1598" i="2"/>
  <c r="AG1598" i="2"/>
  <c r="AH1598" i="2"/>
  <c r="AJ1598" i="2"/>
  <c r="AK1598" i="2"/>
  <c r="AL1598" i="2"/>
  <c r="AF1599" i="2"/>
  <c r="AG1599" i="2"/>
  <c r="AH1599" i="2"/>
  <c r="AJ1599" i="2"/>
  <c r="AK1599" i="2"/>
  <c r="AL1599" i="2"/>
  <c r="AF1600" i="2"/>
  <c r="AG1600" i="2"/>
  <c r="AH1600" i="2"/>
  <c r="AJ1600" i="2"/>
  <c r="AK1600" i="2"/>
  <c r="AL1600" i="2"/>
  <c r="AF1601" i="2"/>
  <c r="AG1601" i="2"/>
  <c r="AH1601" i="2"/>
  <c r="AJ1601" i="2"/>
  <c r="AK1601" i="2"/>
  <c r="AL1601" i="2"/>
  <c r="AF1602" i="2"/>
  <c r="AG1602" i="2"/>
  <c r="AH1602" i="2"/>
  <c r="AJ1602" i="2"/>
  <c r="AK1602" i="2"/>
  <c r="AL1602" i="2"/>
  <c r="AF1603" i="2"/>
  <c r="AG1603" i="2"/>
  <c r="AH1603" i="2"/>
  <c r="AJ1603" i="2"/>
  <c r="AK1603" i="2"/>
  <c r="AL1603" i="2"/>
  <c r="AF1604" i="2"/>
  <c r="AG1604" i="2"/>
  <c r="AH1604" i="2"/>
  <c r="AJ1604" i="2"/>
  <c r="AK1604" i="2"/>
  <c r="AL1604" i="2"/>
  <c r="AF1605" i="2"/>
  <c r="AG1605" i="2"/>
  <c r="AH1605" i="2"/>
  <c r="AJ1605" i="2"/>
  <c r="AK1605" i="2"/>
  <c r="AL1605" i="2"/>
  <c r="AF1606" i="2"/>
  <c r="AG1606" i="2"/>
  <c r="AH1606" i="2"/>
  <c r="AJ1606" i="2"/>
  <c r="AK1606" i="2"/>
  <c r="AL1606" i="2"/>
  <c r="AF1607" i="2"/>
  <c r="AG1607" i="2"/>
  <c r="AH1607" i="2"/>
  <c r="AJ1607" i="2"/>
  <c r="AK1607" i="2"/>
  <c r="AL1607" i="2"/>
  <c r="AF1608" i="2"/>
  <c r="AG1608" i="2"/>
  <c r="AH1608" i="2"/>
  <c r="AJ1608" i="2"/>
  <c r="AK1608" i="2"/>
  <c r="AL1608" i="2"/>
  <c r="AF1609" i="2"/>
  <c r="AG1609" i="2"/>
  <c r="AH1609" i="2"/>
  <c r="AJ1609" i="2"/>
  <c r="AK1609" i="2"/>
  <c r="AL1609" i="2"/>
  <c r="AF1610" i="2"/>
  <c r="AG1610" i="2"/>
  <c r="AH1610" i="2"/>
  <c r="AJ1610" i="2"/>
  <c r="AK1610" i="2"/>
  <c r="AL1610" i="2"/>
  <c r="AF1611" i="2"/>
  <c r="AG1611" i="2"/>
  <c r="AH1611" i="2"/>
  <c r="AJ1611" i="2"/>
  <c r="AK1611" i="2"/>
  <c r="AL1611" i="2"/>
  <c r="AF1612" i="2"/>
  <c r="AG1612" i="2"/>
  <c r="AH1612" i="2"/>
  <c r="AJ1612" i="2"/>
  <c r="AK1612" i="2"/>
  <c r="AL1612" i="2"/>
  <c r="AF1613" i="2"/>
  <c r="AG1613" i="2"/>
  <c r="AH1613" i="2"/>
  <c r="AJ1613" i="2"/>
  <c r="AK1613" i="2"/>
  <c r="AL1613" i="2"/>
  <c r="AF1614" i="2"/>
  <c r="AG1614" i="2"/>
  <c r="AH1614" i="2"/>
  <c r="AJ1614" i="2"/>
  <c r="AK1614" i="2"/>
  <c r="AL1614" i="2"/>
  <c r="AF1615" i="2"/>
  <c r="AG1615" i="2"/>
  <c r="AH1615" i="2"/>
  <c r="AJ1615" i="2"/>
  <c r="AK1615" i="2"/>
  <c r="AL1615" i="2"/>
  <c r="AF1616" i="2"/>
  <c r="AG1616" i="2"/>
  <c r="AH1616" i="2"/>
  <c r="AJ1616" i="2"/>
  <c r="AK1616" i="2"/>
  <c r="AL1616" i="2"/>
  <c r="AF1617" i="2"/>
  <c r="AG1617" i="2"/>
  <c r="AH1617" i="2"/>
  <c r="AJ1617" i="2"/>
  <c r="AK1617" i="2"/>
  <c r="AL1617" i="2"/>
  <c r="AF1618" i="2"/>
  <c r="AG1618" i="2"/>
  <c r="AH1618" i="2"/>
  <c r="AJ1618" i="2"/>
  <c r="AK1618" i="2"/>
  <c r="AL1618" i="2"/>
  <c r="AF1619" i="2"/>
  <c r="AG1619" i="2"/>
  <c r="AH1619" i="2"/>
  <c r="AJ1619" i="2"/>
  <c r="AK1619" i="2"/>
  <c r="AL1619" i="2"/>
  <c r="AF1620" i="2"/>
  <c r="AG1620" i="2"/>
  <c r="AH1620" i="2"/>
  <c r="AJ1620" i="2"/>
  <c r="AK1620" i="2"/>
  <c r="AL1620" i="2"/>
  <c r="AF1621" i="2"/>
  <c r="AG1621" i="2"/>
  <c r="AH1621" i="2"/>
  <c r="AJ1621" i="2"/>
  <c r="AK1621" i="2"/>
  <c r="AL1621" i="2"/>
  <c r="AF1622" i="2"/>
  <c r="AG1622" i="2"/>
  <c r="AH1622" i="2"/>
  <c r="AJ1622" i="2"/>
  <c r="AK1622" i="2"/>
  <c r="AL1622" i="2"/>
  <c r="AF1623" i="2"/>
  <c r="AG1623" i="2"/>
  <c r="AH1623" i="2"/>
  <c r="AJ1623" i="2"/>
  <c r="AK1623" i="2"/>
  <c r="AL1623" i="2"/>
  <c r="AF1624" i="2"/>
  <c r="AG1624" i="2"/>
  <c r="AH1624" i="2"/>
  <c r="AJ1624" i="2"/>
  <c r="AK1624" i="2"/>
  <c r="AL1624" i="2"/>
  <c r="AF1625" i="2"/>
  <c r="AG1625" i="2"/>
  <c r="AH1625" i="2"/>
  <c r="AJ1625" i="2"/>
  <c r="AK1625" i="2"/>
  <c r="AL1625" i="2"/>
  <c r="AF1626" i="2"/>
  <c r="AG1626" i="2"/>
  <c r="AH1626" i="2"/>
  <c r="AJ1626" i="2"/>
  <c r="AK1626" i="2"/>
  <c r="AL1626" i="2"/>
  <c r="AF1627" i="2"/>
  <c r="AG1627" i="2"/>
  <c r="AH1627" i="2"/>
  <c r="AJ1627" i="2"/>
  <c r="AK1627" i="2"/>
  <c r="AL1627" i="2"/>
  <c r="AF1628" i="2"/>
  <c r="AG1628" i="2"/>
  <c r="AH1628" i="2"/>
  <c r="AJ1628" i="2"/>
  <c r="AK1628" i="2"/>
  <c r="AL1628" i="2"/>
  <c r="AF1629" i="2"/>
  <c r="AG1629" i="2"/>
  <c r="AH1629" i="2"/>
  <c r="AJ1629" i="2"/>
  <c r="AK1629" i="2"/>
  <c r="AL1629" i="2"/>
  <c r="AF1630" i="2"/>
  <c r="AG1630" i="2"/>
  <c r="AH1630" i="2"/>
  <c r="AJ1630" i="2"/>
  <c r="AK1630" i="2"/>
  <c r="AL1630" i="2"/>
  <c r="AF1631" i="2"/>
  <c r="AG1631" i="2"/>
  <c r="AH1631" i="2"/>
  <c r="AJ1631" i="2"/>
  <c r="AK1631" i="2"/>
  <c r="AL1631" i="2"/>
  <c r="AF1632" i="2"/>
  <c r="AG1632" i="2"/>
  <c r="AH1632" i="2"/>
  <c r="AJ1632" i="2"/>
  <c r="AK1632" i="2"/>
  <c r="AL1632" i="2"/>
  <c r="AF1633" i="2"/>
  <c r="AG1633" i="2"/>
  <c r="AH1633" i="2"/>
  <c r="AJ1633" i="2"/>
  <c r="AK1633" i="2"/>
  <c r="AL1633" i="2"/>
  <c r="AF1634" i="2"/>
  <c r="AG1634" i="2"/>
  <c r="AH1634" i="2"/>
  <c r="AJ1634" i="2"/>
  <c r="AK1634" i="2"/>
  <c r="AL1634" i="2"/>
  <c r="AF1635" i="2"/>
  <c r="AG1635" i="2"/>
  <c r="AH1635" i="2"/>
  <c r="AJ1635" i="2"/>
  <c r="AK1635" i="2"/>
  <c r="AL1635" i="2"/>
  <c r="AF1636" i="2"/>
  <c r="AG1636" i="2"/>
  <c r="AH1636" i="2"/>
  <c r="AJ1636" i="2"/>
  <c r="AK1636" i="2"/>
  <c r="AL1636" i="2"/>
  <c r="AF1637" i="2"/>
  <c r="AG1637" i="2"/>
  <c r="AH1637" i="2"/>
  <c r="AJ1637" i="2"/>
  <c r="AK1637" i="2"/>
  <c r="AL1637" i="2"/>
  <c r="AF1638" i="2"/>
  <c r="AG1638" i="2"/>
  <c r="AH1638" i="2"/>
  <c r="AJ1638" i="2"/>
  <c r="AK1638" i="2"/>
  <c r="AL1638" i="2"/>
  <c r="AF1639" i="2"/>
  <c r="AG1639" i="2"/>
  <c r="AH1639" i="2"/>
  <c r="AJ1639" i="2"/>
  <c r="AK1639" i="2"/>
  <c r="AL1639" i="2"/>
  <c r="AF1640" i="2"/>
  <c r="AG1640" i="2"/>
  <c r="AH1640" i="2"/>
  <c r="AJ1640" i="2"/>
  <c r="AK1640" i="2"/>
  <c r="AL1640" i="2"/>
  <c r="AF1641" i="2"/>
  <c r="AG1641" i="2"/>
  <c r="AH1641" i="2"/>
  <c r="AJ1641" i="2"/>
  <c r="AK1641" i="2"/>
  <c r="AL1641" i="2"/>
  <c r="AF1642" i="2"/>
  <c r="AG1642" i="2"/>
  <c r="AH1642" i="2"/>
  <c r="AJ1642" i="2"/>
  <c r="AK1642" i="2"/>
  <c r="AL1642" i="2"/>
  <c r="AF1643" i="2"/>
  <c r="AG1643" i="2"/>
  <c r="AH1643" i="2"/>
  <c r="AJ1643" i="2"/>
  <c r="AK1643" i="2"/>
  <c r="AL1643" i="2"/>
  <c r="AF1644" i="2"/>
  <c r="AG1644" i="2"/>
  <c r="AH1644" i="2"/>
  <c r="AJ1644" i="2"/>
  <c r="AK1644" i="2"/>
  <c r="AL1644" i="2"/>
  <c r="AF1645" i="2"/>
  <c r="AG1645" i="2"/>
  <c r="AH1645" i="2"/>
  <c r="AJ1645" i="2"/>
  <c r="AK1645" i="2"/>
  <c r="AL1645" i="2"/>
  <c r="AF1646" i="2"/>
  <c r="AG1646" i="2"/>
  <c r="AH1646" i="2"/>
  <c r="AJ1646" i="2"/>
  <c r="AK1646" i="2"/>
  <c r="AL1646" i="2"/>
  <c r="AF1647" i="2"/>
  <c r="AG1647" i="2"/>
  <c r="AH1647" i="2"/>
  <c r="AJ1647" i="2"/>
  <c r="AK1647" i="2"/>
  <c r="AL1647" i="2"/>
  <c r="AF1648" i="2"/>
  <c r="AG1648" i="2"/>
  <c r="AH1648" i="2"/>
  <c r="AJ1648" i="2"/>
  <c r="AK1648" i="2"/>
  <c r="AL1648" i="2"/>
  <c r="AF1649" i="2"/>
  <c r="AG1649" i="2"/>
  <c r="AH1649" i="2"/>
  <c r="AJ1649" i="2"/>
  <c r="AK1649" i="2"/>
  <c r="AL1649" i="2"/>
  <c r="AF1650" i="2"/>
  <c r="AG1650" i="2"/>
  <c r="AH1650" i="2"/>
  <c r="AJ1650" i="2"/>
  <c r="AK1650" i="2"/>
  <c r="AL1650" i="2"/>
  <c r="AF1651" i="2"/>
  <c r="AG1651" i="2"/>
  <c r="AH1651" i="2"/>
  <c r="AJ1651" i="2"/>
  <c r="AK1651" i="2"/>
  <c r="AL1651" i="2"/>
  <c r="AF1652" i="2"/>
  <c r="AG1652" i="2"/>
  <c r="AH1652" i="2"/>
  <c r="AJ1652" i="2"/>
  <c r="AK1652" i="2"/>
  <c r="AL1652" i="2"/>
  <c r="AF1653" i="2"/>
  <c r="AG1653" i="2"/>
  <c r="AH1653" i="2"/>
  <c r="AJ1653" i="2"/>
  <c r="AK1653" i="2"/>
  <c r="AL1653" i="2"/>
  <c r="AF1654" i="2"/>
  <c r="AG1654" i="2"/>
  <c r="AH1654" i="2"/>
  <c r="AJ1654" i="2"/>
  <c r="AK1654" i="2"/>
  <c r="AL1654" i="2"/>
  <c r="AF1655" i="2"/>
  <c r="AG1655" i="2"/>
  <c r="AH1655" i="2"/>
  <c r="AJ1655" i="2"/>
  <c r="AK1655" i="2"/>
  <c r="AL1655" i="2"/>
  <c r="AF1656" i="2"/>
  <c r="AG1656" i="2"/>
  <c r="AH1656" i="2"/>
  <c r="AJ1656" i="2"/>
  <c r="AK1656" i="2"/>
  <c r="AL1656" i="2"/>
  <c r="AF1657" i="2"/>
  <c r="AG1657" i="2"/>
  <c r="AH1657" i="2"/>
  <c r="AJ1657" i="2"/>
  <c r="AK1657" i="2"/>
  <c r="AL1657" i="2"/>
  <c r="AF1658" i="2"/>
  <c r="AG1658" i="2"/>
  <c r="AH1658" i="2"/>
  <c r="AJ1658" i="2"/>
  <c r="AK1658" i="2"/>
  <c r="AL1658" i="2"/>
  <c r="AF1659" i="2"/>
  <c r="AG1659" i="2"/>
  <c r="AH1659" i="2"/>
  <c r="AJ1659" i="2"/>
  <c r="AK1659" i="2"/>
  <c r="AL1659" i="2"/>
  <c r="AF1660" i="2"/>
  <c r="AG1660" i="2"/>
  <c r="AH1660" i="2"/>
  <c r="AJ1660" i="2"/>
  <c r="AK1660" i="2"/>
  <c r="AL1660" i="2"/>
  <c r="AF1661" i="2"/>
  <c r="AG1661" i="2"/>
  <c r="AH1661" i="2"/>
  <c r="AJ1661" i="2"/>
  <c r="AK1661" i="2"/>
  <c r="AL1661" i="2"/>
  <c r="AF1662" i="2"/>
  <c r="AG1662" i="2"/>
  <c r="AH1662" i="2"/>
  <c r="AJ1662" i="2"/>
  <c r="AK1662" i="2"/>
  <c r="AL1662" i="2"/>
  <c r="AF1663" i="2"/>
  <c r="AG1663" i="2"/>
  <c r="AH1663" i="2"/>
  <c r="AJ1663" i="2"/>
  <c r="AK1663" i="2"/>
  <c r="AL1663" i="2"/>
  <c r="AF1664" i="2"/>
  <c r="AG1664" i="2"/>
  <c r="AH1664" i="2"/>
  <c r="AJ1664" i="2"/>
  <c r="AK1664" i="2"/>
  <c r="AL1664" i="2"/>
  <c r="AF1665" i="2"/>
  <c r="AG1665" i="2"/>
  <c r="AH1665" i="2"/>
  <c r="AJ1665" i="2"/>
  <c r="AK1665" i="2"/>
  <c r="AL1665" i="2"/>
  <c r="AF1666" i="2"/>
  <c r="AG1666" i="2"/>
  <c r="AH1666" i="2"/>
  <c r="AJ1666" i="2"/>
  <c r="AK1666" i="2"/>
  <c r="AL1666" i="2"/>
  <c r="AF1667" i="2"/>
  <c r="AG1667" i="2"/>
  <c r="AH1667" i="2"/>
  <c r="AJ1667" i="2"/>
  <c r="AK1667" i="2"/>
  <c r="AL1667" i="2"/>
  <c r="AF1668" i="2"/>
  <c r="AG1668" i="2"/>
  <c r="AH1668" i="2"/>
  <c r="AJ1668" i="2"/>
  <c r="AK1668" i="2"/>
  <c r="AL1668" i="2"/>
  <c r="AF1669" i="2"/>
  <c r="AG1669" i="2"/>
  <c r="AH1669" i="2"/>
  <c r="AJ1669" i="2"/>
  <c r="AK1669" i="2"/>
  <c r="AL1669" i="2"/>
  <c r="AF1670" i="2"/>
  <c r="AG1670" i="2"/>
  <c r="AH1670" i="2"/>
  <c r="AJ1670" i="2"/>
  <c r="AK1670" i="2"/>
  <c r="AL1670" i="2"/>
  <c r="AF1671" i="2"/>
  <c r="AG1671" i="2"/>
  <c r="AH1671" i="2"/>
  <c r="AJ1671" i="2"/>
  <c r="AK1671" i="2"/>
  <c r="AL1671" i="2"/>
  <c r="AF1672" i="2"/>
  <c r="AG1672" i="2"/>
  <c r="AH1672" i="2"/>
  <c r="AJ1672" i="2"/>
  <c r="AK1672" i="2"/>
  <c r="AL1672" i="2"/>
  <c r="AF1673" i="2"/>
  <c r="AG1673" i="2"/>
  <c r="AH1673" i="2"/>
  <c r="AJ1673" i="2"/>
  <c r="AK1673" i="2"/>
  <c r="AL1673" i="2"/>
  <c r="AF1674" i="2"/>
  <c r="AG1674" i="2"/>
  <c r="AH1674" i="2"/>
  <c r="AJ1674" i="2"/>
  <c r="AK1674" i="2"/>
  <c r="AL1674" i="2"/>
  <c r="AF1675" i="2"/>
  <c r="AG1675" i="2"/>
  <c r="AH1675" i="2"/>
  <c r="AJ1675" i="2"/>
  <c r="AK1675" i="2"/>
  <c r="AL1675" i="2"/>
  <c r="AF1676" i="2"/>
  <c r="AG1676" i="2"/>
  <c r="AH1676" i="2"/>
  <c r="AJ1676" i="2"/>
  <c r="AK1676" i="2"/>
  <c r="AL1676" i="2"/>
  <c r="AF1677" i="2"/>
  <c r="AG1677" i="2"/>
  <c r="AH1677" i="2"/>
  <c r="AJ1677" i="2"/>
  <c r="AK1677" i="2"/>
  <c r="AL1677" i="2"/>
  <c r="AF1678" i="2"/>
  <c r="AG1678" i="2"/>
  <c r="AH1678" i="2"/>
  <c r="AJ1678" i="2"/>
  <c r="AK1678" i="2"/>
  <c r="AL1678" i="2"/>
  <c r="AF1679" i="2"/>
  <c r="AG1679" i="2"/>
  <c r="AH1679" i="2"/>
  <c r="AJ1679" i="2"/>
  <c r="AK1679" i="2"/>
  <c r="AL1679" i="2"/>
  <c r="AF1680" i="2"/>
  <c r="AG1680" i="2"/>
  <c r="AH1680" i="2"/>
  <c r="AJ1680" i="2"/>
  <c r="AK1680" i="2"/>
  <c r="AL1680" i="2"/>
  <c r="AF1681" i="2"/>
  <c r="AG1681" i="2"/>
  <c r="AH1681" i="2"/>
  <c r="AJ1681" i="2"/>
  <c r="AK1681" i="2"/>
  <c r="AL1681" i="2"/>
  <c r="AF1682" i="2"/>
  <c r="AG1682" i="2"/>
  <c r="AH1682" i="2"/>
  <c r="AJ1682" i="2"/>
  <c r="AK1682" i="2"/>
  <c r="AL1682" i="2"/>
  <c r="AF1683" i="2"/>
  <c r="AG1683" i="2"/>
  <c r="AH1683" i="2"/>
  <c r="AJ1683" i="2"/>
  <c r="AK1683" i="2"/>
  <c r="AL1683" i="2"/>
  <c r="AF1684" i="2"/>
  <c r="AG1684" i="2"/>
  <c r="AH1684" i="2"/>
  <c r="AJ1684" i="2"/>
  <c r="AK1684" i="2"/>
  <c r="AL1684" i="2"/>
  <c r="AF1685" i="2"/>
  <c r="AG1685" i="2"/>
  <c r="AH1685" i="2"/>
  <c r="AJ1685" i="2"/>
  <c r="AK1685" i="2"/>
  <c r="AL1685" i="2"/>
  <c r="AF1686" i="2"/>
  <c r="AG1686" i="2"/>
  <c r="AH1686" i="2"/>
  <c r="AJ1686" i="2"/>
  <c r="AK1686" i="2"/>
  <c r="AL1686" i="2"/>
  <c r="AF1687" i="2"/>
  <c r="AG1687" i="2"/>
  <c r="AH1687" i="2"/>
  <c r="AJ1687" i="2"/>
  <c r="AK1687" i="2"/>
  <c r="AL1687" i="2"/>
  <c r="AF1688" i="2"/>
  <c r="AG1688" i="2"/>
  <c r="AH1688" i="2"/>
  <c r="AJ1688" i="2"/>
  <c r="AK1688" i="2"/>
  <c r="AL1688" i="2"/>
  <c r="AF1689" i="2"/>
  <c r="AG1689" i="2"/>
  <c r="AH1689" i="2"/>
  <c r="AJ1689" i="2"/>
  <c r="AK1689" i="2"/>
  <c r="AL1689" i="2"/>
  <c r="AF1690" i="2"/>
  <c r="AG1690" i="2"/>
  <c r="AH1690" i="2"/>
  <c r="AJ1690" i="2"/>
  <c r="AK1690" i="2"/>
  <c r="AL1690" i="2"/>
  <c r="AF1691" i="2"/>
  <c r="AG1691" i="2"/>
  <c r="AH1691" i="2"/>
  <c r="AJ1691" i="2"/>
  <c r="AK1691" i="2"/>
  <c r="AL1691" i="2"/>
  <c r="AF1692" i="2"/>
  <c r="AG1692" i="2"/>
  <c r="AH1692" i="2"/>
  <c r="AJ1692" i="2"/>
  <c r="AK1692" i="2"/>
  <c r="AL1692" i="2"/>
  <c r="AF1693" i="2"/>
  <c r="AG1693" i="2"/>
  <c r="AH1693" i="2"/>
  <c r="AJ1693" i="2"/>
  <c r="AK1693" i="2"/>
  <c r="AL1693" i="2"/>
  <c r="AF1694" i="2"/>
  <c r="AG1694" i="2"/>
  <c r="AH1694" i="2"/>
  <c r="AJ1694" i="2"/>
  <c r="AK1694" i="2"/>
  <c r="AL1694" i="2"/>
  <c r="AF1695" i="2"/>
  <c r="AG1695" i="2"/>
  <c r="AH1695" i="2"/>
  <c r="AJ1695" i="2"/>
  <c r="AK1695" i="2"/>
  <c r="AL1695" i="2"/>
  <c r="AF1696" i="2"/>
  <c r="AG1696" i="2"/>
  <c r="AH1696" i="2"/>
  <c r="AJ1696" i="2"/>
  <c r="AK1696" i="2"/>
  <c r="AL1696" i="2"/>
  <c r="AF1697" i="2"/>
  <c r="AG1697" i="2"/>
  <c r="AH1697" i="2"/>
  <c r="AJ1697" i="2"/>
  <c r="AK1697" i="2"/>
  <c r="AL1697" i="2"/>
  <c r="AF1698" i="2"/>
  <c r="AG1698" i="2"/>
  <c r="AH1698" i="2"/>
  <c r="AJ1698" i="2"/>
  <c r="AK1698" i="2"/>
  <c r="AL1698" i="2"/>
  <c r="AF1699" i="2"/>
  <c r="AG1699" i="2"/>
  <c r="AH1699" i="2"/>
  <c r="AJ1699" i="2"/>
  <c r="AK1699" i="2"/>
  <c r="AL1699" i="2"/>
  <c r="AF1700" i="2"/>
  <c r="AG1700" i="2"/>
  <c r="AH1700" i="2"/>
  <c r="AJ1700" i="2"/>
  <c r="AK1700" i="2"/>
  <c r="AL1700" i="2"/>
  <c r="AF1701" i="2"/>
  <c r="AG1701" i="2"/>
  <c r="AH1701" i="2"/>
  <c r="AJ1701" i="2"/>
  <c r="AK1701" i="2"/>
  <c r="AL1701" i="2"/>
  <c r="AF1702" i="2"/>
  <c r="AG1702" i="2"/>
  <c r="AH1702" i="2"/>
  <c r="AJ1702" i="2"/>
  <c r="AK1702" i="2"/>
  <c r="AL1702" i="2"/>
  <c r="AF1703" i="2"/>
  <c r="AG1703" i="2"/>
  <c r="AH1703" i="2"/>
  <c r="AJ1703" i="2"/>
  <c r="AK1703" i="2"/>
  <c r="AL1703" i="2"/>
  <c r="AF1704" i="2"/>
  <c r="AG1704" i="2"/>
  <c r="AH1704" i="2"/>
  <c r="AJ1704" i="2"/>
  <c r="AK1704" i="2"/>
  <c r="AL1704" i="2"/>
  <c r="AF1705" i="2"/>
  <c r="AG1705" i="2"/>
  <c r="AH1705" i="2"/>
  <c r="AJ1705" i="2"/>
  <c r="AK1705" i="2"/>
  <c r="AL1705" i="2"/>
  <c r="AF1706" i="2"/>
  <c r="AG1706" i="2"/>
  <c r="AH1706" i="2"/>
  <c r="AJ1706" i="2"/>
  <c r="AK1706" i="2"/>
  <c r="AL1706" i="2"/>
  <c r="AF1707" i="2"/>
  <c r="AG1707" i="2"/>
  <c r="AH1707" i="2"/>
  <c r="AJ1707" i="2"/>
  <c r="AK1707" i="2"/>
  <c r="AL1707" i="2"/>
  <c r="AF1708" i="2"/>
  <c r="AG1708" i="2"/>
  <c r="AH1708" i="2"/>
  <c r="AJ1708" i="2"/>
  <c r="AK1708" i="2"/>
  <c r="AL1708" i="2"/>
  <c r="AF1709" i="2"/>
  <c r="AG1709" i="2"/>
  <c r="AH1709" i="2"/>
  <c r="AJ1709" i="2"/>
  <c r="AK1709" i="2"/>
  <c r="AL1709" i="2"/>
  <c r="AF1710" i="2"/>
  <c r="AG1710" i="2"/>
  <c r="AH1710" i="2"/>
  <c r="AJ1710" i="2"/>
  <c r="AK1710" i="2"/>
  <c r="AL1710" i="2"/>
  <c r="AF1711" i="2"/>
  <c r="AG1711" i="2"/>
  <c r="AH1711" i="2"/>
  <c r="AJ1711" i="2"/>
  <c r="AK1711" i="2"/>
  <c r="AL1711" i="2"/>
  <c r="AF1712" i="2"/>
  <c r="AG1712" i="2"/>
  <c r="AH1712" i="2"/>
  <c r="AJ1712" i="2"/>
  <c r="AK1712" i="2"/>
  <c r="AL1712" i="2"/>
  <c r="AF1713" i="2"/>
  <c r="AG1713" i="2"/>
  <c r="AH1713" i="2"/>
  <c r="AJ1713" i="2"/>
  <c r="AK1713" i="2"/>
  <c r="AL1713" i="2"/>
  <c r="AF1714" i="2"/>
  <c r="AG1714" i="2"/>
  <c r="AH1714" i="2"/>
  <c r="AJ1714" i="2"/>
  <c r="AK1714" i="2"/>
  <c r="AL1714" i="2"/>
  <c r="AF1715" i="2"/>
  <c r="AG1715" i="2"/>
  <c r="AH1715" i="2"/>
  <c r="AJ1715" i="2"/>
  <c r="AK1715" i="2"/>
  <c r="AL1715" i="2"/>
  <c r="AF1716" i="2"/>
  <c r="AG1716" i="2"/>
  <c r="AH1716" i="2"/>
  <c r="AJ1716" i="2"/>
  <c r="AK1716" i="2"/>
  <c r="AL1716" i="2"/>
  <c r="AF1717" i="2"/>
  <c r="AG1717" i="2"/>
  <c r="AH1717" i="2"/>
  <c r="AJ1717" i="2"/>
  <c r="AK1717" i="2"/>
  <c r="AL1717" i="2"/>
  <c r="AF1718" i="2"/>
  <c r="AG1718" i="2"/>
  <c r="AH1718" i="2"/>
  <c r="AJ1718" i="2"/>
  <c r="AK1718" i="2"/>
  <c r="AL1718" i="2"/>
  <c r="AF1719" i="2"/>
  <c r="AG1719" i="2"/>
  <c r="AH1719" i="2"/>
  <c r="AJ1719" i="2"/>
  <c r="AK1719" i="2"/>
  <c r="AL1719" i="2"/>
  <c r="AF1720" i="2"/>
  <c r="AG1720" i="2"/>
  <c r="AH1720" i="2"/>
  <c r="AJ1720" i="2"/>
  <c r="AK1720" i="2"/>
  <c r="AL1720" i="2"/>
  <c r="AF1721" i="2"/>
  <c r="AG1721" i="2"/>
  <c r="AH1721" i="2"/>
  <c r="AJ1721" i="2"/>
  <c r="AK1721" i="2"/>
  <c r="AL1721" i="2"/>
  <c r="AF1722" i="2"/>
  <c r="AG1722" i="2"/>
  <c r="AH1722" i="2"/>
  <c r="AJ1722" i="2"/>
  <c r="AK1722" i="2"/>
  <c r="AL1722" i="2"/>
  <c r="AF1723" i="2"/>
  <c r="AG1723" i="2"/>
  <c r="AH1723" i="2"/>
  <c r="AJ1723" i="2"/>
  <c r="AK1723" i="2"/>
  <c r="AL1723" i="2"/>
  <c r="AF1724" i="2"/>
  <c r="AG1724" i="2"/>
  <c r="AH1724" i="2"/>
  <c r="AJ1724" i="2"/>
  <c r="AK1724" i="2"/>
  <c r="AL1724" i="2"/>
  <c r="AF1725" i="2"/>
  <c r="AG1725" i="2"/>
  <c r="AH1725" i="2"/>
  <c r="AJ1725" i="2"/>
  <c r="AK1725" i="2"/>
  <c r="AL1725" i="2"/>
  <c r="AF1726" i="2"/>
  <c r="AG1726" i="2"/>
  <c r="AH1726" i="2"/>
  <c r="AJ1726" i="2"/>
  <c r="AK1726" i="2"/>
  <c r="AL1726" i="2"/>
  <c r="AF1727" i="2"/>
  <c r="AG1727" i="2"/>
  <c r="AH1727" i="2"/>
  <c r="AJ1727" i="2"/>
  <c r="AK1727" i="2"/>
  <c r="AL1727" i="2"/>
  <c r="AF1728" i="2"/>
  <c r="AG1728" i="2"/>
  <c r="AH1728" i="2"/>
  <c r="AJ1728" i="2"/>
  <c r="AK1728" i="2"/>
  <c r="AL1728" i="2"/>
  <c r="AF1729" i="2"/>
  <c r="AG1729" i="2"/>
  <c r="AH1729" i="2"/>
  <c r="AJ1729" i="2"/>
  <c r="AK1729" i="2"/>
  <c r="AL1729" i="2"/>
  <c r="AF1730" i="2"/>
  <c r="AG1730" i="2"/>
  <c r="AH1730" i="2"/>
  <c r="AJ1730" i="2"/>
  <c r="AK1730" i="2"/>
  <c r="AL1730" i="2"/>
  <c r="AF1731" i="2"/>
  <c r="AG1731" i="2"/>
  <c r="AH1731" i="2"/>
  <c r="AJ1731" i="2"/>
  <c r="AK1731" i="2"/>
  <c r="AL1731" i="2"/>
  <c r="AF1732" i="2"/>
  <c r="AG1732" i="2"/>
  <c r="AH1732" i="2"/>
  <c r="AJ1732" i="2"/>
  <c r="AK1732" i="2"/>
  <c r="AL1732" i="2"/>
  <c r="AF1733" i="2"/>
  <c r="AG1733" i="2"/>
  <c r="AH1733" i="2"/>
  <c r="AJ1733" i="2"/>
  <c r="AK1733" i="2"/>
  <c r="AL1733" i="2"/>
  <c r="AF1734" i="2"/>
  <c r="AG1734" i="2"/>
  <c r="AH1734" i="2"/>
  <c r="AJ1734" i="2"/>
  <c r="AK1734" i="2"/>
  <c r="AL1734" i="2"/>
  <c r="AF1735" i="2"/>
  <c r="AG1735" i="2"/>
  <c r="AH1735" i="2"/>
  <c r="AJ1735" i="2"/>
  <c r="AK1735" i="2"/>
  <c r="AL1735" i="2"/>
  <c r="AF1736" i="2"/>
  <c r="AG1736" i="2"/>
  <c r="AH1736" i="2"/>
  <c r="AJ1736" i="2"/>
  <c r="AK1736" i="2"/>
  <c r="AL1736" i="2"/>
  <c r="AF1737" i="2"/>
  <c r="AG1737" i="2"/>
  <c r="AH1737" i="2"/>
  <c r="AJ1737" i="2"/>
  <c r="AK1737" i="2"/>
  <c r="AL1737" i="2"/>
  <c r="AF1738" i="2"/>
  <c r="AG1738" i="2"/>
  <c r="AH1738" i="2"/>
  <c r="AJ1738" i="2"/>
  <c r="AK1738" i="2"/>
  <c r="AL1738" i="2"/>
  <c r="AF1739" i="2"/>
  <c r="AG1739" i="2"/>
  <c r="AH1739" i="2"/>
  <c r="AJ1739" i="2"/>
  <c r="AK1739" i="2"/>
  <c r="AL1739" i="2"/>
  <c r="AF1740" i="2"/>
  <c r="AG1740" i="2"/>
  <c r="AH1740" i="2"/>
  <c r="AJ1740" i="2"/>
  <c r="AK1740" i="2"/>
  <c r="AL1740" i="2"/>
  <c r="AF1741" i="2"/>
  <c r="AG1741" i="2"/>
  <c r="AH1741" i="2"/>
  <c r="AJ1741" i="2"/>
  <c r="AK1741" i="2"/>
  <c r="AL1741" i="2"/>
  <c r="AF1742" i="2"/>
  <c r="AG1742" i="2"/>
  <c r="AH1742" i="2"/>
  <c r="AJ1742" i="2"/>
  <c r="AK1742" i="2"/>
  <c r="AL1742" i="2"/>
  <c r="AF1743" i="2"/>
  <c r="AG1743" i="2"/>
  <c r="AH1743" i="2"/>
  <c r="AJ1743" i="2"/>
  <c r="AK1743" i="2"/>
  <c r="AL1743" i="2"/>
  <c r="AF1744" i="2"/>
  <c r="AG1744" i="2"/>
  <c r="AH1744" i="2"/>
  <c r="AJ1744" i="2"/>
  <c r="AK1744" i="2"/>
  <c r="AL1744" i="2"/>
  <c r="AF1745" i="2"/>
  <c r="AG1745" i="2"/>
  <c r="AH1745" i="2"/>
  <c r="AJ1745" i="2"/>
  <c r="AK1745" i="2"/>
  <c r="AL1745" i="2"/>
  <c r="AF1746" i="2"/>
  <c r="AG1746" i="2"/>
  <c r="AH1746" i="2"/>
  <c r="AJ1746" i="2"/>
  <c r="AK1746" i="2"/>
  <c r="AL1746" i="2"/>
  <c r="AF1747" i="2"/>
  <c r="AG1747" i="2"/>
  <c r="AH1747" i="2"/>
  <c r="AJ1747" i="2"/>
  <c r="AK1747" i="2"/>
  <c r="AL1747" i="2"/>
  <c r="AF1748" i="2"/>
  <c r="AG1748" i="2"/>
  <c r="AH1748" i="2"/>
  <c r="AJ1748" i="2"/>
  <c r="AK1748" i="2"/>
  <c r="AL1748" i="2"/>
  <c r="AF1749" i="2"/>
  <c r="AG1749" i="2"/>
  <c r="AH1749" i="2"/>
  <c r="AJ1749" i="2"/>
  <c r="AK1749" i="2"/>
  <c r="AL1749" i="2"/>
  <c r="AF1750" i="2"/>
  <c r="AG1750" i="2"/>
  <c r="AH1750" i="2"/>
  <c r="AJ1750" i="2"/>
  <c r="AK1750" i="2"/>
  <c r="AL1750" i="2"/>
  <c r="AF1751" i="2"/>
  <c r="AG1751" i="2"/>
  <c r="AH1751" i="2"/>
  <c r="AJ1751" i="2"/>
  <c r="AK1751" i="2"/>
  <c r="AL1751" i="2"/>
  <c r="AF1752" i="2"/>
  <c r="AG1752" i="2"/>
  <c r="AH1752" i="2"/>
  <c r="AJ1752" i="2"/>
  <c r="AK1752" i="2"/>
  <c r="AL1752" i="2"/>
  <c r="AF1753" i="2"/>
  <c r="AG1753" i="2"/>
  <c r="AH1753" i="2"/>
  <c r="AJ1753" i="2"/>
  <c r="AK1753" i="2"/>
  <c r="AL1753" i="2"/>
  <c r="AF1754" i="2"/>
  <c r="AG1754" i="2"/>
  <c r="AH1754" i="2"/>
  <c r="AJ1754" i="2"/>
  <c r="AK1754" i="2"/>
  <c r="AL1754" i="2"/>
  <c r="AF1755" i="2"/>
  <c r="AG1755" i="2"/>
  <c r="AH1755" i="2"/>
  <c r="AJ1755" i="2"/>
  <c r="AK1755" i="2"/>
  <c r="AL1755" i="2"/>
  <c r="AF1756" i="2"/>
  <c r="AG1756" i="2"/>
  <c r="AH1756" i="2"/>
  <c r="AJ1756" i="2"/>
  <c r="AK1756" i="2"/>
  <c r="AL1756" i="2"/>
  <c r="AF1757" i="2"/>
  <c r="AG1757" i="2"/>
  <c r="AH1757" i="2"/>
  <c r="AJ1757" i="2"/>
  <c r="AK1757" i="2"/>
  <c r="AL1757" i="2"/>
  <c r="AF1758" i="2"/>
  <c r="AG1758" i="2"/>
  <c r="AH1758" i="2"/>
  <c r="AJ1758" i="2"/>
  <c r="AK1758" i="2"/>
  <c r="AL1758" i="2"/>
  <c r="AF1759" i="2"/>
  <c r="AG1759" i="2"/>
  <c r="AH1759" i="2"/>
  <c r="AJ1759" i="2"/>
  <c r="AK1759" i="2"/>
  <c r="AL1759" i="2"/>
  <c r="AF1760" i="2"/>
  <c r="AG1760" i="2"/>
  <c r="AH1760" i="2"/>
  <c r="AJ1760" i="2"/>
  <c r="AK1760" i="2"/>
  <c r="AL1760" i="2"/>
  <c r="AF1761" i="2"/>
  <c r="AG1761" i="2"/>
  <c r="AH1761" i="2"/>
  <c r="AJ1761" i="2"/>
  <c r="AK1761" i="2"/>
  <c r="AL1761" i="2"/>
  <c r="AF1762" i="2"/>
  <c r="AG1762" i="2"/>
  <c r="AH1762" i="2"/>
  <c r="AJ1762" i="2"/>
  <c r="AK1762" i="2"/>
  <c r="AL1762" i="2"/>
  <c r="AF1763" i="2"/>
  <c r="AG1763" i="2"/>
  <c r="AH1763" i="2"/>
  <c r="AJ1763" i="2"/>
  <c r="AK1763" i="2"/>
  <c r="AL1763" i="2"/>
  <c r="AF1764" i="2"/>
  <c r="AG1764" i="2"/>
  <c r="AH1764" i="2"/>
  <c r="AJ1764" i="2"/>
  <c r="AK1764" i="2"/>
  <c r="AL1764" i="2"/>
  <c r="AF1765" i="2"/>
  <c r="AG1765" i="2"/>
  <c r="AH1765" i="2"/>
  <c r="AJ1765" i="2"/>
  <c r="AK1765" i="2"/>
  <c r="AL1765" i="2"/>
  <c r="AF1766" i="2"/>
  <c r="AG1766" i="2"/>
  <c r="AH1766" i="2"/>
  <c r="AJ1766" i="2"/>
  <c r="AK1766" i="2"/>
  <c r="AL1766" i="2"/>
  <c r="AF1767" i="2"/>
  <c r="AG1767" i="2"/>
  <c r="AH1767" i="2"/>
  <c r="AJ1767" i="2"/>
  <c r="AK1767" i="2"/>
  <c r="AL1767" i="2"/>
  <c r="AF1768" i="2"/>
  <c r="AG1768" i="2"/>
  <c r="AH1768" i="2"/>
  <c r="AJ1768" i="2"/>
  <c r="AK1768" i="2"/>
  <c r="AL1768" i="2"/>
  <c r="AF1769" i="2"/>
  <c r="AG1769" i="2"/>
  <c r="AH1769" i="2"/>
  <c r="AJ1769" i="2"/>
  <c r="AK1769" i="2"/>
  <c r="AL1769" i="2"/>
  <c r="AF1770" i="2"/>
  <c r="AG1770" i="2"/>
  <c r="AH1770" i="2"/>
  <c r="AJ1770" i="2"/>
  <c r="AK1770" i="2"/>
  <c r="AL1770" i="2"/>
  <c r="AF1771" i="2"/>
  <c r="AG1771" i="2"/>
  <c r="AH1771" i="2"/>
  <c r="AJ1771" i="2"/>
  <c r="AK1771" i="2"/>
  <c r="AL1771" i="2"/>
  <c r="AF1772" i="2"/>
  <c r="AG1772" i="2"/>
  <c r="AH1772" i="2"/>
  <c r="AJ1772" i="2"/>
  <c r="AK1772" i="2"/>
  <c r="AL1772" i="2"/>
  <c r="AF1773" i="2"/>
  <c r="AG1773" i="2"/>
  <c r="AH1773" i="2"/>
  <c r="AJ1773" i="2"/>
  <c r="AK1773" i="2"/>
  <c r="AL1773" i="2"/>
  <c r="AF1774" i="2"/>
  <c r="AG1774" i="2"/>
  <c r="AH1774" i="2"/>
  <c r="AJ1774" i="2"/>
  <c r="AK1774" i="2"/>
  <c r="AL1774" i="2"/>
  <c r="AF1775" i="2"/>
  <c r="AG1775" i="2"/>
  <c r="AH1775" i="2"/>
  <c r="AJ1775" i="2"/>
  <c r="AK1775" i="2"/>
  <c r="AL1775" i="2"/>
  <c r="AF1776" i="2"/>
  <c r="AG1776" i="2"/>
  <c r="AH1776" i="2"/>
  <c r="AJ1776" i="2"/>
  <c r="AK1776" i="2"/>
  <c r="AL1776" i="2"/>
  <c r="AF1777" i="2"/>
  <c r="AG1777" i="2"/>
  <c r="AH1777" i="2"/>
  <c r="AJ1777" i="2"/>
  <c r="AK1777" i="2"/>
  <c r="AL1777" i="2"/>
  <c r="AF1778" i="2"/>
  <c r="AG1778" i="2"/>
  <c r="AH1778" i="2"/>
  <c r="AJ1778" i="2"/>
  <c r="AK1778" i="2"/>
  <c r="AL1778" i="2"/>
  <c r="AF1779" i="2"/>
  <c r="AG1779" i="2"/>
  <c r="AH1779" i="2"/>
  <c r="AJ1779" i="2"/>
  <c r="AK1779" i="2"/>
  <c r="AL1779" i="2"/>
  <c r="AF1780" i="2"/>
  <c r="AG1780" i="2"/>
  <c r="AH1780" i="2"/>
  <c r="AJ1780" i="2"/>
  <c r="AK1780" i="2"/>
  <c r="AL1780" i="2"/>
  <c r="AF1781" i="2"/>
  <c r="AG1781" i="2"/>
  <c r="AH1781" i="2"/>
  <c r="AJ1781" i="2"/>
  <c r="AK1781" i="2"/>
  <c r="AL1781" i="2"/>
  <c r="AF1782" i="2"/>
  <c r="AG1782" i="2"/>
  <c r="AH1782" i="2"/>
  <c r="AJ1782" i="2"/>
  <c r="AK1782" i="2"/>
  <c r="AL1782" i="2"/>
  <c r="AF1783" i="2"/>
  <c r="AG1783" i="2"/>
  <c r="AH1783" i="2"/>
  <c r="AJ1783" i="2"/>
  <c r="AK1783" i="2"/>
  <c r="AL1783" i="2"/>
  <c r="AF1784" i="2"/>
  <c r="AG1784" i="2"/>
  <c r="AH1784" i="2"/>
  <c r="AJ1784" i="2"/>
  <c r="AK1784" i="2"/>
  <c r="AL1784" i="2"/>
  <c r="AF1785" i="2"/>
  <c r="AG1785" i="2"/>
  <c r="AH1785" i="2"/>
  <c r="AJ1785" i="2"/>
  <c r="AK1785" i="2"/>
  <c r="AL1785" i="2"/>
  <c r="AF1786" i="2"/>
  <c r="AG1786" i="2"/>
  <c r="AH1786" i="2"/>
  <c r="AJ1786" i="2"/>
  <c r="AK1786" i="2"/>
  <c r="AL1786" i="2"/>
  <c r="AF1787" i="2"/>
  <c r="AG1787" i="2"/>
  <c r="AH1787" i="2"/>
  <c r="AJ1787" i="2"/>
  <c r="AK1787" i="2"/>
  <c r="AL1787" i="2"/>
  <c r="AF1788" i="2"/>
  <c r="AG1788" i="2"/>
  <c r="AH1788" i="2"/>
  <c r="AJ1788" i="2"/>
  <c r="AK1788" i="2"/>
  <c r="AL1788" i="2"/>
  <c r="AF1789" i="2"/>
  <c r="AG1789" i="2"/>
  <c r="AH1789" i="2"/>
  <c r="AJ1789" i="2"/>
  <c r="AK1789" i="2"/>
  <c r="AL1789" i="2"/>
  <c r="AF1790" i="2"/>
  <c r="AG1790" i="2"/>
  <c r="AH1790" i="2"/>
  <c r="AJ1790" i="2"/>
  <c r="AK1790" i="2"/>
  <c r="AL1790" i="2"/>
  <c r="AF1791" i="2"/>
  <c r="AG1791" i="2"/>
  <c r="AH1791" i="2"/>
  <c r="AJ1791" i="2"/>
  <c r="AK1791" i="2"/>
  <c r="AL1791" i="2"/>
  <c r="AF1792" i="2"/>
  <c r="AG1792" i="2"/>
  <c r="AH1792" i="2"/>
  <c r="AJ1792" i="2"/>
  <c r="AK1792" i="2"/>
  <c r="AL1792" i="2"/>
  <c r="AF1793" i="2"/>
  <c r="AG1793" i="2"/>
  <c r="AH1793" i="2"/>
  <c r="AJ1793" i="2"/>
  <c r="AK1793" i="2"/>
  <c r="AL1793" i="2"/>
  <c r="AF1794" i="2"/>
  <c r="AG1794" i="2"/>
  <c r="AH1794" i="2"/>
  <c r="AJ1794" i="2"/>
  <c r="AK1794" i="2"/>
  <c r="AL1794" i="2"/>
  <c r="AF1795" i="2"/>
  <c r="AG1795" i="2"/>
  <c r="AH1795" i="2"/>
  <c r="AJ1795" i="2"/>
  <c r="AK1795" i="2"/>
  <c r="AL1795" i="2"/>
  <c r="AF1796" i="2"/>
  <c r="AG1796" i="2"/>
  <c r="AH1796" i="2"/>
  <c r="AJ1796" i="2"/>
  <c r="AK1796" i="2"/>
  <c r="AL1796" i="2"/>
  <c r="AF1797" i="2"/>
  <c r="AG1797" i="2"/>
  <c r="AH1797" i="2"/>
  <c r="AJ1797" i="2"/>
  <c r="AK1797" i="2"/>
  <c r="AL1797" i="2"/>
  <c r="AF1798" i="2"/>
  <c r="AG1798" i="2"/>
  <c r="AH1798" i="2"/>
  <c r="AJ1798" i="2"/>
  <c r="AK1798" i="2"/>
  <c r="AL1798" i="2"/>
  <c r="AF1799" i="2"/>
  <c r="AG1799" i="2"/>
  <c r="AH1799" i="2"/>
  <c r="AJ1799" i="2"/>
  <c r="AK1799" i="2"/>
  <c r="AL1799" i="2"/>
  <c r="AF1800" i="2"/>
  <c r="AG1800" i="2"/>
  <c r="AH1800" i="2"/>
  <c r="AJ1800" i="2"/>
  <c r="AK1800" i="2"/>
  <c r="AL1800" i="2"/>
  <c r="AF1801" i="2"/>
  <c r="AG1801" i="2"/>
  <c r="AH1801" i="2"/>
  <c r="AJ1801" i="2"/>
  <c r="AK1801" i="2"/>
  <c r="AL1801" i="2"/>
  <c r="AF1802" i="2"/>
  <c r="AG1802" i="2"/>
  <c r="AH1802" i="2"/>
  <c r="AJ1802" i="2"/>
  <c r="AK1802" i="2"/>
  <c r="AL1802" i="2"/>
  <c r="AF1803" i="2"/>
  <c r="AG1803" i="2"/>
  <c r="AH1803" i="2"/>
  <c r="AJ1803" i="2"/>
  <c r="AK1803" i="2"/>
  <c r="AL1803" i="2"/>
  <c r="AF1804" i="2"/>
  <c r="AG1804" i="2"/>
  <c r="AH1804" i="2"/>
  <c r="AJ1804" i="2"/>
  <c r="AK1804" i="2"/>
  <c r="AL1804" i="2"/>
  <c r="AF1805" i="2"/>
  <c r="AG1805" i="2"/>
  <c r="AH1805" i="2"/>
  <c r="AJ1805" i="2"/>
  <c r="AK1805" i="2"/>
  <c r="AL1805" i="2"/>
  <c r="AF1806" i="2"/>
  <c r="AG1806" i="2"/>
  <c r="AH1806" i="2"/>
  <c r="AJ1806" i="2"/>
  <c r="AK1806" i="2"/>
  <c r="AL1806" i="2"/>
  <c r="AF1807" i="2"/>
  <c r="AG1807" i="2"/>
  <c r="AH1807" i="2"/>
  <c r="AJ1807" i="2"/>
  <c r="AK1807" i="2"/>
  <c r="AL1807" i="2"/>
  <c r="AF1808" i="2"/>
  <c r="AG1808" i="2"/>
  <c r="AH1808" i="2"/>
  <c r="AJ1808" i="2"/>
  <c r="AK1808" i="2"/>
  <c r="AL1808" i="2"/>
  <c r="AF1809" i="2"/>
  <c r="AG1809" i="2"/>
  <c r="AH1809" i="2"/>
  <c r="AJ1809" i="2"/>
  <c r="AK1809" i="2"/>
  <c r="AL1809" i="2"/>
  <c r="AF1810" i="2"/>
  <c r="AG1810" i="2"/>
  <c r="AH1810" i="2"/>
  <c r="AJ1810" i="2"/>
  <c r="AK1810" i="2"/>
  <c r="AL1810" i="2"/>
  <c r="AF1811" i="2"/>
  <c r="AG1811" i="2"/>
  <c r="AH1811" i="2"/>
  <c r="AJ1811" i="2"/>
  <c r="AK1811" i="2"/>
  <c r="AL1811" i="2"/>
  <c r="AF1812" i="2"/>
  <c r="AG1812" i="2"/>
  <c r="AH1812" i="2"/>
  <c r="AJ1812" i="2"/>
  <c r="AK1812" i="2"/>
  <c r="AL1812" i="2"/>
  <c r="AF1813" i="2"/>
  <c r="AG1813" i="2"/>
  <c r="AH1813" i="2"/>
  <c r="AJ1813" i="2"/>
  <c r="AK1813" i="2"/>
  <c r="AL1813" i="2"/>
  <c r="AF1814" i="2"/>
  <c r="AG1814" i="2"/>
  <c r="AH1814" i="2"/>
  <c r="AJ1814" i="2"/>
  <c r="AK1814" i="2"/>
  <c r="AL1814" i="2"/>
  <c r="AF1815" i="2"/>
  <c r="AG1815" i="2"/>
  <c r="AH1815" i="2"/>
  <c r="AJ1815" i="2"/>
  <c r="AK1815" i="2"/>
  <c r="AL1815" i="2"/>
  <c r="AF1816" i="2"/>
  <c r="AG1816" i="2"/>
  <c r="AH1816" i="2"/>
  <c r="AJ1816" i="2"/>
  <c r="AK1816" i="2"/>
  <c r="AL1816" i="2"/>
  <c r="AF1817" i="2"/>
  <c r="AG1817" i="2"/>
  <c r="AH1817" i="2"/>
  <c r="AJ1817" i="2"/>
  <c r="AK1817" i="2"/>
  <c r="AL1817" i="2"/>
  <c r="AF1818" i="2"/>
  <c r="AG1818" i="2"/>
  <c r="AH1818" i="2"/>
  <c r="AJ1818" i="2"/>
  <c r="AK1818" i="2"/>
  <c r="AL1818" i="2"/>
  <c r="AF1819" i="2"/>
  <c r="AG1819" i="2"/>
  <c r="AH1819" i="2"/>
  <c r="AJ1819" i="2"/>
  <c r="AK1819" i="2"/>
  <c r="AL1819" i="2"/>
  <c r="AF1820" i="2"/>
  <c r="AG1820" i="2"/>
  <c r="AH1820" i="2"/>
  <c r="AJ1820" i="2"/>
  <c r="AK1820" i="2"/>
  <c r="AL1820" i="2"/>
  <c r="AF1821" i="2"/>
  <c r="AG1821" i="2"/>
  <c r="AH1821" i="2"/>
  <c r="AJ1821" i="2"/>
  <c r="AK1821" i="2"/>
  <c r="AL1821" i="2"/>
  <c r="AF1822" i="2"/>
  <c r="AG1822" i="2"/>
  <c r="AH1822" i="2"/>
  <c r="AJ1822" i="2"/>
  <c r="AK1822" i="2"/>
  <c r="AL1822" i="2"/>
  <c r="AF1823" i="2"/>
  <c r="AG1823" i="2"/>
  <c r="AH1823" i="2"/>
  <c r="AJ1823" i="2"/>
  <c r="AK1823" i="2"/>
  <c r="AL1823" i="2"/>
  <c r="AF1824" i="2"/>
  <c r="AG1824" i="2"/>
  <c r="AH1824" i="2"/>
  <c r="AJ1824" i="2"/>
  <c r="AK1824" i="2"/>
  <c r="AL1824" i="2"/>
  <c r="AF1825" i="2"/>
  <c r="AG1825" i="2"/>
  <c r="AH1825" i="2"/>
  <c r="AJ1825" i="2"/>
  <c r="AK1825" i="2"/>
  <c r="AL1825" i="2"/>
  <c r="AF1826" i="2"/>
  <c r="AG1826" i="2"/>
  <c r="AH1826" i="2"/>
  <c r="AJ1826" i="2"/>
  <c r="AK1826" i="2"/>
  <c r="AL1826" i="2"/>
  <c r="AF1827" i="2"/>
  <c r="AG1827" i="2"/>
  <c r="AH1827" i="2"/>
  <c r="AJ1827" i="2"/>
  <c r="AK1827" i="2"/>
  <c r="AL1827" i="2"/>
  <c r="AF1828" i="2"/>
  <c r="AG1828" i="2"/>
  <c r="AH1828" i="2"/>
  <c r="AJ1828" i="2"/>
  <c r="AK1828" i="2"/>
  <c r="AL1828" i="2"/>
  <c r="AF1829" i="2"/>
  <c r="AG1829" i="2"/>
  <c r="AH1829" i="2"/>
  <c r="AJ1829" i="2"/>
  <c r="AK1829" i="2"/>
  <c r="AL1829" i="2"/>
  <c r="AF1830" i="2"/>
  <c r="AG1830" i="2"/>
  <c r="AH1830" i="2"/>
  <c r="AJ1830" i="2"/>
  <c r="AK1830" i="2"/>
  <c r="AL1830" i="2"/>
  <c r="AF1831" i="2"/>
  <c r="AG1831" i="2"/>
  <c r="AH1831" i="2"/>
  <c r="AJ1831" i="2"/>
  <c r="AK1831" i="2"/>
  <c r="AL1831" i="2"/>
  <c r="AF1832" i="2"/>
  <c r="AG1832" i="2"/>
  <c r="AH1832" i="2"/>
  <c r="AJ1832" i="2"/>
  <c r="AK1832" i="2"/>
  <c r="AL1832" i="2"/>
  <c r="AF1833" i="2"/>
  <c r="AG1833" i="2"/>
  <c r="AH1833" i="2"/>
  <c r="AJ1833" i="2"/>
  <c r="AK1833" i="2"/>
  <c r="AL1833" i="2"/>
  <c r="AF1834" i="2"/>
  <c r="AG1834" i="2"/>
  <c r="AH1834" i="2"/>
  <c r="AJ1834" i="2"/>
  <c r="AK1834" i="2"/>
  <c r="AL1834" i="2"/>
  <c r="AF1835" i="2"/>
  <c r="AG1835" i="2"/>
  <c r="AH1835" i="2"/>
  <c r="AJ1835" i="2"/>
  <c r="AK1835" i="2"/>
  <c r="AL1835" i="2"/>
  <c r="AF1836" i="2"/>
  <c r="AG1836" i="2"/>
  <c r="AH1836" i="2"/>
  <c r="AJ1836" i="2"/>
  <c r="AK1836" i="2"/>
  <c r="AL1836" i="2"/>
  <c r="AF1837" i="2"/>
  <c r="AG1837" i="2"/>
  <c r="AH1837" i="2"/>
  <c r="AJ1837" i="2"/>
  <c r="AK1837" i="2"/>
  <c r="AL1837" i="2"/>
  <c r="AF1838" i="2"/>
  <c r="AG1838" i="2"/>
  <c r="AH1838" i="2"/>
  <c r="AJ1838" i="2"/>
  <c r="AK1838" i="2"/>
  <c r="AL1838" i="2"/>
  <c r="AF1839" i="2"/>
  <c r="AG1839" i="2"/>
  <c r="AH1839" i="2"/>
  <c r="AJ1839" i="2"/>
  <c r="AK1839" i="2"/>
  <c r="AL1839" i="2"/>
  <c r="AF1840" i="2"/>
  <c r="AG1840" i="2"/>
  <c r="AH1840" i="2"/>
  <c r="AJ1840" i="2"/>
  <c r="AK1840" i="2"/>
  <c r="AL1840" i="2"/>
  <c r="AF1841" i="2"/>
  <c r="AG1841" i="2"/>
  <c r="AH1841" i="2"/>
  <c r="AJ1841" i="2"/>
  <c r="AK1841" i="2"/>
  <c r="AL1841" i="2"/>
  <c r="AF1842" i="2"/>
  <c r="AG1842" i="2"/>
  <c r="AH1842" i="2"/>
  <c r="AJ1842" i="2"/>
  <c r="AK1842" i="2"/>
  <c r="AL1842" i="2"/>
  <c r="AF1843" i="2"/>
  <c r="AG1843" i="2"/>
  <c r="AH1843" i="2"/>
  <c r="AJ1843" i="2"/>
  <c r="AK1843" i="2"/>
  <c r="AL1843" i="2"/>
  <c r="AF1844" i="2"/>
  <c r="AG1844" i="2"/>
  <c r="AH1844" i="2"/>
  <c r="AJ1844" i="2"/>
  <c r="AK1844" i="2"/>
  <c r="AL1844" i="2"/>
  <c r="AF1845" i="2"/>
  <c r="AG1845" i="2"/>
  <c r="AH1845" i="2"/>
  <c r="AJ1845" i="2"/>
  <c r="AK1845" i="2"/>
  <c r="AL1845" i="2"/>
  <c r="AF1846" i="2"/>
  <c r="AG1846" i="2"/>
  <c r="AH1846" i="2"/>
  <c r="AJ1846" i="2"/>
  <c r="AK1846" i="2"/>
  <c r="AL1846" i="2"/>
  <c r="AF1847" i="2"/>
  <c r="AG1847" i="2"/>
  <c r="AH1847" i="2"/>
  <c r="AJ1847" i="2"/>
  <c r="AK1847" i="2"/>
  <c r="AL1847" i="2"/>
  <c r="AF1848" i="2"/>
  <c r="AG1848" i="2"/>
  <c r="AH1848" i="2"/>
  <c r="AJ1848" i="2"/>
  <c r="AK1848" i="2"/>
  <c r="AL1848" i="2"/>
  <c r="AF1849" i="2"/>
  <c r="AG1849" i="2"/>
  <c r="AH1849" i="2"/>
  <c r="AJ1849" i="2"/>
  <c r="AK1849" i="2"/>
  <c r="AL1849" i="2"/>
  <c r="AF1850" i="2"/>
  <c r="AG1850" i="2"/>
  <c r="AH1850" i="2"/>
  <c r="AJ1850" i="2"/>
  <c r="AK1850" i="2"/>
  <c r="AL1850" i="2"/>
  <c r="AF1851" i="2"/>
  <c r="AG1851" i="2"/>
  <c r="AH1851" i="2"/>
  <c r="AJ1851" i="2"/>
  <c r="AK1851" i="2"/>
  <c r="AL1851" i="2"/>
  <c r="AF1852" i="2"/>
  <c r="AG1852" i="2"/>
  <c r="AH1852" i="2"/>
  <c r="AJ1852" i="2"/>
  <c r="AK1852" i="2"/>
  <c r="AL1852" i="2"/>
  <c r="AF1853" i="2"/>
  <c r="AG1853" i="2"/>
  <c r="AH1853" i="2"/>
  <c r="AJ1853" i="2"/>
  <c r="AK1853" i="2"/>
  <c r="AL1853" i="2"/>
  <c r="AF1854" i="2"/>
  <c r="AG1854" i="2"/>
  <c r="AH1854" i="2"/>
  <c r="AJ1854" i="2"/>
  <c r="AK1854" i="2"/>
  <c r="AL1854" i="2"/>
  <c r="AF1855" i="2"/>
  <c r="AG1855" i="2"/>
  <c r="AH1855" i="2"/>
  <c r="AJ1855" i="2"/>
  <c r="AK1855" i="2"/>
  <c r="AL1855" i="2"/>
  <c r="AF1856" i="2"/>
  <c r="AG1856" i="2"/>
  <c r="AH1856" i="2"/>
  <c r="AJ1856" i="2"/>
  <c r="AK1856" i="2"/>
  <c r="AL1856" i="2"/>
  <c r="AF1857" i="2"/>
  <c r="AG1857" i="2"/>
  <c r="AH1857" i="2"/>
  <c r="AJ1857" i="2"/>
  <c r="AK1857" i="2"/>
  <c r="AL1857" i="2"/>
  <c r="AF1858" i="2"/>
  <c r="AG1858" i="2"/>
  <c r="AH1858" i="2"/>
  <c r="AJ1858" i="2"/>
  <c r="AK1858" i="2"/>
  <c r="AL1858" i="2"/>
  <c r="AF1859" i="2"/>
  <c r="AG1859" i="2"/>
  <c r="AH1859" i="2"/>
  <c r="AJ1859" i="2"/>
  <c r="AK1859" i="2"/>
  <c r="AL1859" i="2"/>
  <c r="AF1860" i="2"/>
  <c r="AG1860" i="2"/>
  <c r="AH1860" i="2"/>
  <c r="AJ1860" i="2"/>
  <c r="AK1860" i="2"/>
  <c r="AL1860" i="2"/>
  <c r="AF1861" i="2"/>
  <c r="AG1861" i="2"/>
  <c r="AH1861" i="2"/>
  <c r="AJ1861" i="2"/>
  <c r="AK1861" i="2"/>
  <c r="AL1861" i="2"/>
  <c r="AF1862" i="2"/>
  <c r="AG1862" i="2"/>
  <c r="AH1862" i="2"/>
  <c r="AJ1862" i="2"/>
  <c r="AK1862" i="2"/>
  <c r="AL1862" i="2"/>
  <c r="AF1863" i="2"/>
  <c r="AG1863" i="2"/>
  <c r="AH1863" i="2"/>
  <c r="AJ1863" i="2"/>
  <c r="AK1863" i="2"/>
  <c r="AL1863" i="2"/>
  <c r="AF1864" i="2"/>
  <c r="AG1864" i="2"/>
  <c r="AH1864" i="2"/>
  <c r="AJ1864" i="2"/>
  <c r="AK1864" i="2"/>
  <c r="AL1864" i="2"/>
  <c r="AF1865" i="2"/>
  <c r="AG1865" i="2"/>
  <c r="AH1865" i="2"/>
  <c r="AJ1865" i="2"/>
  <c r="AK1865" i="2"/>
  <c r="AL1865" i="2"/>
  <c r="AF1866" i="2"/>
  <c r="AG1866" i="2"/>
  <c r="AH1866" i="2"/>
  <c r="AJ1866" i="2"/>
  <c r="AK1866" i="2"/>
  <c r="AL1866" i="2"/>
  <c r="AF1867" i="2"/>
  <c r="AG1867" i="2"/>
  <c r="AH1867" i="2"/>
  <c r="AJ1867" i="2"/>
  <c r="AK1867" i="2"/>
  <c r="AL1867" i="2"/>
  <c r="AF1868" i="2"/>
  <c r="AG1868" i="2"/>
  <c r="AH1868" i="2"/>
  <c r="AJ1868" i="2"/>
  <c r="AK1868" i="2"/>
  <c r="AL1868" i="2"/>
  <c r="AF1869" i="2"/>
  <c r="AG1869" i="2"/>
  <c r="AH1869" i="2"/>
  <c r="AJ1869" i="2"/>
  <c r="AK1869" i="2"/>
  <c r="AL1869" i="2"/>
  <c r="AF1870" i="2"/>
  <c r="AG1870" i="2"/>
  <c r="AH1870" i="2"/>
  <c r="AJ1870" i="2"/>
  <c r="AK1870" i="2"/>
  <c r="AL1870" i="2"/>
  <c r="AF1871" i="2"/>
  <c r="AG1871" i="2"/>
  <c r="AH1871" i="2"/>
  <c r="AJ1871" i="2"/>
  <c r="AK1871" i="2"/>
  <c r="AL1871" i="2"/>
  <c r="AF1872" i="2"/>
  <c r="AG1872" i="2"/>
  <c r="AH1872" i="2"/>
  <c r="AJ1872" i="2"/>
  <c r="AK1872" i="2"/>
  <c r="AL1872" i="2"/>
  <c r="AF1873" i="2"/>
  <c r="AG1873" i="2"/>
  <c r="AH1873" i="2"/>
  <c r="AJ1873" i="2"/>
  <c r="AK1873" i="2"/>
  <c r="AL1873" i="2"/>
  <c r="AF1874" i="2"/>
  <c r="AG1874" i="2"/>
  <c r="AH1874" i="2"/>
  <c r="AJ1874" i="2"/>
  <c r="AK1874" i="2"/>
  <c r="AL1874" i="2"/>
  <c r="AF1875" i="2"/>
  <c r="AG1875" i="2"/>
  <c r="AH1875" i="2"/>
  <c r="AJ1875" i="2"/>
  <c r="AK1875" i="2"/>
  <c r="AL1875" i="2"/>
  <c r="AF1876" i="2"/>
  <c r="AG1876" i="2"/>
  <c r="AH1876" i="2"/>
  <c r="AJ1876" i="2"/>
  <c r="AK1876" i="2"/>
  <c r="AL1876" i="2"/>
  <c r="AF1877" i="2"/>
  <c r="AG1877" i="2"/>
  <c r="AH1877" i="2"/>
  <c r="AJ1877" i="2"/>
  <c r="AK1877" i="2"/>
  <c r="AL1877" i="2"/>
  <c r="AF1878" i="2"/>
  <c r="AG1878" i="2"/>
  <c r="AH1878" i="2"/>
  <c r="AJ1878" i="2"/>
  <c r="AK1878" i="2"/>
  <c r="AL1878" i="2"/>
  <c r="AF1879" i="2"/>
  <c r="AG1879" i="2"/>
  <c r="AH1879" i="2"/>
  <c r="AJ1879" i="2"/>
  <c r="AK1879" i="2"/>
  <c r="AL1879" i="2"/>
  <c r="AF1880" i="2"/>
  <c r="AG1880" i="2"/>
  <c r="AH1880" i="2"/>
  <c r="AJ1880" i="2"/>
  <c r="AK1880" i="2"/>
  <c r="AL1880" i="2"/>
  <c r="AF1881" i="2"/>
  <c r="AG1881" i="2"/>
  <c r="AH1881" i="2"/>
  <c r="AJ1881" i="2"/>
  <c r="AK1881" i="2"/>
  <c r="AL1881" i="2"/>
  <c r="AF1882" i="2"/>
  <c r="AG1882" i="2"/>
  <c r="AH1882" i="2"/>
  <c r="AJ1882" i="2"/>
  <c r="AK1882" i="2"/>
  <c r="AL1882" i="2"/>
  <c r="AF1883" i="2"/>
  <c r="AG1883" i="2"/>
  <c r="AH1883" i="2"/>
  <c r="AJ1883" i="2"/>
  <c r="AK1883" i="2"/>
  <c r="AL1883" i="2"/>
  <c r="AF1884" i="2"/>
  <c r="AG1884" i="2"/>
  <c r="AH1884" i="2"/>
  <c r="AJ1884" i="2"/>
  <c r="AK1884" i="2"/>
  <c r="AL1884" i="2"/>
  <c r="AF1885" i="2"/>
  <c r="AG1885" i="2"/>
  <c r="AH1885" i="2"/>
  <c r="AJ1885" i="2"/>
  <c r="AK1885" i="2"/>
  <c r="AL1885" i="2"/>
  <c r="AF1886" i="2"/>
  <c r="AG1886" i="2"/>
  <c r="AH1886" i="2"/>
  <c r="AJ1886" i="2"/>
  <c r="AK1886" i="2"/>
  <c r="AL1886" i="2"/>
  <c r="AF1887" i="2"/>
  <c r="AG1887" i="2"/>
  <c r="AH1887" i="2"/>
  <c r="AJ1887" i="2"/>
  <c r="AK1887" i="2"/>
  <c r="AL1887" i="2"/>
  <c r="AF1888" i="2"/>
  <c r="AG1888" i="2"/>
  <c r="AH1888" i="2"/>
  <c r="AJ1888" i="2"/>
  <c r="AK1888" i="2"/>
  <c r="AL1888" i="2"/>
  <c r="AF1889" i="2"/>
  <c r="AG1889" i="2"/>
  <c r="AH1889" i="2"/>
  <c r="AJ1889" i="2"/>
  <c r="AK1889" i="2"/>
  <c r="AL1889" i="2"/>
  <c r="AF1890" i="2"/>
  <c r="AG1890" i="2"/>
  <c r="AH1890" i="2"/>
  <c r="AJ1890" i="2"/>
  <c r="AK1890" i="2"/>
  <c r="AL1890" i="2"/>
  <c r="AF1891" i="2"/>
  <c r="AG1891" i="2"/>
  <c r="AH1891" i="2"/>
  <c r="AJ1891" i="2"/>
  <c r="AK1891" i="2"/>
  <c r="AL1891" i="2"/>
  <c r="AF1892" i="2"/>
  <c r="AG1892" i="2"/>
  <c r="AH1892" i="2"/>
  <c r="AJ1892" i="2"/>
  <c r="AK1892" i="2"/>
  <c r="AL1892" i="2"/>
  <c r="AF1893" i="2"/>
  <c r="AG1893" i="2"/>
  <c r="AH1893" i="2"/>
  <c r="AJ1893" i="2"/>
  <c r="AK1893" i="2"/>
  <c r="AL1893" i="2"/>
  <c r="AF1894" i="2"/>
  <c r="AG1894" i="2"/>
  <c r="AH1894" i="2"/>
  <c r="AJ1894" i="2"/>
  <c r="AK1894" i="2"/>
  <c r="AL1894" i="2"/>
  <c r="AF1895" i="2"/>
  <c r="AG1895" i="2"/>
  <c r="AH1895" i="2"/>
  <c r="AJ1895" i="2"/>
  <c r="AK1895" i="2"/>
  <c r="AL1895" i="2"/>
  <c r="AF1896" i="2"/>
  <c r="AG1896" i="2"/>
  <c r="AH1896" i="2"/>
  <c r="AJ1896" i="2"/>
  <c r="AK1896" i="2"/>
  <c r="AL1896" i="2"/>
  <c r="AF1897" i="2"/>
  <c r="AG1897" i="2"/>
  <c r="AH1897" i="2"/>
  <c r="AJ1897" i="2"/>
  <c r="AK1897" i="2"/>
  <c r="AL1897" i="2"/>
  <c r="AF1898" i="2"/>
  <c r="AG1898" i="2"/>
  <c r="AH1898" i="2"/>
  <c r="AJ1898" i="2"/>
  <c r="AK1898" i="2"/>
  <c r="AL1898" i="2"/>
  <c r="AF1899" i="2"/>
  <c r="AG1899" i="2"/>
  <c r="AH1899" i="2"/>
  <c r="AJ1899" i="2"/>
  <c r="AK1899" i="2"/>
  <c r="AL1899" i="2"/>
  <c r="AF1900" i="2"/>
  <c r="AG1900" i="2"/>
  <c r="AH1900" i="2"/>
  <c r="AJ1900" i="2"/>
  <c r="AK1900" i="2"/>
  <c r="AL1900" i="2"/>
  <c r="AF1901" i="2"/>
  <c r="AG1901" i="2"/>
  <c r="AH1901" i="2"/>
  <c r="AJ1901" i="2"/>
  <c r="AK1901" i="2"/>
  <c r="AL1901" i="2"/>
  <c r="AF1902" i="2"/>
  <c r="AG1902" i="2"/>
  <c r="AH1902" i="2"/>
  <c r="AJ1902" i="2"/>
  <c r="AK1902" i="2"/>
  <c r="AL1902" i="2"/>
  <c r="AF1903" i="2"/>
  <c r="AG1903" i="2"/>
  <c r="AH1903" i="2"/>
  <c r="AJ1903" i="2"/>
  <c r="AK1903" i="2"/>
  <c r="AL1903" i="2"/>
  <c r="AF1904" i="2"/>
  <c r="AG1904" i="2"/>
  <c r="AH1904" i="2"/>
  <c r="AJ1904" i="2"/>
  <c r="AK1904" i="2"/>
  <c r="AL1904" i="2"/>
  <c r="AF1905" i="2"/>
  <c r="AG1905" i="2"/>
  <c r="AH1905" i="2"/>
  <c r="AJ1905" i="2"/>
  <c r="AK1905" i="2"/>
  <c r="AL1905" i="2"/>
  <c r="AF1906" i="2"/>
  <c r="AG1906" i="2"/>
  <c r="AH1906" i="2"/>
  <c r="AJ1906" i="2"/>
  <c r="AK1906" i="2"/>
  <c r="AL1906" i="2"/>
  <c r="AF1907" i="2"/>
  <c r="AG1907" i="2"/>
  <c r="AH1907" i="2"/>
  <c r="AJ1907" i="2"/>
  <c r="AK1907" i="2"/>
  <c r="AL1907" i="2"/>
  <c r="AF1908" i="2"/>
  <c r="AG1908" i="2"/>
  <c r="AH1908" i="2"/>
  <c r="AJ1908" i="2"/>
  <c r="AK1908" i="2"/>
  <c r="AL1908" i="2"/>
  <c r="AF1909" i="2"/>
  <c r="AG1909" i="2"/>
  <c r="AH1909" i="2"/>
  <c r="AJ1909" i="2"/>
  <c r="AK1909" i="2"/>
  <c r="AL1909" i="2"/>
  <c r="AF1910" i="2"/>
  <c r="AG1910" i="2"/>
  <c r="AH1910" i="2"/>
  <c r="AJ1910" i="2"/>
  <c r="AK1910" i="2"/>
  <c r="AL1910" i="2"/>
  <c r="AF1911" i="2"/>
  <c r="AG1911" i="2"/>
  <c r="AH1911" i="2"/>
  <c r="AJ1911" i="2"/>
  <c r="AK1911" i="2"/>
  <c r="AL1911" i="2"/>
  <c r="AF1912" i="2"/>
  <c r="AG1912" i="2"/>
  <c r="AH1912" i="2"/>
  <c r="AJ1912" i="2"/>
  <c r="AK1912" i="2"/>
  <c r="AL1912" i="2"/>
  <c r="AF1913" i="2"/>
  <c r="AG1913" i="2"/>
  <c r="AH1913" i="2"/>
  <c r="AJ1913" i="2"/>
  <c r="AK1913" i="2"/>
  <c r="AL1913" i="2"/>
  <c r="AF1914" i="2"/>
  <c r="AG1914" i="2"/>
  <c r="AH1914" i="2"/>
  <c r="AJ1914" i="2"/>
  <c r="AK1914" i="2"/>
  <c r="AL1914" i="2"/>
  <c r="AF1915" i="2"/>
  <c r="AG1915" i="2"/>
  <c r="AH1915" i="2"/>
  <c r="AJ1915" i="2"/>
  <c r="AK1915" i="2"/>
  <c r="AL1915" i="2"/>
  <c r="AF1916" i="2"/>
  <c r="AG1916" i="2"/>
  <c r="AH1916" i="2"/>
  <c r="AJ1916" i="2"/>
  <c r="AK1916" i="2"/>
  <c r="AL1916" i="2"/>
  <c r="AF1917" i="2"/>
  <c r="AG1917" i="2"/>
  <c r="AH1917" i="2"/>
  <c r="AJ1917" i="2"/>
  <c r="AK1917" i="2"/>
  <c r="AL1917" i="2"/>
  <c r="AF1918" i="2"/>
  <c r="AG1918" i="2"/>
  <c r="AH1918" i="2"/>
  <c r="AJ1918" i="2"/>
  <c r="AK1918" i="2"/>
  <c r="AL1918" i="2"/>
  <c r="AF1919" i="2"/>
  <c r="AG1919" i="2"/>
  <c r="AH1919" i="2"/>
  <c r="AJ1919" i="2"/>
  <c r="AK1919" i="2"/>
  <c r="AL1919" i="2"/>
  <c r="AF1920" i="2"/>
  <c r="AG1920" i="2"/>
  <c r="AH1920" i="2"/>
  <c r="AJ1920" i="2"/>
  <c r="AK1920" i="2"/>
  <c r="AL1920" i="2"/>
  <c r="AF1921" i="2"/>
  <c r="AG1921" i="2"/>
  <c r="AH1921" i="2"/>
  <c r="AJ1921" i="2"/>
  <c r="AK1921" i="2"/>
  <c r="AL1921" i="2"/>
  <c r="AF1922" i="2"/>
  <c r="AG1922" i="2"/>
  <c r="AH1922" i="2"/>
  <c r="AJ1922" i="2"/>
  <c r="AK1922" i="2"/>
  <c r="AL1922" i="2"/>
  <c r="AF1923" i="2"/>
  <c r="AG1923" i="2"/>
  <c r="AH1923" i="2"/>
  <c r="AJ1923" i="2"/>
  <c r="AK1923" i="2"/>
  <c r="AL1923" i="2"/>
  <c r="AF1924" i="2"/>
  <c r="AG1924" i="2"/>
  <c r="AH1924" i="2"/>
  <c r="AJ1924" i="2"/>
  <c r="AK1924" i="2"/>
  <c r="AL1924" i="2"/>
  <c r="AF1925" i="2"/>
  <c r="AG1925" i="2"/>
  <c r="AH1925" i="2"/>
  <c r="AJ1925" i="2"/>
  <c r="AK1925" i="2"/>
  <c r="AL1925" i="2"/>
  <c r="AF1926" i="2"/>
  <c r="AG1926" i="2"/>
  <c r="AH1926" i="2"/>
  <c r="AJ1926" i="2"/>
  <c r="AK1926" i="2"/>
  <c r="AL1926" i="2"/>
  <c r="AF1927" i="2"/>
  <c r="AG1927" i="2"/>
  <c r="AH1927" i="2"/>
  <c r="AJ1927" i="2"/>
  <c r="AK1927" i="2"/>
  <c r="AL1927" i="2"/>
  <c r="AF1928" i="2"/>
  <c r="AG1928" i="2"/>
  <c r="AH1928" i="2"/>
  <c r="AJ1928" i="2"/>
  <c r="AK1928" i="2"/>
  <c r="AL1928" i="2"/>
  <c r="AF1929" i="2"/>
  <c r="AG1929" i="2"/>
  <c r="AH1929" i="2"/>
  <c r="AJ1929" i="2"/>
  <c r="AK1929" i="2"/>
  <c r="AL1929" i="2"/>
  <c r="AF1930" i="2"/>
  <c r="AG1930" i="2"/>
  <c r="AH1930" i="2"/>
  <c r="AJ1930" i="2"/>
  <c r="AK1930" i="2"/>
  <c r="AL1930" i="2"/>
  <c r="AF1931" i="2"/>
  <c r="AG1931" i="2"/>
  <c r="AH1931" i="2"/>
  <c r="AJ1931" i="2"/>
  <c r="AK1931" i="2"/>
  <c r="AL1931" i="2"/>
  <c r="AF1932" i="2"/>
  <c r="AG1932" i="2"/>
  <c r="AH1932" i="2"/>
  <c r="AJ1932" i="2"/>
  <c r="AK1932" i="2"/>
  <c r="AL1932" i="2"/>
  <c r="AF1933" i="2"/>
  <c r="AG1933" i="2"/>
  <c r="AH1933" i="2"/>
  <c r="AJ1933" i="2"/>
  <c r="AK1933" i="2"/>
  <c r="AL1933" i="2"/>
  <c r="AF1934" i="2"/>
  <c r="AG1934" i="2"/>
  <c r="AH1934" i="2"/>
  <c r="AJ1934" i="2"/>
  <c r="AK1934" i="2"/>
  <c r="AL1934" i="2"/>
  <c r="AF1935" i="2"/>
  <c r="AG1935" i="2"/>
  <c r="AH1935" i="2"/>
  <c r="AJ1935" i="2"/>
  <c r="AK1935" i="2"/>
  <c r="AL1935" i="2"/>
  <c r="AF1936" i="2"/>
  <c r="AG1936" i="2"/>
  <c r="AH1936" i="2"/>
  <c r="AJ1936" i="2"/>
  <c r="AK1936" i="2"/>
  <c r="AL1936" i="2"/>
  <c r="AF1937" i="2"/>
  <c r="AG1937" i="2"/>
  <c r="AH1937" i="2"/>
  <c r="AJ1937" i="2"/>
  <c r="AK1937" i="2"/>
  <c r="AL1937" i="2"/>
  <c r="AF1938" i="2"/>
  <c r="AG1938" i="2"/>
  <c r="AH1938" i="2"/>
  <c r="AJ1938" i="2"/>
  <c r="AK1938" i="2"/>
  <c r="AL1938" i="2"/>
  <c r="AF1939" i="2"/>
  <c r="AG1939" i="2"/>
  <c r="AH1939" i="2"/>
  <c r="AJ1939" i="2"/>
  <c r="AK1939" i="2"/>
  <c r="AL1939" i="2"/>
  <c r="AF1940" i="2"/>
  <c r="AG1940" i="2"/>
  <c r="AH1940" i="2"/>
  <c r="AJ1940" i="2"/>
  <c r="AK1940" i="2"/>
  <c r="AL1940" i="2"/>
  <c r="AF1941" i="2"/>
  <c r="AG1941" i="2"/>
  <c r="AH1941" i="2"/>
  <c r="AJ1941" i="2"/>
  <c r="AK1941" i="2"/>
  <c r="AL1941" i="2"/>
  <c r="AF1942" i="2"/>
  <c r="AG1942" i="2"/>
  <c r="AH1942" i="2"/>
  <c r="AJ1942" i="2"/>
  <c r="AK1942" i="2"/>
  <c r="AL1942" i="2"/>
  <c r="AF1943" i="2"/>
  <c r="AG1943" i="2"/>
  <c r="AH1943" i="2"/>
  <c r="AJ1943" i="2"/>
  <c r="AK1943" i="2"/>
  <c r="AL1943" i="2"/>
  <c r="AF1944" i="2"/>
  <c r="AG1944" i="2"/>
  <c r="AH1944" i="2"/>
  <c r="AJ1944" i="2"/>
  <c r="AK1944" i="2"/>
  <c r="AL1944" i="2"/>
  <c r="AF1945" i="2"/>
  <c r="AG1945" i="2"/>
  <c r="AH1945" i="2"/>
  <c r="AJ1945" i="2"/>
  <c r="AK1945" i="2"/>
  <c r="AL1945" i="2"/>
  <c r="AF1946" i="2"/>
  <c r="AG1946" i="2"/>
  <c r="AH1946" i="2"/>
  <c r="AJ1946" i="2"/>
  <c r="AK1946" i="2"/>
  <c r="AL1946" i="2"/>
  <c r="AF1947" i="2"/>
  <c r="AG1947" i="2"/>
  <c r="AH1947" i="2"/>
  <c r="AJ1947" i="2"/>
  <c r="AK1947" i="2"/>
  <c r="AL1947" i="2"/>
  <c r="AF1948" i="2"/>
  <c r="AG1948" i="2"/>
  <c r="AH1948" i="2"/>
  <c r="AJ1948" i="2"/>
  <c r="AK1948" i="2"/>
  <c r="AL1948" i="2"/>
  <c r="AF1949" i="2"/>
  <c r="AG1949" i="2"/>
  <c r="AH1949" i="2"/>
  <c r="AJ1949" i="2"/>
  <c r="AK1949" i="2"/>
  <c r="AL1949" i="2"/>
  <c r="AF1950" i="2"/>
  <c r="AG1950" i="2"/>
  <c r="AH1950" i="2"/>
  <c r="AJ1950" i="2"/>
  <c r="AK1950" i="2"/>
  <c r="AL1950" i="2"/>
  <c r="AF1951" i="2"/>
  <c r="AG1951" i="2"/>
  <c r="AH1951" i="2"/>
  <c r="AJ1951" i="2"/>
  <c r="AK1951" i="2"/>
  <c r="AL1951" i="2"/>
  <c r="AF1952" i="2"/>
  <c r="AG1952" i="2"/>
  <c r="AH1952" i="2"/>
  <c r="AJ1952" i="2"/>
  <c r="AK1952" i="2"/>
  <c r="AL1952" i="2"/>
  <c r="AF1953" i="2"/>
  <c r="AG1953" i="2"/>
  <c r="AH1953" i="2"/>
  <c r="AJ1953" i="2"/>
  <c r="AK1953" i="2"/>
  <c r="AL1953" i="2"/>
  <c r="AF1954" i="2"/>
  <c r="AG1954" i="2"/>
  <c r="AH1954" i="2"/>
  <c r="AJ1954" i="2"/>
  <c r="AK1954" i="2"/>
  <c r="AL1954" i="2"/>
  <c r="AF1955" i="2"/>
  <c r="AG1955" i="2"/>
  <c r="AH1955" i="2"/>
  <c r="AJ1955" i="2"/>
  <c r="AK1955" i="2"/>
  <c r="AL1955" i="2"/>
  <c r="AF1956" i="2"/>
  <c r="AG1956" i="2"/>
  <c r="AH1956" i="2"/>
  <c r="AJ1956" i="2"/>
  <c r="AK1956" i="2"/>
  <c r="AL1956" i="2"/>
  <c r="AF1957" i="2"/>
  <c r="AG1957" i="2"/>
  <c r="AH1957" i="2"/>
  <c r="AJ1957" i="2"/>
  <c r="AK1957" i="2"/>
  <c r="AL1957" i="2"/>
  <c r="AF1958" i="2"/>
  <c r="AG1958" i="2"/>
  <c r="AH1958" i="2"/>
  <c r="AJ1958" i="2"/>
  <c r="AK1958" i="2"/>
  <c r="AL1958" i="2"/>
  <c r="AF1959" i="2"/>
  <c r="AG1959" i="2"/>
  <c r="AH1959" i="2"/>
  <c r="AJ1959" i="2"/>
  <c r="AK1959" i="2"/>
  <c r="AL1959" i="2"/>
  <c r="AF1960" i="2"/>
  <c r="AG1960" i="2"/>
  <c r="AH1960" i="2"/>
  <c r="AJ1960" i="2"/>
  <c r="AK1960" i="2"/>
  <c r="AL1960" i="2"/>
  <c r="AF1961" i="2"/>
  <c r="AG1961" i="2"/>
  <c r="AH1961" i="2"/>
  <c r="AJ1961" i="2"/>
  <c r="AK1961" i="2"/>
  <c r="AL1961" i="2"/>
  <c r="AF1962" i="2"/>
  <c r="AG1962" i="2"/>
  <c r="AH1962" i="2"/>
  <c r="AJ1962" i="2"/>
  <c r="AK1962" i="2"/>
  <c r="AL1962" i="2"/>
  <c r="AF1963" i="2"/>
  <c r="AG1963" i="2"/>
  <c r="AH1963" i="2"/>
  <c r="AJ1963" i="2"/>
  <c r="AK1963" i="2"/>
  <c r="AL1963" i="2"/>
  <c r="AF1964" i="2"/>
  <c r="AG1964" i="2"/>
  <c r="AH1964" i="2"/>
  <c r="AJ1964" i="2"/>
  <c r="AK1964" i="2"/>
  <c r="AL1964" i="2"/>
  <c r="AF1965" i="2"/>
  <c r="AG1965" i="2"/>
  <c r="AH1965" i="2"/>
  <c r="AJ1965" i="2"/>
  <c r="AK1965" i="2"/>
  <c r="AL1965" i="2"/>
  <c r="AF1966" i="2"/>
  <c r="AG1966" i="2"/>
  <c r="AH1966" i="2"/>
  <c r="AJ1966" i="2"/>
  <c r="AK1966" i="2"/>
  <c r="AL1966" i="2"/>
  <c r="AF1967" i="2"/>
  <c r="AG1967" i="2"/>
  <c r="AH1967" i="2"/>
  <c r="AJ1967" i="2"/>
  <c r="AK1967" i="2"/>
  <c r="AL1967" i="2"/>
  <c r="AF1968" i="2"/>
  <c r="AG1968" i="2"/>
  <c r="AH1968" i="2"/>
  <c r="AJ1968" i="2"/>
  <c r="AK1968" i="2"/>
  <c r="AL1968" i="2"/>
  <c r="AF1969" i="2"/>
  <c r="AG1969" i="2"/>
  <c r="AH1969" i="2"/>
  <c r="AJ1969" i="2"/>
  <c r="AK1969" i="2"/>
  <c r="AL1969" i="2"/>
  <c r="AF1970" i="2"/>
  <c r="AG1970" i="2"/>
  <c r="AH1970" i="2"/>
  <c r="AJ1970" i="2"/>
  <c r="AK1970" i="2"/>
  <c r="AL1970" i="2"/>
  <c r="AF1971" i="2"/>
  <c r="AG1971" i="2"/>
  <c r="AH1971" i="2"/>
  <c r="AJ1971" i="2"/>
  <c r="AK1971" i="2"/>
  <c r="AL1971" i="2"/>
  <c r="AF1972" i="2"/>
  <c r="AG1972" i="2"/>
  <c r="AH1972" i="2"/>
  <c r="AJ1972" i="2"/>
  <c r="AK1972" i="2"/>
  <c r="AL1972" i="2"/>
  <c r="AF1973" i="2"/>
  <c r="AG1973" i="2"/>
  <c r="AH1973" i="2"/>
  <c r="AJ1973" i="2"/>
  <c r="AK1973" i="2"/>
  <c r="AL1973" i="2"/>
  <c r="AF1974" i="2"/>
  <c r="AG1974" i="2"/>
  <c r="AH1974" i="2"/>
  <c r="AJ1974" i="2"/>
  <c r="AK1974" i="2"/>
  <c r="AL1974" i="2"/>
  <c r="AF1975" i="2"/>
  <c r="AG1975" i="2"/>
  <c r="AH1975" i="2"/>
  <c r="AJ1975" i="2"/>
  <c r="AK1975" i="2"/>
  <c r="AL1975" i="2"/>
  <c r="AF1976" i="2"/>
  <c r="AG1976" i="2"/>
  <c r="AH1976" i="2"/>
  <c r="AJ1976" i="2"/>
  <c r="AK1976" i="2"/>
  <c r="AL1976" i="2"/>
  <c r="AF1977" i="2"/>
  <c r="AG1977" i="2"/>
  <c r="AH1977" i="2"/>
  <c r="AJ1977" i="2"/>
  <c r="AK1977" i="2"/>
  <c r="AL1977" i="2"/>
  <c r="AF1978" i="2"/>
  <c r="AG1978" i="2"/>
  <c r="AH1978" i="2"/>
  <c r="AJ1978" i="2"/>
  <c r="AK1978" i="2"/>
  <c r="AL1978" i="2"/>
  <c r="AF1979" i="2"/>
  <c r="AG1979" i="2"/>
  <c r="AH1979" i="2"/>
  <c r="AJ1979" i="2"/>
  <c r="AK1979" i="2"/>
  <c r="AL1979" i="2"/>
  <c r="AF1980" i="2"/>
  <c r="AG1980" i="2"/>
  <c r="AH1980" i="2"/>
  <c r="AJ1980" i="2"/>
  <c r="AK1980" i="2"/>
  <c r="AL1980" i="2"/>
  <c r="AF1981" i="2"/>
  <c r="AG1981" i="2"/>
  <c r="AH1981" i="2"/>
  <c r="AJ1981" i="2"/>
  <c r="AK1981" i="2"/>
  <c r="AL1981" i="2"/>
  <c r="AF1982" i="2"/>
  <c r="AG1982" i="2"/>
  <c r="AH1982" i="2"/>
  <c r="AJ1982" i="2"/>
  <c r="AK1982" i="2"/>
  <c r="AL1982" i="2"/>
  <c r="AF1983" i="2"/>
  <c r="AG1983" i="2"/>
  <c r="AH1983" i="2"/>
  <c r="AJ1983" i="2"/>
  <c r="AK1983" i="2"/>
  <c r="AL1983" i="2"/>
  <c r="AF1984" i="2"/>
  <c r="AG1984" i="2"/>
  <c r="AH1984" i="2"/>
  <c r="AJ1984" i="2"/>
  <c r="AK1984" i="2"/>
  <c r="AL1984" i="2"/>
  <c r="AF1985" i="2"/>
  <c r="AG1985" i="2"/>
  <c r="AH1985" i="2"/>
  <c r="AJ1985" i="2"/>
  <c r="AK1985" i="2"/>
  <c r="AL1985" i="2"/>
  <c r="AF1986" i="2"/>
  <c r="AG1986" i="2"/>
  <c r="AH1986" i="2"/>
  <c r="AJ1986" i="2"/>
  <c r="AK1986" i="2"/>
  <c r="AL1986" i="2"/>
  <c r="AF1987" i="2"/>
  <c r="AG1987" i="2"/>
  <c r="AH1987" i="2"/>
  <c r="AJ1987" i="2"/>
  <c r="AK1987" i="2"/>
  <c r="AL1987" i="2"/>
  <c r="AF1988" i="2"/>
  <c r="AG1988" i="2"/>
  <c r="AH1988" i="2"/>
  <c r="AJ1988" i="2"/>
  <c r="AK1988" i="2"/>
  <c r="AL1988" i="2"/>
  <c r="AF1989" i="2"/>
  <c r="AG1989" i="2"/>
  <c r="AH1989" i="2"/>
  <c r="AJ1989" i="2"/>
  <c r="AK1989" i="2"/>
  <c r="AL1989" i="2"/>
  <c r="AF1990" i="2"/>
  <c r="AG1990" i="2"/>
  <c r="AH1990" i="2"/>
  <c r="AJ1990" i="2"/>
  <c r="AK1990" i="2"/>
  <c r="AL1990" i="2"/>
  <c r="AF1991" i="2"/>
  <c r="AG1991" i="2"/>
  <c r="AH1991" i="2"/>
  <c r="AJ1991" i="2"/>
  <c r="AK1991" i="2"/>
  <c r="AL1991" i="2"/>
  <c r="AF1992" i="2"/>
  <c r="AG1992" i="2"/>
  <c r="AH1992" i="2"/>
  <c r="AJ1992" i="2"/>
  <c r="AK1992" i="2"/>
  <c r="AL1992" i="2"/>
  <c r="AF1993" i="2"/>
  <c r="AG1993" i="2"/>
  <c r="AH1993" i="2"/>
  <c r="AJ1993" i="2"/>
  <c r="AK1993" i="2"/>
  <c r="AL1993" i="2"/>
  <c r="AF1994" i="2"/>
  <c r="AG1994" i="2"/>
  <c r="AH1994" i="2"/>
  <c r="AJ1994" i="2"/>
  <c r="AK1994" i="2"/>
  <c r="AL1994" i="2"/>
  <c r="AF1995" i="2"/>
  <c r="AG1995" i="2"/>
  <c r="AH1995" i="2"/>
  <c r="AJ1995" i="2"/>
  <c r="AK1995" i="2"/>
  <c r="AL1995" i="2"/>
  <c r="AF1996" i="2"/>
  <c r="AG1996" i="2"/>
  <c r="AH1996" i="2"/>
  <c r="AJ1996" i="2"/>
  <c r="AK1996" i="2"/>
  <c r="AL1996" i="2"/>
  <c r="AF1997" i="2"/>
  <c r="AG1997" i="2"/>
  <c r="AH1997" i="2"/>
  <c r="AJ1997" i="2"/>
  <c r="AK1997" i="2"/>
  <c r="AL1997" i="2"/>
  <c r="AF1998" i="2"/>
  <c r="AG1998" i="2"/>
  <c r="AH1998" i="2"/>
  <c r="AJ1998" i="2"/>
  <c r="AK1998" i="2"/>
  <c r="AL1998" i="2"/>
  <c r="AF1999" i="2"/>
  <c r="AG1999" i="2"/>
  <c r="AH1999" i="2"/>
  <c r="AJ1999" i="2"/>
  <c r="AK1999" i="2"/>
  <c r="AL1999" i="2"/>
  <c r="AF2000" i="2"/>
  <c r="AG2000" i="2"/>
  <c r="AH2000" i="2"/>
  <c r="AJ2000" i="2"/>
  <c r="AK2000" i="2"/>
  <c r="AL2000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D1" i="2"/>
  <c r="AD2" i="2" s="1" a="1"/>
  <c r="AD2" i="2" s="1"/>
  <c r="AH2" i="2" s="1"/>
  <c r="AJ2" i="2" l="1"/>
  <c r="AM2" i="2"/>
  <c r="AI2" i="2"/>
  <c r="AG2" i="2"/>
  <c r="AL2" i="2"/>
  <c r="AF2" i="2"/>
  <c r="AK2" i="2"/>
  <c r="AE2" i="2"/>
  <c r="AD3" i="2" a="1"/>
  <c r="AD3" i="2" s="1"/>
  <c r="AM3" i="2" l="1"/>
  <c r="AI3" i="2"/>
  <c r="AD4" i="2" a="1"/>
  <c r="AD4" i="2" s="1"/>
  <c r="AF3" i="2"/>
  <c r="AK3" i="2"/>
  <c r="AG3" i="2"/>
  <c r="AL3" i="2"/>
  <c r="AH3" i="2"/>
  <c r="AJ3" i="2"/>
  <c r="AE3" i="2"/>
  <c r="AD5" i="2" l="1" a="1"/>
  <c r="AD5" i="2" s="1"/>
  <c r="AD6" i="2" s="1" a="1"/>
  <c r="AD6" i="2" s="1"/>
  <c r="AM4" i="2"/>
  <c r="AI4" i="2"/>
  <c r="AH4" i="2"/>
  <c r="AJ4" i="2"/>
  <c r="AF4" i="2"/>
  <c r="AK4" i="2"/>
  <c r="AG4" i="2"/>
  <c r="AL4" i="2"/>
  <c r="AE4" i="2"/>
  <c r="AD7" i="2" l="1" a="1"/>
  <c r="AD7" i="2" s="1"/>
  <c r="AL7" i="2" s="1"/>
  <c r="AM6" i="2"/>
  <c r="AI6" i="2"/>
  <c r="AL5" i="2"/>
  <c r="AE5" i="2"/>
  <c r="AG5" i="2"/>
  <c r="AJ5" i="2"/>
  <c r="AK5" i="2"/>
  <c r="AH5" i="2"/>
  <c r="AF5" i="2"/>
  <c r="AM5" i="2"/>
  <c r="AI5" i="2"/>
  <c r="AH6" i="2"/>
  <c r="AJ6" i="2"/>
  <c r="AF6" i="2"/>
  <c r="AK6" i="2"/>
  <c r="AG6" i="2"/>
  <c r="AL6" i="2"/>
  <c r="AE6" i="2"/>
  <c r="AH7" i="2" l="1"/>
  <c r="AF7" i="2"/>
  <c r="AD8" i="2" a="1"/>
  <c r="AD8" i="2" s="1"/>
  <c r="AK8" i="2" s="1"/>
  <c r="AE7" i="2"/>
  <c r="AG7" i="2"/>
  <c r="AJ7" i="2"/>
  <c r="AK7" i="2"/>
  <c r="AM7" i="2"/>
  <c r="AI7" i="2"/>
  <c r="AM8" i="2" l="1"/>
  <c r="AI8" i="2"/>
  <c r="AD9" i="2" a="1"/>
  <c r="AD9" i="2" s="1"/>
  <c r="AE8" i="2"/>
  <c r="AF8" i="2"/>
  <c r="AJ8" i="2"/>
  <c r="AG8" i="2"/>
  <c r="AL8" i="2"/>
  <c r="AH8" i="2"/>
  <c r="AD10" i="2" l="1" a="1"/>
  <c r="AD10" i="2" s="1"/>
  <c r="AM9" i="2"/>
  <c r="AI9" i="2"/>
  <c r="AE9" i="2"/>
  <c r="AG9" i="2"/>
  <c r="AH9" i="2"/>
  <c r="AF9" i="2"/>
  <c r="AL9" i="2"/>
  <c r="AJ9" i="2"/>
  <c r="AK9" i="2"/>
  <c r="AM10" i="2" l="1"/>
  <c r="AI10" i="2"/>
  <c r="AH10" i="2"/>
  <c r="AG10" i="2"/>
  <c r="AF10" i="2"/>
  <c r="AE10" i="2"/>
  <c r="AK10" i="2"/>
  <c r="AJ10" i="2"/>
  <c r="AL10" i="2"/>
  <c r="AD11" i="2" a="1"/>
  <c r="AD11" i="2" s="1"/>
  <c r="AD12" i="2" l="1" a="1"/>
  <c r="AD12" i="2" s="1"/>
  <c r="AD13" i="2" s="1" a="1"/>
  <c r="AD13" i="2" s="1"/>
  <c r="AM11" i="2"/>
  <c r="AI11" i="2"/>
  <c r="AK11" i="2"/>
  <c r="AJ11" i="2"/>
  <c r="AG11" i="2"/>
  <c r="AE11" i="2"/>
  <c r="AL11" i="2"/>
  <c r="AF11" i="2"/>
  <c r="AH11" i="2"/>
  <c r="AD14" i="2" l="1" a="1"/>
  <c r="AD14" i="2" s="1"/>
  <c r="AD15" i="2" s="1" a="1"/>
  <c r="AD15" i="2" s="1"/>
  <c r="AM13" i="2"/>
  <c r="AI13" i="2"/>
  <c r="AF13" i="2"/>
  <c r="AH13" i="2"/>
  <c r="AK13" i="2"/>
  <c r="AJ13" i="2"/>
  <c r="AG13" i="2"/>
  <c r="AE13" i="2"/>
  <c r="AL13" i="2"/>
  <c r="AM12" i="2"/>
  <c r="AI12" i="2"/>
  <c r="AH12" i="2"/>
  <c r="AG12" i="2"/>
  <c r="AJ12" i="2"/>
  <c r="AL12" i="2"/>
  <c r="AF12" i="2"/>
  <c r="AE12" i="2"/>
  <c r="AK12" i="2"/>
  <c r="AM15" i="2" l="1"/>
  <c r="AI15" i="2"/>
  <c r="AK15" i="2"/>
  <c r="AJ15" i="2"/>
  <c r="AF15" i="2"/>
  <c r="AH15" i="2"/>
  <c r="AG15" i="2"/>
  <c r="AE15" i="2"/>
  <c r="AL15" i="2"/>
  <c r="AM14" i="2"/>
  <c r="AI14" i="2"/>
  <c r="AK14" i="2"/>
  <c r="AH14" i="2"/>
  <c r="AG14" i="2"/>
  <c r="AJ14" i="2"/>
  <c r="AL14" i="2"/>
  <c r="AF14" i="2"/>
  <c r="AE14" i="2"/>
  <c r="AD16" i="2" a="1"/>
  <c r="AD16" i="2" s="1"/>
  <c r="AD17" i="2" l="1" a="1"/>
  <c r="AD17" i="2" s="1"/>
  <c r="AI16" i="2"/>
  <c r="AM16" i="2"/>
  <c r="AK16" i="2"/>
  <c r="AH16" i="2"/>
  <c r="AL16" i="2"/>
  <c r="AJ16" i="2"/>
  <c r="AG16" i="2"/>
  <c r="AF16" i="2"/>
  <c r="AE16" i="2"/>
  <c r="AD18" i="2" l="1" a="1"/>
  <c r="AD18" i="2" s="1"/>
  <c r="AI17" i="2"/>
  <c r="AM17" i="2"/>
  <c r="AG17" i="2"/>
  <c r="AE17" i="2"/>
  <c r="AL17" i="2"/>
  <c r="AF17" i="2"/>
  <c r="AH17" i="2"/>
  <c r="AK17" i="2"/>
  <c r="AJ17" i="2"/>
  <c r="AD19" i="2" l="1" a="1"/>
  <c r="AD19" i="2" s="1"/>
  <c r="AM18" i="2"/>
  <c r="AI18" i="2"/>
  <c r="AF18" i="2"/>
  <c r="AE18" i="2"/>
  <c r="AK18" i="2"/>
  <c r="AH18" i="2"/>
  <c r="AG18" i="2"/>
  <c r="AJ18" i="2"/>
  <c r="AL18" i="2"/>
  <c r="AM19" i="2" l="1"/>
  <c r="AI19" i="2"/>
  <c r="AK19" i="2"/>
  <c r="AJ19" i="2"/>
  <c r="AG19" i="2"/>
  <c r="AE19" i="2"/>
  <c r="AL19" i="2"/>
  <c r="AF19" i="2"/>
  <c r="AH19" i="2"/>
  <c r="AD20" i="2" a="1"/>
  <c r="AD20" i="2" s="1"/>
  <c r="AD21" i="2" l="1" a="1"/>
  <c r="AD21" i="2" s="1"/>
  <c r="AM20" i="2"/>
  <c r="AI20" i="2"/>
  <c r="AJ20" i="2"/>
  <c r="AL20" i="2"/>
  <c r="AF20" i="2"/>
  <c r="AE20" i="2"/>
  <c r="AK20" i="2"/>
  <c r="AH20" i="2"/>
  <c r="AG20" i="2"/>
  <c r="AM21" i="2" l="1"/>
  <c r="AI21" i="2"/>
  <c r="AF21" i="2"/>
  <c r="AH21" i="2"/>
  <c r="AK21" i="2"/>
  <c r="AJ21" i="2"/>
  <c r="AG21" i="2"/>
  <c r="AE21" i="2"/>
  <c r="AL21" i="2"/>
  <c r="AD22" i="2" a="1"/>
  <c r="AD22" i="2" s="1"/>
  <c r="AD23" i="2" l="1" a="1"/>
  <c r="AD23" i="2" s="1"/>
  <c r="AM22" i="2"/>
  <c r="AI22" i="2"/>
  <c r="AJ22" i="2"/>
  <c r="AL22" i="2"/>
  <c r="AF22" i="2"/>
  <c r="AE22" i="2"/>
  <c r="AH22" i="2"/>
  <c r="AG22" i="2"/>
  <c r="AK22" i="2"/>
  <c r="AD24" i="2" l="1" a="1"/>
  <c r="AD24" i="2" s="1"/>
  <c r="AM23" i="2"/>
  <c r="AI23" i="2"/>
  <c r="AF23" i="2"/>
  <c r="AH23" i="2"/>
  <c r="AK23" i="2"/>
  <c r="AJ23" i="2"/>
  <c r="AL23" i="2"/>
  <c r="AG23" i="2"/>
  <c r="AE23" i="2"/>
  <c r="AD25" i="2" l="1" a="1"/>
  <c r="AD25" i="2" s="1"/>
  <c r="AD26" i="2" s="1" a="1"/>
  <c r="AD26" i="2" s="1"/>
  <c r="AM24" i="2"/>
  <c r="AI24" i="2"/>
  <c r="AK24" i="2"/>
  <c r="AH24" i="2"/>
  <c r="AL24" i="2"/>
  <c r="AJ24" i="2"/>
  <c r="AG24" i="2"/>
  <c r="AF24" i="2"/>
  <c r="AE24" i="2"/>
  <c r="AD27" i="2" l="1" a="1"/>
  <c r="AD27" i="2" s="1"/>
  <c r="AM26" i="2"/>
  <c r="AI26" i="2"/>
  <c r="AH26" i="2"/>
  <c r="AG26" i="2"/>
  <c r="AJ26" i="2"/>
  <c r="AL26" i="2"/>
  <c r="AF26" i="2"/>
  <c r="AE26" i="2"/>
  <c r="AK26" i="2"/>
  <c r="AM25" i="2"/>
  <c r="AI25" i="2"/>
  <c r="AG25" i="2"/>
  <c r="AE25" i="2"/>
  <c r="AL25" i="2"/>
  <c r="AF25" i="2"/>
  <c r="AH25" i="2"/>
  <c r="AK25" i="2"/>
  <c r="AJ25" i="2"/>
  <c r="AM27" i="2" l="1"/>
  <c r="AI27" i="2"/>
  <c r="AL27" i="2"/>
  <c r="AF27" i="2"/>
  <c r="AH27" i="2"/>
  <c r="AK27" i="2"/>
  <c r="AJ27" i="2"/>
  <c r="AG27" i="2"/>
  <c r="AE27" i="2"/>
  <c r="AD28" i="2" a="1"/>
  <c r="AD28" i="2" s="1"/>
  <c r="AD29" i="2" l="1" a="1"/>
  <c r="AD29" i="2" s="1"/>
  <c r="AM28" i="2"/>
  <c r="AI28" i="2"/>
  <c r="AJ28" i="2"/>
  <c r="AL28" i="2"/>
  <c r="AF28" i="2"/>
  <c r="AE28" i="2"/>
  <c r="AK28" i="2"/>
  <c r="AH28" i="2"/>
  <c r="AG28" i="2"/>
  <c r="AM29" i="2" l="1"/>
  <c r="AI29" i="2"/>
  <c r="AF29" i="2"/>
  <c r="AH29" i="2"/>
  <c r="AK29" i="2"/>
  <c r="AJ29" i="2"/>
  <c r="AG29" i="2"/>
  <c r="AE29" i="2"/>
  <c r="AL29" i="2"/>
  <c r="AD30" i="2" a="1"/>
  <c r="AD30" i="2" s="1"/>
  <c r="AM30" i="2" l="1"/>
  <c r="AI30" i="2"/>
  <c r="AF30" i="2"/>
  <c r="AE30" i="2"/>
  <c r="AH30" i="2"/>
  <c r="AG30" i="2"/>
  <c r="AK30" i="2"/>
  <c r="AJ30" i="2"/>
  <c r="AL30" i="2"/>
  <c r="AD31" i="2" a="1"/>
  <c r="AD31" i="2" s="1"/>
  <c r="AD32" i="2" l="1" a="1"/>
  <c r="AD32" i="2" s="1"/>
  <c r="AM31" i="2"/>
  <c r="AI31" i="2"/>
  <c r="AF31" i="2"/>
  <c r="AH31" i="2"/>
  <c r="AL31" i="2"/>
  <c r="AK31" i="2"/>
  <c r="AJ31" i="2"/>
  <c r="AG31" i="2"/>
  <c r="AE31" i="2"/>
  <c r="N78" i="4"/>
  <c r="O78" i="4" s="1"/>
  <c r="M78" i="4"/>
  <c r="N77" i="4"/>
  <c r="O77" i="4" s="1"/>
  <c r="M77" i="4"/>
  <c r="N76" i="4"/>
  <c r="O76" i="4" s="1"/>
  <c r="M76" i="4"/>
  <c r="N75" i="4"/>
  <c r="O75" i="4" s="1"/>
  <c r="M75" i="4"/>
  <c r="N74" i="4"/>
  <c r="O74" i="4" s="1"/>
  <c r="M74" i="4"/>
  <c r="N73" i="4"/>
  <c r="O73" i="4" s="1"/>
  <c r="M73" i="4"/>
  <c r="N72" i="4"/>
  <c r="O72" i="4" s="1"/>
  <c r="M72" i="4"/>
  <c r="N71" i="4"/>
  <c r="O71" i="4" s="1"/>
  <c r="M71" i="4"/>
  <c r="N70" i="4"/>
  <c r="O70" i="4" s="1"/>
  <c r="M70" i="4"/>
  <c r="N69" i="4"/>
  <c r="O69" i="4" s="1"/>
  <c r="M69" i="4"/>
  <c r="N68" i="4"/>
  <c r="O68" i="4" s="1"/>
  <c r="M68" i="4"/>
  <c r="N67" i="4"/>
  <c r="O67" i="4" s="1"/>
  <c r="M67" i="4"/>
  <c r="N66" i="4"/>
  <c r="O66" i="4" s="1"/>
  <c r="M66" i="4"/>
  <c r="N65" i="4"/>
  <c r="O65" i="4" s="1"/>
  <c r="M65" i="4"/>
  <c r="N64" i="4"/>
  <c r="O64" i="4" s="1"/>
  <c r="M64" i="4"/>
  <c r="N63" i="4"/>
  <c r="O63" i="4" s="1"/>
  <c r="M63" i="4"/>
  <c r="N62" i="4"/>
  <c r="O62" i="4" s="1"/>
  <c r="M62" i="4"/>
  <c r="N61" i="4"/>
  <c r="O61" i="4" s="1"/>
  <c r="M61" i="4"/>
  <c r="N60" i="4"/>
  <c r="O60" i="4" s="1"/>
  <c r="M60" i="4"/>
  <c r="N59" i="4"/>
  <c r="O59" i="4" s="1"/>
  <c r="M59" i="4"/>
  <c r="N58" i="4"/>
  <c r="O58" i="4" s="1"/>
  <c r="M58" i="4"/>
  <c r="N57" i="4"/>
  <c r="O57" i="4" s="1"/>
  <c r="M57" i="4"/>
  <c r="N56" i="4"/>
  <c r="O56" i="4" s="1"/>
  <c r="M56" i="4"/>
  <c r="N55" i="4"/>
  <c r="O55" i="4" s="1"/>
  <c r="M55" i="4"/>
  <c r="N54" i="4"/>
  <c r="O54" i="4" s="1"/>
  <c r="M54" i="4"/>
  <c r="N53" i="4"/>
  <c r="O53" i="4" s="1"/>
  <c r="M53" i="4"/>
  <c r="N52" i="4"/>
  <c r="O52" i="4" s="1"/>
  <c r="M52" i="4"/>
  <c r="N51" i="4"/>
  <c r="O51" i="4" s="1"/>
  <c r="M51" i="4"/>
  <c r="N50" i="4"/>
  <c r="O50" i="4" s="1"/>
  <c r="M50" i="4"/>
  <c r="N49" i="4"/>
  <c r="O49" i="4" s="1"/>
  <c r="M49" i="4"/>
  <c r="N48" i="4"/>
  <c r="O48" i="4" s="1"/>
  <c r="M48" i="4"/>
  <c r="N47" i="4"/>
  <c r="O47" i="4" s="1"/>
  <c r="M47" i="4"/>
  <c r="N46" i="4"/>
  <c r="O46" i="4" s="1"/>
  <c r="M46" i="4"/>
  <c r="N45" i="4"/>
  <c r="O45" i="4" s="1"/>
  <c r="M45" i="4"/>
  <c r="N44" i="4"/>
  <c r="O44" i="4" s="1"/>
  <c r="M44" i="4"/>
  <c r="N43" i="4"/>
  <c r="O43" i="4" s="1"/>
  <c r="M43" i="4"/>
  <c r="N42" i="4"/>
  <c r="O42" i="4" s="1"/>
  <c r="M42" i="4"/>
  <c r="N41" i="4"/>
  <c r="O41" i="4" s="1"/>
  <c r="M41" i="4"/>
  <c r="N40" i="4"/>
  <c r="O40" i="4" s="1"/>
  <c r="M40" i="4"/>
  <c r="N39" i="4"/>
  <c r="O39" i="4" s="1"/>
  <c r="M39" i="4"/>
  <c r="N38" i="4"/>
  <c r="O38" i="4" s="1"/>
  <c r="M38" i="4"/>
  <c r="N37" i="4"/>
  <c r="O37" i="4" s="1"/>
  <c r="M37" i="4"/>
  <c r="N36" i="4"/>
  <c r="O36" i="4" s="1"/>
  <c r="M36" i="4"/>
  <c r="N35" i="4"/>
  <c r="O35" i="4" s="1"/>
  <c r="M35" i="4"/>
  <c r="N34" i="4"/>
  <c r="O34" i="4" s="1"/>
  <c r="M34" i="4"/>
  <c r="N33" i="4"/>
  <c r="O33" i="4" s="1"/>
  <c r="M33" i="4"/>
  <c r="N32" i="4"/>
  <c r="O32" i="4" s="1"/>
  <c r="M32" i="4"/>
  <c r="N31" i="4"/>
  <c r="O31" i="4" s="1"/>
  <c r="M31" i="4"/>
  <c r="N30" i="4"/>
  <c r="O30" i="4" s="1"/>
  <c r="M30" i="4"/>
  <c r="N29" i="4"/>
  <c r="O29" i="4" s="1"/>
  <c r="M29" i="4"/>
  <c r="N28" i="4"/>
  <c r="O28" i="4" s="1"/>
  <c r="M28" i="4"/>
  <c r="N27" i="4"/>
  <c r="O27" i="4" s="1"/>
  <c r="M27" i="4"/>
  <c r="N26" i="4"/>
  <c r="O26" i="4" s="1"/>
  <c r="M26" i="4"/>
  <c r="N25" i="4"/>
  <c r="O25" i="4" s="1"/>
  <c r="M25" i="4"/>
  <c r="N24" i="4"/>
  <c r="O24" i="4" s="1"/>
  <c r="M24" i="4"/>
  <c r="N23" i="4"/>
  <c r="O23" i="4" s="1"/>
  <c r="M23" i="4"/>
  <c r="N22" i="4"/>
  <c r="O22" i="4" s="1"/>
  <c r="M22" i="4"/>
  <c r="N21" i="4"/>
  <c r="O21" i="4" s="1"/>
  <c r="M21" i="4"/>
  <c r="N20" i="4"/>
  <c r="O20" i="4" s="1"/>
  <c r="M20" i="4"/>
  <c r="N19" i="4"/>
  <c r="O19" i="4" s="1"/>
  <c r="M19" i="4"/>
  <c r="N18" i="4"/>
  <c r="O18" i="4" s="1"/>
  <c r="M18" i="4"/>
  <c r="N17" i="4"/>
  <c r="O17" i="4" s="1"/>
  <c r="M17" i="4"/>
  <c r="N16" i="4"/>
  <c r="O16" i="4" s="1"/>
  <c r="M16" i="4"/>
  <c r="N15" i="4"/>
  <c r="O15" i="4" s="1"/>
  <c r="M15" i="4"/>
  <c r="N14" i="4"/>
  <c r="O14" i="4" s="1"/>
  <c r="M14" i="4"/>
  <c r="N13" i="4"/>
  <c r="O13" i="4" s="1"/>
  <c r="M13" i="4"/>
  <c r="N12" i="4"/>
  <c r="O12" i="4" s="1"/>
  <c r="M12" i="4"/>
  <c r="N11" i="4"/>
  <c r="O11" i="4" s="1"/>
  <c r="M11" i="4"/>
  <c r="N10" i="4"/>
  <c r="O10" i="4" s="1"/>
  <c r="M10" i="4"/>
  <c r="N9" i="4"/>
  <c r="O9" i="4" s="1"/>
  <c r="M9" i="4"/>
  <c r="N8" i="4"/>
  <c r="O8" i="4" s="1"/>
  <c r="M8" i="4"/>
  <c r="N7" i="4"/>
  <c r="O7" i="4" s="1"/>
  <c r="M7" i="4"/>
  <c r="N6" i="4"/>
  <c r="O6" i="4" s="1"/>
  <c r="M6" i="4"/>
  <c r="N5" i="4"/>
  <c r="O5" i="4" s="1"/>
  <c r="M5" i="4"/>
  <c r="N4" i="4"/>
  <c r="O4" i="4" s="1"/>
  <c r="M4" i="4"/>
  <c r="N3" i="4"/>
  <c r="O3" i="4" s="1"/>
  <c r="M3" i="4"/>
  <c r="AM32" i="2" l="1"/>
  <c r="AI32" i="2"/>
  <c r="AK32" i="2"/>
  <c r="AF32" i="2"/>
  <c r="AE32" i="2"/>
  <c r="AH32" i="2"/>
  <c r="AL32" i="2"/>
  <c r="AJ32" i="2"/>
  <c r="AG32" i="2"/>
  <c r="AD33" i="2" a="1"/>
  <c r="AD33" i="2" s="1"/>
  <c r="AM33" i="2" l="1"/>
  <c r="AI33" i="2"/>
  <c r="AF33" i="2"/>
  <c r="AH33" i="2"/>
  <c r="AK33" i="2"/>
  <c r="AJ33" i="2"/>
  <c r="AG33" i="2"/>
  <c r="AE33" i="2"/>
  <c r="AL33" i="2"/>
  <c r="AD34" i="2" a="1"/>
  <c r="AD34" i="2" s="1"/>
  <c r="AM34" i="2" l="1"/>
  <c r="AI34" i="2"/>
  <c r="AH34" i="2"/>
  <c r="AG34" i="2"/>
  <c r="AJ34" i="2"/>
  <c r="AL34" i="2"/>
  <c r="AF34" i="2"/>
  <c r="AE34" i="2"/>
  <c r="AK34" i="2"/>
  <c r="AD35" i="2" a="1"/>
  <c r="AD35" i="2" s="1"/>
  <c r="AM35" i="2" l="1"/>
  <c r="AI35" i="2"/>
  <c r="AK35" i="2"/>
  <c r="AJ35" i="2"/>
  <c r="AF35" i="2"/>
  <c r="AH35" i="2"/>
  <c r="AG35" i="2"/>
  <c r="AE35" i="2"/>
  <c r="AL35" i="2"/>
  <c r="AD36" i="2" a="1"/>
  <c r="AD36" i="2" s="1"/>
  <c r="AM36" i="2" l="1"/>
  <c r="AI36" i="2"/>
  <c r="AH36" i="2"/>
  <c r="AG36" i="2"/>
  <c r="AJ36" i="2"/>
  <c r="AL36" i="2"/>
  <c r="AK36" i="2"/>
  <c r="AF36" i="2"/>
  <c r="AE36" i="2"/>
  <c r="AD37" i="2" a="1"/>
  <c r="AD37" i="2" s="1"/>
  <c r="AM37" i="2" l="1"/>
  <c r="AI37" i="2"/>
  <c r="AK37" i="2"/>
  <c r="AJ37" i="2"/>
  <c r="AG37" i="2"/>
  <c r="AE37" i="2"/>
  <c r="AL37" i="2"/>
  <c r="AF37" i="2"/>
  <c r="AH37" i="2"/>
  <c r="AD38" i="2" a="1"/>
  <c r="AD38" i="2" s="1"/>
  <c r="AM38" i="2" l="1"/>
  <c r="AI38" i="2"/>
  <c r="AH38" i="2"/>
  <c r="AG38" i="2"/>
  <c r="AJ38" i="2"/>
  <c r="AL38" i="2"/>
  <c r="AF38" i="2"/>
  <c r="AE38" i="2"/>
  <c r="AK38" i="2"/>
  <c r="AD39" i="2" a="1"/>
  <c r="AD39" i="2" s="1"/>
  <c r="AM39" i="2" l="1"/>
  <c r="AI39" i="2"/>
  <c r="AF39" i="2"/>
  <c r="AH39" i="2"/>
  <c r="AL39" i="2"/>
  <c r="AK39" i="2"/>
  <c r="AJ39" i="2"/>
  <c r="AG39" i="2"/>
  <c r="AE39" i="2"/>
  <c r="AD40" i="2" a="1"/>
  <c r="AD40" i="2" s="1"/>
  <c r="AM40" i="2" l="1"/>
  <c r="AI40" i="2"/>
  <c r="AH40" i="2"/>
  <c r="AL40" i="2"/>
  <c r="AJ40" i="2"/>
  <c r="AG40" i="2"/>
  <c r="AF40" i="2"/>
  <c r="AE40" i="2"/>
  <c r="AK40" i="2"/>
  <c r="AD41" i="2" a="1"/>
  <c r="AD41" i="2" s="1"/>
  <c r="AM41" i="2" l="1"/>
  <c r="AI41" i="2"/>
  <c r="AK41" i="2"/>
  <c r="AJ41" i="2"/>
  <c r="AG41" i="2"/>
  <c r="AE41" i="2"/>
  <c r="AL41" i="2"/>
  <c r="AF41" i="2"/>
  <c r="AH41" i="2"/>
  <c r="AD42" i="2" a="1"/>
  <c r="AD42" i="2" s="1"/>
  <c r="AM42" i="2" l="1"/>
  <c r="AI42" i="2"/>
  <c r="AH42" i="2"/>
  <c r="AG42" i="2"/>
  <c r="AJ42" i="2"/>
  <c r="AL42" i="2"/>
  <c r="AF42" i="2"/>
  <c r="AE42" i="2"/>
  <c r="AK42" i="2"/>
  <c r="AD43" i="2" a="1"/>
  <c r="AD43" i="2" s="1"/>
  <c r="AM43" i="2" l="1"/>
  <c r="AI43" i="2"/>
  <c r="AK43" i="2"/>
  <c r="AJ43" i="2"/>
  <c r="AL43" i="2"/>
  <c r="AF43" i="2"/>
  <c r="AH43" i="2"/>
  <c r="AG43" i="2"/>
  <c r="AE43" i="2"/>
  <c r="AD44" i="2" a="1"/>
  <c r="AD44" i="2" s="1"/>
  <c r="AM44" i="2" l="1"/>
  <c r="AI44" i="2"/>
  <c r="AH44" i="2"/>
  <c r="AG44" i="2"/>
  <c r="AJ44" i="2"/>
  <c r="AL44" i="2"/>
  <c r="AF44" i="2"/>
  <c r="AE44" i="2"/>
  <c r="AK44" i="2"/>
  <c r="AD45" i="2" a="1"/>
  <c r="AD45" i="2" s="1"/>
  <c r="AM45" i="2" l="1"/>
  <c r="AI45" i="2"/>
  <c r="AL45" i="2"/>
  <c r="AF45" i="2"/>
  <c r="AH45" i="2"/>
  <c r="AK45" i="2"/>
  <c r="AJ45" i="2"/>
  <c r="AG45" i="2"/>
  <c r="AE45" i="2"/>
  <c r="AD46" i="2" a="1"/>
  <c r="AD46" i="2" s="1"/>
  <c r="AM46" i="2" l="1"/>
  <c r="AI46" i="2"/>
  <c r="AJ46" i="2"/>
  <c r="AL46" i="2"/>
  <c r="AF46" i="2"/>
  <c r="AE46" i="2"/>
  <c r="AK46" i="2"/>
  <c r="AH46" i="2"/>
  <c r="AG46" i="2"/>
  <c r="AD47" i="2" a="1"/>
  <c r="AD47" i="2" s="1"/>
  <c r="AM47" i="2" l="1"/>
  <c r="AI47" i="2"/>
  <c r="AF47" i="2"/>
  <c r="AH47" i="2"/>
  <c r="AK47" i="2"/>
  <c r="AJ47" i="2"/>
  <c r="AG47" i="2"/>
  <c r="AE47" i="2"/>
  <c r="AL47" i="2"/>
  <c r="AD48" i="2" a="1"/>
  <c r="AD48" i="2" s="1"/>
  <c r="AM48" i="2" l="1"/>
  <c r="AI48" i="2"/>
  <c r="AJ48" i="2"/>
  <c r="AG48" i="2"/>
  <c r="AF48" i="2"/>
  <c r="AE48" i="2"/>
  <c r="AK48" i="2"/>
  <c r="AH48" i="2"/>
  <c r="AL48" i="2"/>
  <c r="AD49" i="2" a="1"/>
  <c r="AD49" i="2" s="1"/>
  <c r="AI49" i="2" l="1"/>
  <c r="AM49" i="2"/>
  <c r="AG49" i="2"/>
  <c r="AE49" i="2"/>
  <c r="AL49" i="2"/>
  <c r="AF49" i="2"/>
  <c r="AH49" i="2"/>
  <c r="AK49" i="2"/>
  <c r="AJ49" i="2"/>
  <c r="AD50" i="2" a="1"/>
  <c r="AD50" i="2" s="1"/>
  <c r="AM50" i="2" l="1"/>
  <c r="AI50" i="2"/>
  <c r="AH50" i="2"/>
  <c r="AG50" i="2"/>
  <c r="AJ50" i="2"/>
  <c r="AL50" i="2"/>
  <c r="AF50" i="2"/>
  <c r="AE50" i="2"/>
  <c r="AK50" i="2"/>
  <c r="AD51" i="2" a="1"/>
  <c r="AD51" i="2" s="1"/>
  <c r="AM51" i="2" l="1"/>
  <c r="AI51" i="2"/>
  <c r="AG51" i="2"/>
  <c r="AE51" i="2"/>
  <c r="AL51" i="2"/>
  <c r="AF51" i="2"/>
  <c r="AH51" i="2"/>
  <c r="AK51" i="2"/>
  <c r="AJ51" i="2"/>
  <c r="AD52" i="2" a="1"/>
  <c r="AD52" i="2" s="1"/>
  <c r="AM52" i="2" l="1"/>
  <c r="AI52" i="2"/>
  <c r="AJ52" i="2"/>
  <c r="AL52" i="2"/>
  <c r="AF52" i="2"/>
  <c r="AE52" i="2"/>
  <c r="AK52" i="2"/>
  <c r="AH52" i="2"/>
  <c r="AG52" i="2"/>
  <c r="AD53" i="2" a="1"/>
  <c r="AD53" i="2" s="1"/>
  <c r="AM53" i="2" l="1"/>
  <c r="AI53" i="2"/>
  <c r="AL53" i="2"/>
  <c r="AF53" i="2"/>
  <c r="AH53" i="2"/>
  <c r="AK53" i="2"/>
  <c r="AJ53" i="2"/>
  <c r="AG53" i="2"/>
  <c r="AE53" i="2"/>
  <c r="AD54" i="2" a="1"/>
  <c r="AD54" i="2" s="1"/>
  <c r="AM54" i="2" l="1"/>
  <c r="AI54" i="2"/>
  <c r="AH54" i="2"/>
  <c r="AG54" i="2"/>
  <c r="AK54" i="2"/>
  <c r="AJ54" i="2"/>
  <c r="AL54" i="2"/>
  <c r="AF54" i="2"/>
  <c r="AE54" i="2"/>
  <c r="AD55" i="2" a="1"/>
  <c r="AD55" i="2" s="1"/>
  <c r="AM55" i="2" l="1"/>
  <c r="AI55" i="2"/>
  <c r="AF55" i="2"/>
  <c r="AH55" i="2"/>
  <c r="AG55" i="2"/>
  <c r="AE55" i="2"/>
  <c r="AL55" i="2"/>
  <c r="AK55" i="2"/>
  <c r="AJ55" i="2"/>
  <c r="AD56" i="2" a="1"/>
  <c r="AD56" i="2" s="1"/>
  <c r="AM56" i="2" l="1"/>
  <c r="AI56" i="2"/>
  <c r="AJ56" i="2"/>
  <c r="AG56" i="2"/>
  <c r="AF56" i="2"/>
  <c r="AE56" i="2"/>
  <c r="AK56" i="2"/>
  <c r="AH56" i="2"/>
  <c r="AL56" i="2"/>
  <c r="AD57" i="2" a="1"/>
  <c r="AD57" i="2" s="1"/>
  <c r="AM57" i="2" l="1"/>
  <c r="AI57" i="2"/>
  <c r="AK57" i="2"/>
  <c r="AJ57" i="2"/>
  <c r="AL57" i="2"/>
  <c r="AF57" i="2"/>
  <c r="AH57" i="2"/>
  <c r="AG57" i="2"/>
  <c r="AE57" i="2"/>
  <c r="AD58" i="2" a="1"/>
  <c r="AD58" i="2" s="1"/>
  <c r="AM58" i="2" l="1"/>
  <c r="AI58" i="2"/>
  <c r="AJ58" i="2"/>
  <c r="AL58" i="2"/>
  <c r="AF58" i="2"/>
  <c r="AE58" i="2"/>
  <c r="AK58" i="2"/>
  <c r="AH58" i="2"/>
  <c r="AG58" i="2"/>
  <c r="AD59" i="2" a="1"/>
  <c r="AD59" i="2" s="1"/>
  <c r="AM59" i="2" l="1"/>
  <c r="AI59" i="2"/>
  <c r="AG59" i="2"/>
  <c r="AL59" i="2"/>
  <c r="AJ59" i="2"/>
  <c r="AF59" i="2"/>
  <c r="AK59" i="2"/>
  <c r="AH59" i="2"/>
  <c r="AE59" i="2"/>
  <c r="AD60" i="2" a="1"/>
  <c r="AD60" i="2" s="1"/>
  <c r="AM60" i="2" l="1"/>
  <c r="AI60" i="2"/>
  <c r="AL60" i="2"/>
  <c r="AK60" i="2"/>
  <c r="AH60" i="2"/>
  <c r="AE60" i="2"/>
  <c r="AJ60" i="2"/>
  <c r="AG60" i="2"/>
  <c r="AF60" i="2"/>
  <c r="AD61" i="2" a="1"/>
  <c r="AD61" i="2" s="1"/>
  <c r="AM61" i="2" l="1"/>
  <c r="AI61" i="2"/>
  <c r="AK61" i="2"/>
  <c r="AE61" i="2"/>
  <c r="AJ61" i="2"/>
  <c r="AL61" i="2"/>
  <c r="AF61" i="2"/>
  <c r="AH61" i="2"/>
  <c r="AG61" i="2"/>
  <c r="AD62" i="2" a="1"/>
  <c r="AD62" i="2" s="1"/>
  <c r="AM62" i="2" l="1"/>
  <c r="AI62" i="2"/>
  <c r="AJ62" i="2"/>
  <c r="AG62" i="2"/>
  <c r="AF62" i="2"/>
  <c r="AL62" i="2"/>
  <c r="AK62" i="2"/>
  <c r="AH62" i="2"/>
  <c r="AE62" i="2"/>
  <c r="AD63" i="2" a="1"/>
  <c r="AD63" i="2" s="1"/>
  <c r="AM63" i="2" l="1"/>
  <c r="AI63" i="2"/>
  <c r="AF63" i="2"/>
  <c r="AH63" i="2"/>
  <c r="AK63" i="2"/>
  <c r="AE63" i="2"/>
  <c r="AG63" i="2"/>
  <c r="AJ63" i="2"/>
  <c r="AL63" i="2"/>
  <c r="AD64" i="2" a="1"/>
  <c r="AD64" i="2" s="1"/>
  <c r="AM64" i="2" l="1"/>
  <c r="AI64" i="2"/>
  <c r="AG64" i="2"/>
  <c r="AK64" i="2"/>
  <c r="AH64" i="2"/>
  <c r="AE64" i="2"/>
  <c r="AJ64" i="2"/>
  <c r="AL64" i="2"/>
  <c r="AF64" i="2"/>
  <c r="AD65" i="2" a="1"/>
  <c r="AD65" i="2" s="1"/>
  <c r="AI65" i="2" l="1"/>
  <c r="AM65" i="2"/>
  <c r="AK65" i="2"/>
  <c r="AE65" i="2"/>
  <c r="AG65" i="2"/>
  <c r="AJ65" i="2"/>
  <c r="AL65" i="2"/>
  <c r="AF65" i="2"/>
  <c r="AH65" i="2"/>
  <c r="AD66" i="2" a="1"/>
  <c r="AD66" i="2" s="1"/>
  <c r="AM66" i="2" l="1"/>
  <c r="AI66" i="2"/>
  <c r="AH66" i="2"/>
  <c r="AE66" i="2"/>
  <c r="AJ66" i="2"/>
  <c r="AG66" i="2"/>
  <c r="AF66" i="2"/>
  <c r="AL66" i="2"/>
  <c r="AK66" i="2"/>
  <c r="AD67" i="2" a="1"/>
  <c r="AD67" i="2" s="1"/>
  <c r="AM67" i="2" l="1"/>
  <c r="AI67" i="2"/>
  <c r="AF67" i="2"/>
  <c r="AH67" i="2"/>
  <c r="AK67" i="2"/>
  <c r="AE67" i="2"/>
  <c r="AG67" i="2"/>
  <c r="AJ67" i="2"/>
  <c r="AL67" i="2"/>
  <c r="AD68" i="2" a="1"/>
  <c r="AD68" i="2" s="1"/>
  <c r="AM68" i="2" l="1"/>
  <c r="AI68" i="2"/>
  <c r="AG68" i="2"/>
  <c r="AF68" i="2"/>
  <c r="AL68" i="2"/>
  <c r="AK68" i="2"/>
  <c r="AH68" i="2"/>
  <c r="AE68" i="2"/>
  <c r="AJ68" i="2"/>
  <c r="AD69" i="2" a="1"/>
  <c r="AD69" i="2" s="1"/>
  <c r="AM69" i="2" l="1"/>
  <c r="AI69" i="2"/>
  <c r="AJ69" i="2"/>
  <c r="AL69" i="2"/>
  <c r="AF69" i="2"/>
  <c r="AH69" i="2"/>
  <c r="AK69" i="2"/>
  <c r="AE69" i="2"/>
  <c r="AG69" i="2"/>
  <c r="AD70" i="2" a="1"/>
  <c r="AD70" i="2" s="1"/>
  <c r="AM70" i="2" l="1"/>
  <c r="AI70" i="2"/>
  <c r="AG70" i="2"/>
  <c r="AF70" i="2"/>
  <c r="AL70" i="2"/>
  <c r="AK70" i="2"/>
  <c r="AH70" i="2"/>
  <c r="AE70" i="2"/>
  <c r="AJ70" i="2"/>
  <c r="AD71" i="2" a="1"/>
  <c r="AD71" i="2" s="1"/>
  <c r="AM71" i="2" l="1"/>
  <c r="AI71" i="2"/>
  <c r="AF71" i="2"/>
  <c r="AH71" i="2"/>
  <c r="AK71" i="2"/>
  <c r="AE71" i="2"/>
  <c r="AG71" i="2"/>
  <c r="AJ71" i="2"/>
  <c r="AL71" i="2"/>
  <c r="AD72" i="2" a="1"/>
  <c r="AD72" i="2" s="1"/>
  <c r="AM72" i="2" l="1"/>
  <c r="AI72" i="2"/>
  <c r="AJ72" i="2"/>
  <c r="AG72" i="2"/>
  <c r="AK72" i="2"/>
  <c r="AL72" i="2"/>
  <c r="AF72" i="2"/>
  <c r="AH72" i="2"/>
  <c r="AE72" i="2"/>
  <c r="AD73" i="2" a="1"/>
  <c r="AD73" i="2" s="1"/>
  <c r="AM73" i="2" l="1"/>
  <c r="AI73" i="2"/>
  <c r="AJ73" i="2"/>
  <c r="AL73" i="2"/>
  <c r="AF73" i="2"/>
  <c r="AH73" i="2"/>
  <c r="AK73" i="2"/>
  <c r="AE73" i="2"/>
  <c r="AG73" i="2"/>
  <c r="AD74" i="2" a="1"/>
  <c r="AD74" i="2" s="1"/>
  <c r="AM74" i="2" l="1"/>
  <c r="AI74" i="2"/>
  <c r="AG74" i="2"/>
  <c r="AF74" i="2"/>
  <c r="AH74" i="2"/>
  <c r="AE74" i="2"/>
  <c r="AJ74" i="2"/>
  <c r="AL74" i="2"/>
  <c r="AK74" i="2"/>
  <c r="AD75" i="2" a="1"/>
  <c r="AD75" i="2" s="1"/>
  <c r="AM75" i="2" l="1"/>
  <c r="AI75" i="2"/>
  <c r="AF75" i="2"/>
  <c r="AH75" i="2"/>
  <c r="AK75" i="2"/>
  <c r="AE75" i="2"/>
  <c r="AG75" i="2"/>
  <c r="AJ75" i="2"/>
  <c r="AL75" i="2"/>
  <c r="AD76" i="2" a="1"/>
  <c r="AD76" i="2" s="1"/>
  <c r="AM76" i="2" l="1"/>
  <c r="AI76" i="2"/>
  <c r="AL76" i="2"/>
  <c r="AK76" i="2"/>
  <c r="AJ76" i="2"/>
  <c r="AH76" i="2"/>
  <c r="AE76" i="2"/>
  <c r="AG76" i="2"/>
  <c r="AF76" i="2"/>
  <c r="AD77" i="2" a="1"/>
  <c r="AD77" i="2" s="1"/>
  <c r="AM77" i="2" l="1"/>
  <c r="AI77" i="2"/>
  <c r="AK77" i="2"/>
  <c r="AE77" i="2"/>
  <c r="AG77" i="2"/>
  <c r="AF77" i="2"/>
  <c r="AH77" i="2"/>
  <c r="AJ77" i="2"/>
  <c r="AL77" i="2"/>
  <c r="AD78" i="2" a="1"/>
  <c r="AD78" i="2" s="1"/>
  <c r="AM78" i="2" l="1"/>
  <c r="AI78" i="2"/>
  <c r="AH78" i="2"/>
  <c r="AE78" i="2"/>
  <c r="AJ78" i="2"/>
  <c r="AG78" i="2"/>
  <c r="AF78" i="2"/>
  <c r="AL78" i="2"/>
  <c r="AK78" i="2"/>
  <c r="AD79" i="2" a="1"/>
  <c r="AD79" i="2" s="1"/>
  <c r="AM79" i="2" l="1"/>
  <c r="AI79" i="2"/>
  <c r="AJ79" i="2"/>
  <c r="AL79" i="2"/>
  <c r="AF79" i="2"/>
  <c r="AH79" i="2"/>
  <c r="AK79" i="2"/>
  <c r="AE79" i="2"/>
  <c r="AG79" i="2"/>
  <c r="AD80" i="2" a="1"/>
  <c r="AD80" i="2" s="1"/>
  <c r="AI80" i="2" l="1"/>
  <c r="AM80" i="2"/>
  <c r="AG80" i="2"/>
  <c r="AK80" i="2"/>
  <c r="AL80" i="2"/>
  <c r="AF80" i="2"/>
  <c r="AH80" i="2"/>
  <c r="AE80" i="2"/>
  <c r="AJ80" i="2"/>
  <c r="AD81" i="2" a="1"/>
  <c r="AD81" i="2" s="1"/>
  <c r="AM81" i="2" l="1"/>
  <c r="AI81" i="2"/>
  <c r="AJ81" i="2"/>
  <c r="AL81" i="2"/>
  <c r="AF81" i="2"/>
  <c r="AH81" i="2"/>
  <c r="AK81" i="2"/>
  <c r="AE81" i="2"/>
  <c r="AG81" i="2"/>
  <c r="AD82" i="2" a="1"/>
  <c r="AD82" i="2" s="1"/>
  <c r="AM82" i="2" l="1"/>
  <c r="AI82" i="2"/>
  <c r="AG82" i="2"/>
  <c r="AF82" i="2"/>
  <c r="AL82" i="2"/>
  <c r="AK82" i="2"/>
  <c r="AH82" i="2"/>
  <c r="AE82" i="2"/>
  <c r="AJ82" i="2"/>
  <c r="AD83" i="2" a="1"/>
  <c r="AD83" i="2" s="1"/>
  <c r="AM83" i="2" l="1"/>
  <c r="AI83" i="2"/>
  <c r="AG83" i="2"/>
  <c r="AJ83" i="2"/>
  <c r="AL83" i="2"/>
  <c r="AF83" i="2"/>
  <c r="AH83" i="2"/>
  <c r="AK83" i="2"/>
  <c r="AE83" i="2"/>
  <c r="AD84" i="2" a="1"/>
  <c r="AD84" i="2" s="1"/>
  <c r="AM84" i="2" l="1"/>
  <c r="AI84" i="2"/>
  <c r="AJ84" i="2"/>
  <c r="AG84" i="2"/>
  <c r="AF84" i="2"/>
  <c r="AH84" i="2"/>
  <c r="AE84" i="2"/>
  <c r="AL84" i="2"/>
  <c r="AK84" i="2"/>
  <c r="AD85" i="2" a="1"/>
  <c r="AD85" i="2" s="1"/>
  <c r="AM85" i="2" l="1"/>
  <c r="AI85" i="2"/>
  <c r="AJ85" i="2"/>
  <c r="AL85" i="2"/>
  <c r="AF85" i="2"/>
  <c r="AH85" i="2"/>
  <c r="AK85" i="2"/>
  <c r="AE85" i="2"/>
  <c r="AG85" i="2"/>
  <c r="AD86" i="2" a="1"/>
  <c r="AD86" i="2" s="1"/>
  <c r="AM86" i="2" l="1"/>
  <c r="AI86" i="2"/>
  <c r="AG86" i="2"/>
  <c r="AF86" i="2"/>
  <c r="AL86" i="2"/>
  <c r="AK86" i="2"/>
  <c r="AH86" i="2"/>
  <c r="AE86" i="2"/>
  <c r="AJ86" i="2"/>
  <c r="AD87" i="2" a="1"/>
  <c r="AD87" i="2" s="1"/>
  <c r="AM87" i="2" l="1"/>
  <c r="AI87" i="2"/>
  <c r="AF87" i="2"/>
  <c r="AH87" i="2"/>
  <c r="AK87" i="2"/>
  <c r="AE87" i="2"/>
  <c r="AG87" i="2"/>
  <c r="AJ87" i="2"/>
  <c r="AL87" i="2"/>
  <c r="AD88" i="2" a="1"/>
  <c r="AD88" i="2" s="1"/>
  <c r="AM88" i="2" l="1"/>
  <c r="AI88" i="2"/>
  <c r="AJ88" i="2"/>
  <c r="AG88" i="2"/>
  <c r="AK88" i="2"/>
  <c r="AH88" i="2"/>
  <c r="AE88" i="2"/>
  <c r="AL88" i="2"/>
  <c r="AF88" i="2"/>
  <c r="AD89" i="2" a="1"/>
  <c r="AD89" i="2" s="1"/>
  <c r="AM89" i="2" l="1"/>
  <c r="AI89" i="2"/>
  <c r="AF89" i="2"/>
  <c r="AH89" i="2"/>
  <c r="AK89" i="2"/>
  <c r="AE89" i="2"/>
  <c r="AG89" i="2"/>
  <c r="AJ89" i="2"/>
  <c r="AL89" i="2"/>
  <c r="AD90" i="2" a="1"/>
  <c r="AD90" i="2" s="1"/>
  <c r="AM90" i="2" l="1"/>
  <c r="AI90" i="2"/>
  <c r="AG90" i="2"/>
  <c r="AF90" i="2"/>
  <c r="AL90" i="2"/>
  <c r="AK90" i="2"/>
  <c r="AH90" i="2"/>
  <c r="AE90" i="2"/>
  <c r="AJ90" i="2"/>
  <c r="AD91" i="2" a="1"/>
  <c r="AD91" i="2" s="1"/>
  <c r="AD92" i="2" s="1" a="1"/>
  <c r="AD92" i="2" s="1"/>
  <c r="AM92" i="2" l="1"/>
  <c r="AI92" i="2"/>
  <c r="AG92" i="2"/>
  <c r="AF92" i="2"/>
  <c r="AJ92" i="2"/>
  <c r="AL92" i="2"/>
  <c r="AK92" i="2"/>
  <c r="AH92" i="2"/>
  <c r="AE92" i="2"/>
  <c r="AD93" i="2" a="1"/>
  <c r="AD93" i="2" s="1"/>
  <c r="AM91" i="2"/>
  <c r="AI91" i="2"/>
  <c r="AG91" i="2"/>
  <c r="AJ91" i="2"/>
  <c r="AL91" i="2"/>
  <c r="AF91" i="2"/>
  <c r="AH91" i="2"/>
  <c r="AK91" i="2"/>
  <c r="AE91" i="2"/>
  <c r="AM93" i="2" l="1"/>
  <c r="AI93" i="2"/>
  <c r="AG93" i="2"/>
  <c r="AJ93" i="2"/>
  <c r="AL93" i="2"/>
  <c r="AF93" i="2"/>
  <c r="AH93" i="2"/>
  <c r="AK93" i="2"/>
  <c r="AE93" i="2"/>
  <c r="AD94" i="2" a="1"/>
  <c r="AD94" i="2" s="1"/>
  <c r="AM94" i="2" l="1"/>
  <c r="AI94" i="2"/>
  <c r="AL94" i="2"/>
  <c r="AK94" i="2"/>
  <c r="AH94" i="2"/>
  <c r="AE94" i="2"/>
  <c r="AJ94" i="2"/>
  <c r="AG94" i="2"/>
  <c r="AF94" i="2"/>
  <c r="AD95" i="2" a="1"/>
  <c r="AD95" i="2" s="1"/>
  <c r="AM95" i="2" l="1"/>
  <c r="AI95" i="2"/>
  <c r="AJ95" i="2"/>
  <c r="AL95" i="2"/>
  <c r="AG95" i="2"/>
  <c r="AF95" i="2"/>
  <c r="AH95" i="2"/>
  <c r="AK95" i="2"/>
  <c r="AE95" i="2"/>
  <c r="AD96" i="2" a="1"/>
  <c r="AD96" i="2" s="1"/>
  <c r="AI96" i="2" l="1"/>
  <c r="AM96" i="2"/>
  <c r="AL96" i="2"/>
  <c r="AF96" i="2"/>
  <c r="AH96" i="2"/>
  <c r="AE96" i="2"/>
  <c r="AJ96" i="2"/>
  <c r="AG96" i="2"/>
  <c r="AK96" i="2"/>
  <c r="AD97" i="2" a="1"/>
  <c r="AD97" i="2" s="1"/>
  <c r="AI97" i="2" l="1"/>
  <c r="AM97" i="2"/>
  <c r="AK97" i="2"/>
  <c r="AE97" i="2"/>
  <c r="AG97" i="2"/>
  <c r="AJ97" i="2"/>
  <c r="AL97" i="2"/>
  <c r="AF97" i="2"/>
  <c r="AH97" i="2"/>
  <c r="AD98" i="2" a="1"/>
  <c r="AD98" i="2" s="1"/>
  <c r="AM98" i="2" l="1"/>
  <c r="AI98" i="2"/>
  <c r="AL98" i="2"/>
  <c r="AK98" i="2"/>
  <c r="AH98" i="2"/>
  <c r="AE98" i="2"/>
  <c r="AJ98" i="2"/>
  <c r="AG98" i="2"/>
  <c r="AF98" i="2"/>
  <c r="AD99" i="2" a="1"/>
  <c r="AD99" i="2" s="1"/>
  <c r="AM99" i="2" l="1"/>
  <c r="AI99" i="2"/>
  <c r="AJ99" i="2"/>
  <c r="AL99" i="2"/>
  <c r="AF99" i="2"/>
  <c r="AH99" i="2"/>
  <c r="AK99" i="2"/>
  <c r="AE99" i="2"/>
  <c r="AG99" i="2"/>
  <c r="AD100" i="2" a="1"/>
  <c r="AD100" i="2" s="1"/>
  <c r="AM100" i="2" l="1"/>
  <c r="AI100" i="2"/>
  <c r="AH100" i="2"/>
  <c r="AE100" i="2"/>
  <c r="AJ100" i="2"/>
  <c r="AG100" i="2"/>
  <c r="AF100" i="2"/>
  <c r="AL100" i="2"/>
  <c r="AK100" i="2"/>
  <c r="AD101" i="2" a="1"/>
  <c r="AD101" i="2" s="1"/>
  <c r="AM101" i="2" l="1"/>
  <c r="AI101" i="2"/>
  <c r="AK101" i="2"/>
  <c r="AE101" i="2"/>
  <c r="AG101" i="2"/>
  <c r="AJ101" i="2"/>
  <c r="AL101" i="2"/>
  <c r="AF101" i="2"/>
  <c r="AH101" i="2"/>
  <c r="AD102" i="2" a="1"/>
  <c r="AD102" i="2" s="1"/>
  <c r="AM102" i="2" l="1"/>
  <c r="AI102" i="2"/>
  <c r="AJ102" i="2"/>
  <c r="AL102" i="2"/>
  <c r="AF102" i="2"/>
  <c r="AH102" i="2"/>
  <c r="AK102" i="2"/>
  <c r="AE102" i="2"/>
  <c r="AG102" i="2"/>
  <c r="AD103" i="2" a="1"/>
  <c r="AD103" i="2" s="1"/>
  <c r="AM103" i="2" l="1"/>
  <c r="AI103" i="2"/>
  <c r="AJ103" i="2"/>
  <c r="AG103" i="2"/>
  <c r="AF103" i="2"/>
  <c r="AL103" i="2"/>
  <c r="AK103" i="2"/>
  <c r="AH103" i="2"/>
  <c r="AE103" i="2"/>
  <c r="AD104" i="2" a="1"/>
  <c r="AD104" i="2" s="1"/>
  <c r="AM104" i="2" l="1"/>
  <c r="AI104" i="2"/>
  <c r="AK104" i="2"/>
  <c r="AE104" i="2"/>
  <c r="AG104" i="2"/>
  <c r="AJ104" i="2"/>
  <c r="AL104" i="2"/>
  <c r="AF104" i="2"/>
  <c r="AH104" i="2"/>
  <c r="AD105" i="2" a="1"/>
  <c r="AD105" i="2" s="1"/>
  <c r="AM105" i="2" l="1"/>
  <c r="AI105" i="2"/>
  <c r="AJ105" i="2"/>
  <c r="AG105" i="2"/>
  <c r="AF105" i="2"/>
  <c r="AL105" i="2"/>
  <c r="AK105" i="2"/>
  <c r="AH105" i="2"/>
  <c r="AE105" i="2"/>
  <c r="AD106" i="2" a="1"/>
  <c r="AD106" i="2" s="1"/>
  <c r="AM106" i="2" l="1"/>
  <c r="AI106" i="2"/>
  <c r="AJ106" i="2"/>
  <c r="AL106" i="2"/>
  <c r="AF106" i="2"/>
  <c r="AH106" i="2"/>
  <c r="AK106" i="2"/>
  <c r="AE106" i="2"/>
  <c r="AG106" i="2"/>
  <c r="AD107" i="2" a="1"/>
  <c r="AD107" i="2" s="1"/>
  <c r="AM107" i="2" l="1"/>
  <c r="AI107" i="2"/>
  <c r="AL107" i="2"/>
  <c r="AK107" i="2"/>
  <c r="AG107" i="2"/>
  <c r="AF107" i="2"/>
  <c r="AH107" i="2"/>
  <c r="AE107" i="2"/>
  <c r="AJ107" i="2"/>
  <c r="AD108" i="2" a="1"/>
  <c r="AD108" i="2" s="1"/>
  <c r="AM108" i="2" l="1"/>
  <c r="AI108" i="2"/>
  <c r="AK108" i="2"/>
  <c r="AE108" i="2"/>
  <c r="AG108" i="2"/>
  <c r="AJ108" i="2"/>
  <c r="AL108" i="2"/>
  <c r="AF108" i="2"/>
  <c r="AH108" i="2"/>
  <c r="AD109" i="2" a="1"/>
  <c r="AD109" i="2" s="1"/>
  <c r="AM109" i="2" l="1"/>
  <c r="AI109" i="2"/>
  <c r="AH109" i="2"/>
  <c r="AE109" i="2"/>
  <c r="AJ109" i="2"/>
  <c r="AG109" i="2"/>
  <c r="AK109" i="2"/>
  <c r="AL109" i="2"/>
  <c r="AF109" i="2"/>
  <c r="AD110" i="2" a="1"/>
  <c r="AD110" i="2" s="1"/>
  <c r="AM110" i="2" l="1"/>
  <c r="AI110" i="2"/>
  <c r="AG110" i="2"/>
  <c r="AJ110" i="2"/>
  <c r="AL110" i="2"/>
  <c r="AF110" i="2"/>
  <c r="AH110" i="2"/>
  <c r="AK110" i="2"/>
  <c r="AE110" i="2"/>
  <c r="AD111" i="2" a="1"/>
  <c r="AD111" i="2" s="1"/>
  <c r="AM111" i="2" l="1"/>
  <c r="AI111" i="2"/>
  <c r="AL111" i="2"/>
  <c r="AK111" i="2"/>
  <c r="AH111" i="2"/>
  <c r="AE111" i="2"/>
  <c r="AJ111" i="2"/>
  <c r="AG111" i="2"/>
  <c r="AF111" i="2"/>
  <c r="AD112" i="2" a="1"/>
  <c r="AD112" i="2" s="1"/>
  <c r="AM112" i="2" l="1"/>
  <c r="AI112" i="2"/>
  <c r="AG112" i="2"/>
  <c r="AJ112" i="2"/>
  <c r="AL112" i="2"/>
  <c r="AF112" i="2"/>
  <c r="AH112" i="2"/>
  <c r="AK112" i="2"/>
  <c r="AE112" i="2"/>
  <c r="AD113" i="2" a="1"/>
  <c r="AD113" i="2" s="1"/>
  <c r="AD114" i="2" s="1" a="1"/>
  <c r="AD114" i="2" s="1"/>
  <c r="AM113" i="2" l="1"/>
  <c r="AI113" i="2"/>
  <c r="AL113" i="2"/>
  <c r="AK113" i="2"/>
  <c r="AH113" i="2"/>
  <c r="AE113" i="2"/>
  <c r="AJ113" i="2"/>
  <c r="AG113" i="2"/>
  <c r="AF113" i="2"/>
  <c r="AM114" i="2"/>
  <c r="AI114" i="2"/>
  <c r="AK114" i="2"/>
  <c r="AE114" i="2"/>
  <c r="AG114" i="2"/>
  <c r="AJ114" i="2"/>
  <c r="AL114" i="2"/>
  <c r="AF114" i="2"/>
  <c r="AH114" i="2"/>
  <c r="AD115" i="2" a="1"/>
  <c r="AD115" i="2" s="1"/>
  <c r="AM115" i="2" l="1"/>
  <c r="AI115" i="2"/>
  <c r="AL115" i="2"/>
  <c r="AK115" i="2"/>
  <c r="AH115" i="2"/>
  <c r="AE115" i="2"/>
  <c r="AJ115" i="2"/>
  <c r="AG115" i="2"/>
  <c r="AF115" i="2"/>
  <c r="AD116" i="2" a="1"/>
  <c r="AD116" i="2" s="1"/>
  <c r="AM116" i="2" l="1"/>
  <c r="AI116" i="2"/>
  <c r="AJ116" i="2"/>
  <c r="AL116" i="2"/>
  <c r="AF116" i="2"/>
  <c r="AH116" i="2"/>
  <c r="AK116" i="2"/>
  <c r="AE116" i="2"/>
  <c r="AG116" i="2"/>
  <c r="AD117" i="2" a="1"/>
  <c r="AD117" i="2" s="1"/>
  <c r="AM117" i="2" l="1"/>
  <c r="AI117" i="2"/>
  <c r="AL117" i="2"/>
  <c r="AF117" i="2"/>
  <c r="AH117" i="2"/>
  <c r="AE117" i="2"/>
  <c r="AJ117" i="2"/>
  <c r="AG117" i="2"/>
  <c r="AK117" i="2"/>
  <c r="AD118" i="2" a="1"/>
  <c r="AD118" i="2" s="1"/>
  <c r="AD119" i="2" s="1" a="1"/>
  <c r="AD119" i="2" s="1"/>
  <c r="AM119" i="2" l="1"/>
  <c r="AI119" i="2"/>
  <c r="AJ119" i="2"/>
  <c r="AG119" i="2"/>
  <c r="AF119" i="2"/>
  <c r="AL119" i="2"/>
  <c r="AK119" i="2"/>
  <c r="AH119" i="2"/>
  <c r="AE119" i="2"/>
  <c r="AD120" i="2" a="1"/>
  <c r="AD120" i="2" s="1"/>
  <c r="AD121" i="2" s="1" a="1"/>
  <c r="AD121" i="2" s="1"/>
  <c r="AM118" i="2"/>
  <c r="AI118" i="2"/>
  <c r="AJ118" i="2"/>
  <c r="AL118" i="2"/>
  <c r="AG118" i="2"/>
  <c r="AF118" i="2"/>
  <c r="AH118" i="2"/>
  <c r="AK118" i="2"/>
  <c r="AE118" i="2"/>
  <c r="AM121" i="2" l="1"/>
  <c r="AI121" i="2"/>
  <c r="AH121" i="2"/>
  <c r="AJ121" i="2"/>
  <c r="AE121" i="2"/>
  <c r="AG121" i="2"/>
  <c r="AF121" i="2"/>
  <c r="AL121" i="2"/>
  <c r="AK121" i="2"/>
  <c r="AM120" i="2"/>
  <c r="AI120" i="2"/>
  <c r="AJ120" i="2"/>
  <c r="AL120" i="2"/>
  <c r="AK120" i="2"/>
  <c r="AE120" i="2"/>
  <c r="AG120" i="2"/>
  <c r="AF120" i="2"/>
  <c r="AH120" i="2"/>
  <c r="AD122" i="2" a="1"/>
  <c r="AD122" i="2" s="1"/>
  <c r="AM122" i="2" l="1"/>
  <c r="AI122" i="2"/>
  <c r="AJ122" i="2"/>
  <c r="AL122" i="2"/>
  <c r="AF122" i="2"/>
  <c r="AH122" i="2"/>
  <c r="AK122" i="2"/>
  <c r="AE122" i="2"/>
  <c r="AG122" i="2"/>
  <c r="AD123" i="2" a="1"/>
  <c r="AD123" i="2" s="1"/>
  <c r="AD124" i="2" s="1" a="1"/>
  <c r="AD124" i="2" s="1"/>
  <c r="AM124" i="2" l="1"/>
  <c r="AI124" i="2"/>
  <c r="AK124" i="2"/>
  <c r="AE124" i="2"/>
  <c r="AG124" i="2"/>
  <c r="AJ124" i="2"/>
  <c r="AL124" i="2"/>
  <c r="AF124" i="2"/>
  <c r="AH124" i="2"/>
  <c r="AM123" i="2"/>
  <c r="AI123" i="2"/>
  <c r="AL123" i="2"/>
  <c r="AK123" i="2"/>
  <c r="AH123" i="2"/>
  <c r="AE123" i="2"/>
  <c r="AJ123" i="2"/>
  <c r="AG123" i="2"/>
  <c r="AF123" i="2"/>
  <c r="AD125" i="2" a="1"/>
  <c r="AD125" i="2" s="1"/>
  <c r="AM125" i="2" l="1"/>
  <c r="AI125" i="2"/>
  <c r="AH125" i="2"/>
  <c r="AE125" i="2"/>
  <c r="AJ125" i="2"/>
  <c r="AG125" i="2"/>
  <c r="AK125" i="2"/>
  <c r="AL125" i="2"/>
  <c r="AF125" i="2"/>
  <c r="AD126" i="2" a="1"/>
  <c r="AD126" i="2" s="1"/>
  <c r="AM126" i="2" l="1"/>
  <c r="AI126" i="2"/>
  <c r="AF126" i="2"/>
  <c r="AH126" i="2"/>
  <c r="AK126" i="2"/>
  <c r="AE126" i="2"/>
  <c r="AG126" i="2"/>
  <c r="AJ126" i="2"/>
  <c r="AL126" i="2"/>
  <c r="AD127" i="2" a="1"/>
  <c r="AD127" i="2" s="1"/>
  <c r="AD128" i="2" s="1" a="1"/>
  <c r="AD128" i="2" s="1"/>
  <c r="AM128" i="2" l="1"/>
  <c r="AI128" i="2"/>
  <c r="AK128" i="2"/>
  <c r="AE128" i="2"/>
  <c r="AG128" i="2"/>
  <c r="AJ128" i="2"/>
  <c r="AL128" i="2"/>
  <c r="AF128" i="2"/>
  <c r="AH128" i="2"/>
  <c r="AM127" i="2"/>
  <c r="AI127" i="2"/>
  <c r="AL127" i="2"/>
  <c r="AK127" i="2"/>
  <c r="AH127" i="2"/>
  <c r="AE127" i="2"/>
  <c r="AJ127" i="2"/>
  <c r="AG127" i="2"/>
  <c r="AF127" i="2"/>
  <c r="AD129" i="2" a="1"/>
  <c r="AD129" i="2" s="1"/>
  <c r="AI129" i="2" l="1"/>
  <c r="AM129" i="2"/>
  <c r="AJ129" i="2"/>
  <c r="AG129" i="2"/>
  <c r="AF129" i="2"/>
  <c r="AL129" i="2"/>
  <c r="AK129" i="2"/>
  <c r="AH129" i="2"/>
  <c r="AE129" i="2"/>
  <c r="AD130" i="2" a="1"/>
  <c r="AD130" i="2" s="1"/>
  <c r="AM130" i="2" l="1"/>
  <c r="AI130" i="2"/>
  <c r="AK130" i="2"/>
  <c r="AE130" i="2"/>
  <c r="AJ130" i="2"/>
  <c r="AL130" i="2"/>
  <c r="AF130" i="2"/>
  <c r="AH130" i="2"/>
  <c r="AG130" i="2"/>
  <c r="AD131" i="2" a="1"/>
  <c r="AD131" i="2" s="1"/>
  <c r="AD132" i="2" s="1" a="1"/>
  <c r="AD132" i="2" s="1"/>
  <c r="AM132" i="2" l="1"/>
  <c r="AI132" i="2"/>
  <c r="AG132" i="2"/>
  <c r="AJ132" i="2"/>
  <c r="AL132" i="2"/>
  <c r="AF132" i="2"/>
  <c r="AH132" i="2"/>
  <c r="AK132" i="2"/>
  <c r="AE132" i="2"/>
  <c r="AD133" i="2" a="1"/>
  <c r="AD133" i="2" s="1"/>
  <c r="AD134" i="2" s="1" a="1"/>
  <c r="AD134" i="2" s="1"/>
  <c r="AM131" i="2"/>
  <c r="AI131" i="2"/>
  <c r="AG131" i="2"/>
  <c r="AF131" i="2"/>
  <c r="AL131" i="2"/>
  <c r="AK131" i="2"/>
  <c r="AH131" i="2"/>
  <c r="AE131" i="2"/>
  <c r="AJ131" i="2"/>
  <c r="AM134" i="2" l="1"/>
  <c r="AI134" i="2"/>
  <c r="AF134" i="2"/>
  <c r="AH134" i="2"/>
  <c r="AK134" i="2"/>
  <c r="AE134" i="2"/>
  <c r="AG134" i="2"/>
  <c r="AJ134" i="2"/>
  <c r="AL134" i="2"/>
  <c r="AM133" i="2"/>
  <c r="AI133" i="2"/>
  <c r="AL133" i="2"/>
  <c r="AF133" i="2"/>
  <c r="AH133" i="2"/>
  <c r="AE133" i="2"/>
  <c r="AJ133" i="2"/>
  <c r="AG133" i="2"/>
  <c r="AK133" i="2"/>
  <c r="AD135" i="2" a="1"/>
  <c r="AD135" i="2" s="1"/>
  <c r="AD136" i="2" s="1" a="1"/>
  <c r="AD136" i="2" s="1"/>
  <c r="AM136" i="2" l="1"/>
  <c r="AI136" i="2"/>
  <c r="AM135" i="2"/>
  <c r="AI135" i="2"/>
  <c r="AH135" i="2"/>
  <c r="AK135" i="2"/>
  <c r="AL135" i="2"/>
  <c r="AJ135" i="2"/>
  <c r="AE135" i="2"/>
  <c r="AF135" i="2"/>
  <c r="AG135" i="2"/>
  <c r="AD137" i="2" a="1"/>
  <c r="AD137" i="2" s="1"/>
  <c r="AJ136" i="2"/>
  <c r="AF136" i="2"/>
  <c r="AK136" i="2"/>
  <c r="AG136" i="2"/>
  <c r="AL136" i="2"/>
  <c r="AH136" i="2"/>
  <c r="AE136" i="2"/>
  <c r="AM137" i="2" l="1"/>
  <c r="AI137" i="2"/>
  <c r="AD138" i="2" a="1"/>
  <c r="AD138" i="2" s="1"/>
  <c r="AG137" i="2"/>
  <c r="AL137" i="2"/>
  <c r="AH137" i="2"/>
  <c r="AJ137" i="2"/>
  <c r="AF137" i="2"/>
  <c r="AK137" i="2"/>
  <c r="AE137" i="2"/>
  <c r="AM138" i="2" l="1"/>
  <c r="AI138" i="2"/>
  <c r="AD139" i="2" a="1"/>
  <c r="AD139" i="2" s="1"/>
  <c r="AJ138" i="2"/>
  <c r="AF138" i="2"/>
  <c r="AK138" i="2"/>
  <c r="AG138" i="2"/>
  <c r="AL138" i="2"/>
  <c r="AH138" i="2"/>
  <c r="AE138" i="2"/>
  <c r="AM139" i="2" l="1"/>
  <c r="AI139" i="2"/>
  <c r="AD140" i="2" a="1"/>
  <c r="AD140" i="2" s="1"/>
  <c r="AG139" i="2"/>
  <c r="AL139" i="2"/>
  <c r="AH139" i="2"/>
  <c r="AJ139" i="2"/>
  <c r="AF139" i="2"/>
  <c r="AK139" i="2"/>
  <c r="AE139" i="2"/>
  <c r="AM140" i="2" l="1"/>
  <c r="AI140" i="2"/>
  <c r="AD141" i="2" a="1"/>
  <c r="AD141" i="2" s="1"/>
  <c r="AJ140" i="2"/>
  <c r="AF140" i="2"/>
  <c r="AK140" i="2"/>
  <c r="AG140" i="2"/>
  <c r="AL140" i="2"/>
  <c r="AH140" i="2"/>
  <c r="AE140" i="2"/>
  <c r="AM141" i="2" l="1"/>
  <c r="AI141" i="2"/>
  <c r="AD142" i="2" a="1"/>
  <c r="AD142" i="2" s="1"/>
  <c r="AG141" i="2"/>
  <c r="AL141" i="2"/>
  <c r="AH141" i="2"/>
  <c r="AJ141" i="2"/>
  <c r="AK141" i="2"/>
  <c r="AF141" i="2"/>
  <c r="AE141" i="2"/>
  <c r="AM142" i="2" l="1"/>
  <c r="AI142" i="2"/>
  <c r="AD143" i="2" a="1"/>
  <c r="AD143" i="2" s="1"/>
  <c r="AJ142" i="2"/>
  <c r="AF142" i="2"/>
  <c r="AK142" i="2"/>
  <c r="AG142" i="2"/>
  <c r="AL142" i="2"/>
  <c r="AH142" i="2"/>
  <c r="AE142" i="2"/>
  <c r="AM143" i="2" l="1"/>
  <c r="AI143" i="2"/>
  <c r="AD144" i="2" a="1"/>
  <c r="AD144" i="2" s="1"/>
  <c r="AG143" i="2"/>
  <c r="AL143" i="2"/>
  <c r="AH143" i="2"/>
  <c r="AJ143" i="2"/>
  <c r="AF143" i="2"/>
  <c r="AK143" i="2"/>
  <c r="AE143" i="2"/>
  <c r="AI144" i="2" l="1"/>
  <c r="AM144" i="2"/>
  <c r="AD145" i="2" a="1"/>
  <c r="AD145" i="2" s="1"/>
  <c r="AJ144" i="2"/>
  <c r="AF144" i="2"/>
  <c r="AK144" i="2"/>
  <c r="AG144" i="2"/>
  <c r="AH144" i="2"/>
  <c r="AL144" i="2"/>
  <c r="AE144" i="2"/>
  <c r="AM145" i="2" l="1"/>
  <c r="AI145" i="2"/>
  <c r="AD146" i="2" a="1"/>
  <c r="AD146" i="2" s="1"/>
  <c r="AH145" i="2"/>
  <c r="AJ145" i="2"/>
  <c r="AF145" i="2"/>
  <c r="AK145" i="2"/>
  <c r="AG145" i="2"/>
  <c r="AL145" i="2"/>
  <c r="AE145" i="2"/>
  <c r="AM146" i="2" l="1"/>
  <c r="AI146" i="2"/>
  <c r="AD147" i="2" a="1"/>
  <c r="AD147" i="2" s="1"/>
  <c r="AF146" i="2"/>
  <c r="AK146" i="2"/>
  <c r="AG146" i="2"/>
  <c r="AL146" i="2"/>
  <c r="AH146" i="2"/>
  <c r="AJ146" i="2"/>
  <c r="AE146" i="2"/>
  <c r="AM147" i="2" l="1"/>
  <c r="AI147" i="2"/>
  <c r="AD148" i="2" a="1"/>
  <c r="AD148" i="2" s="1"/>
  <c r="AH147" i="2"/>
  <c r="AJ147" i="2"/>
  <c r="AF147" i="2"/>
  <c r="AK147" i="2"/>
  <c r="AG147" i="2"/>
  <c r="AL147" i="2"/>
  <c r="AE147" i="2"/>
  <c r="AM148" i="2" l="1"/>
  <c r="AI148" i="2"/>
  <c r="AD149" i="2" a="1"/>
  <c r="AD149" i="2" s="1"/>
  <c r="AF148" i="2"/>
  <c r="AK148" i="2"/>
  <c r="AG148" i="2"/>
  <c r="AL148" i="2"/>
  <c r="AH148" i="2"/>
  <c r="AJ148" i="2"/>
  <c r="AE148" i="2"/>
  <c r="AM149" i="2" l="1"/>
  <c r="AI149" i="2"/>
  <c r="AD150" i="2" a="1"/>
  <c r="AD150" i="2" s="1"/>
  <c r="AH149" i="2"/>
  <c r="AJ149" i="2"/>
  <c r="AF149" i="2"/>
  <c r="AK149" i="2"/>
  <c r="AL149" i="2"/>
  <c r="AG149" i="2"/>
  <c r="AE149" i="2"/>
  <c r="AM150" i="2" l="1"/>
  <c r="AI150" i="2"/>
  <c r="AD151" i="2" a="1"/>
  <c r="AD151" i="2" s="1"/>
  <c r="AF150" i="2"/>
  <c r="AK150" i="2"/>
  <c r="AG150" i="2"/>
  <c r="AL150" i="2"/>
  <c r="AH150" i="2"/>
  <c r="AJ150" i="2"/>
  <c r="AE150" i="2"/>
  <c r="AM151" i="2" l="1"/>
  <c r="AI151" i="2"/>
  <c r="AD152" i="2" a="1"/>
  <c r="AD152" i="2" s="1"/>
  <c r="AH151" i="2"/>
  <c r="AJ151" i="2"/>
  <c r="AF151" i="2"/>
  <c r="AK151" i="2"/>
  <c r="AG151" i="2"/>
  <c r="AL151" i="2"/>
  <c r="AE151" i="2"/>
  <c r="AM152" i="2" l="1"/>
  <c r="AI152" i="2"/>
  <c r="AD153" i="2" a="1"/>
  <c r="AD153" i="2" s="1"/>
  <c r="AF152" i="2"/>
  <c r="AK152" i="2"/>
  <c r="AG152" i="2"/>
  <c r="AL152" i="2"/>
  <c r="AH152" i="2"/>
  <c r="AJ152" i="2"/>
  <c r="AE152" i="2"/>
  <c r="AM153" i="2" l="1"/>
  <c r="AI153" i="2"/>
  <c r="AD154" i="2" a="1"/>
  <c r="AD154" i="2" s="1"/>
  <c r="AH153" i="2"/>
  <c r="AJ153" i="2"/>
  <c r="AF153" i="2"/>
  <c r="AK153" i="2"/>
  <c r="AG153" i="2"/>
  <c r="AL153" i="2"/>
  <c r="AE153" i="2"/>
  <c r="AM154" i="2" l="1"/>
  <c r="AI154" i="2"/>
  <c r="AD155" i="2" a="1"/>
  <c r="AD155" i="2" s="1"/>
  <c r="AF154" i="2"/>
  <c r="AK154" i="2"/>
  <c r="AG154" i="2"/>
  <c r="AL154" i="2"/>
  <c r="AH154" i="2"/>
  <c r="AJ154" i="2"/>
  <c r="AE154" i="2"/>
  <c r="AM155" i="2" l="1"/>
  <c r="AI155" i="2"/>
  <c r="AD156" i="2" a="1"/>
  <c r="AD156" i="2" s="1"/>
  <c r="AH155" i="2"/>
  <c r="AJ155" i="2"/>
  <c r="AF155" i="2"/>
  <c r="AK155" i="2"/>
  <c r="AG155" i="2"/>
  <c r="AL155" i="2"/>
  <c r="AE155" i="2"/>
  <c r="AM156" i="2" l="1"/>
  <c r="AI156" i="2"/>
  <c r="AD157" i="2" a="1"/>
  <c r="AD157" i="2" s="1"/>
  <c r="AF156" i="2"/>
  <c r="AK156" i="2"/>
  <c r="AG156" i="2"/>
  <c r="AL156" i="2"/>
  <c r="AH156" i="2"/>
  <c r="AJ156" i="2"/>
  <c r="AE156" i="2"/>
  <c r="AM157" i="2" l="1"/>
  <c r="AI157" i="2"/>
  <c r="AD158" i="2" a="1"/>
  <c r="AD158" i="2" s="1"/>
  <c r="AH157" i="2"/>
  <c r="AJ157" i="2"/>
  <c r="AF157" i="2"/>
  <c r="AK157" i="2"/>
  <c r="AL157" i="2"/>
  <c r="AG157" i="2"/>
  <c r="AE157" i="2"/>
  <c r="AM158" i="2" l="1"/>
  <c r="AI158" i="2"/>
  <c r="AD159" i="2" a="1"/>
  <c r="AD159" i="2" s="1"/>
  <c r="AF158" i="2"/>
  <c r="AK158" i="2"/>
  <c r="AG158" i="2"/>
  <c r="AL158" i="2"/>
  <c r="AH158" i="2"/>
  <c r="AJ158" i="2"/>
  <c r="AE158" i="2"/>
  <c r="AM159" i="2" l="1"/>
  <c r="AI159" i="2"/>
  <c r="AD160" i="2" a="1"/>
  <c r="AD160" i="2" s="1"/>
  <c r="AH159" i="2"/>
  <c r="AJ159" i="2"/>
  <c r="AF159" i="2"/>
  <c r="AK159" i="2"/>
  <c r="AG159" i="2"/>
  <c r="AL159" i="2"/>
  <c r="AE159" i="2"/>
  <c r="AI160" i="2" l="1"/>
  <c r="AM160" i="2"/>
  <c r="AD161" i="2" a="1"/>
  <c r="AD161" i="2" s="1"/>
  <c r="AF160" i="2"/>
  <c r="AK160" i="2"/>
  <c r="AG160" i="2"/>
  <c r="AL160" i="2"/>
  <c r="AH160" i="2"/>
  <c r="AJ160" i="2"/>
  <c r="AE160" i="2"/>
  <c r="AM161" i="2" l="1"/>
  <c r="AI161" i="2"/>
  <c r="AD162" i="2" a="1"/>
  <c r="AD162" i="2" s="1"/>
  <c r="AH161" i="2"/>
  <c r="AJ161" i="2"/>
  <c r="AF161" i="2"/>
  <c r="AK161" i="2"/>
  <c r="AG161" i="2"/>
  <c r="AL161" i="2"/>
  <c r="AE161" i="2"/>
  <c r="AM162" i="2" l="1"/>
  <c r="AI162" i="2"/>
  <c r="AD163" i="2" a="1"/>
  <c r="AD163" i="2" s="1"/>
  <c r="AF162" i="2"/>
  <c r="AK162" i="2"/>
  <c r="AG162" i="2"/>
  <c r="AL162" i="2"/>
  <c r="AH162" i="2"/>
  <c r="AJ162" i="2"/>
  <c r="AE162" i="2"/>
  <c r="AM163" i="2" l="1"/>
  <c r="AI163" i="2"/>
  <c r="AD164" i="2" a="1"/>
  <c r="AD164" i="2" s="1"/>
  <c r="AH163" i="2"/>
  <c r="AJ163" i="2"/>
  <c r="AF163" i="2"/>
  <c r="AK163" i="2"/>
  <c r="AG163" i="2"/>
  <c r="AL163" i="2"/>
  <c r="AE163" i="2"/>
  <c r="AM164" i="2" l="1"/>
  <c r="AI164" i="2"/>
  <c r="AD165" i="2" a="1"/>
  <c r="AD165" i="2" s="1"/>
  <c r="AF164" i="2"/>
  <c r="AK164" i="2"/>
  <c r="AG164" i="2"/>
  <c r="AL164" i="2"/>
  <c r="AH164" i="2"/>
  <c r="AJ164" i="2"/>
  <c r="AE164" i="2"/>
  <c r="AM165" i="2" l="1"/>
  <c r="AI165" i="2"/>
  <c r="AD166" i="2" a="1"/>
  <c r="AD166" i="2" s="1"/>
  <c r="AH165" i="2"/>
  <c r="AJ165" i="2"/>
  <c r="AF165" i="2"/>
  <c r="AK165" i="2"/>
  <c r="AL165" i="2"/>
  <c r="AG165" i="2"/>
  <c r="AE165" i="2"/>
  <c r="AM166" i="2" l="1"/>
  <c r="AI166" i="2"/>
  <c r="AD167" i="2" a="1"/>
  <c r="AD167" i="2" s="1"/>
  <c r="AF166" i="2"/>
  <c r="AK166" i="2"/>
  <c r="AG166" i="2"/>
  <c r="AL166" i="2"/>
  <c r="AH166" i="2"/>
  <c r="AJ166" i="2"/>
  <c r="AE166" i="2"/>
  <c r="AM167" i="2" l="1"/>
  <c r="AI167" i="2"/>
  <c r="AD168" i="2" a="1"/>
  <c r="AD168" i="2" s="1"/>
  <c r="AH167" i="2"/>
  <c r="AJ167" i="2"/>
  <c r="AF167" i="2"/>
  <c r="AK167" i="2"/>
  <c r="AG167" i="2"/>
  <c r="AL167" i="2"/>
  <c r="AE167" i="2"/>
  <c r="AM168" i="2" l="1"/>
  <c r="AI168" i="2"/>
  <c r="AD169" i="2" a="1"/>
  <c r="AD169" i="2" s="1"/>
  <c r="AF168" i="2"/>
  <c r="AK168" i="2"/>
  <c r="AG168" i="2"/>
  <c r="AL168" i="2"/>
  <c r="AH168" i="2"/>
  <c r="AJ168" i="2"/>
  <c r="AE168" i="2"/>
  <c r="AM169" i="2" l="1"/>
  <c r="AI169" i="2"/>
  <c r="AD170" i="2" a="1"/>
  <c r="AD170" i="2" s="1"/>
  <c r="AH169" i="2"/>
  <c r="AJ169" i="2"/>
  <c r="AF169" i="2"/>
  <c r="AK169" i="2"/>
  <c r="AG169" i="2"/>
  <c r="AL169" i="2"/>
  <c r="AE169" i="2"/>
  <c r="AM170" i="2" l="1"/>
  <c r="AI170" i="2"/>
  <c r="AD171" i="2" a="1"/>
  <c r="AD171" i="2" s="1"/>
  <c r="AF170" i="2"/>
  <c r="AK170" i="2"/>
  <c r="AG170" i="2"/>
  <c r="AL170" i="2"/>
  <c r="AH170" i="2"/>
  <c r="AJ170" i="2"/>
  <c r="AE170" i="2"/>
  <c r="AM171" i="2" l="1"/>
  <c r="AI171" i="2"/>
  <c r="AD172" i="2" a="1"/>
  <c r="AD172" i="2" s="1"/>
  <c r="AH171" i="2"/>
  <c r="AJ171" i="2"/>
  <c r="AF171" i="2"/>
  <c r="AK171" i="2"/>
  <c r="AG171" i="2"/>
  <c r="AL171" i="2"/>
  <c r="AE171" i="2"/>
  <c r="AM172" i="2" l="1"/>
  <c r="AI172" i="2"/>
  <c r="AD173" i="2" a="1"/>
  <c r="AD173" i="2" s="1"/>
  <c r="AF172" i="2"/>
  <c r="AK172" i="2"/>
  <c r="AG172" i="2"/>
  <c r="AL172" i="2"/>
  <c r="AH172" i="2"/>
  <c r="AJ172" i="2"/>
  <c r="AE172" i="2"/>
  <c r="AM173" i="2" l="1"/>
  <c r="AI173" i="2"/>
  <c r="AD174" i="2" a="1"/>
  <c r="AD174" i="2" s="1"/>
  <c r="AH173" i="2"/>
  <c r="AJ173" i="2"/>
  <c r="AF173" i="2"/>
  <c r="AK173" i="2"/>
  <c r="AL173" i="2"/>
  <c r="AG173" i="2"/>
  <c r="AE173" i="2"/>
  <c r="AM174" i="2" l="1"/>
  <c r="AI174" i="2"/>
  <c r="AD175" i="2" a="1"/>
  <c r="AD175" i="2" s="1"/>
  <c r="AF174" i="2"/>
  <c r="AK174" i="2"/>
  <c r="AG174" i="2"/>
  <c r="AL174" i="2"/>
  <c r="AH174" i="2"/>
  <c r="AJ174" i="2"/>
  <c r="AE174" i="2"/>
  <c r="AM175" i="2" l="1"/>
  <c r="AI175" i="2"/>
  <c r="AD176" i="2" a="1"/>
  <c r="AD176" i="2" s="1"/>
  <c r="AH175" i="2"/>
  <c r="AJ175" i="2"/>
  <c r="AF175" i="2"/>
  <c r="AK175" i="2"/>
  <c r="AG175" i="2"/>
  <c r="AL175" i="2"/>
  <c r="AE175" i="2"/>
  <c r="AM176" i="2" l="1"/>
  <c r="AI176" i="2"/>
  <c r="AD177" i="2" a="1"/>
  <c r="AD177" i="2" s="1"/>
  <c r="AF176" i="2"/>
  <c r="AK176" i="2"/>
  <c r="AG176" i="2"/>
  <c r="AL176" i="2"/>
  <c r="AH176" i="2"/>
  <c r="AJ176" i="2"/>
  <c r="AE176" i="2"/>
  <c r="AI177" i="2" l="1"/>
  <c r="AM177" i="2"/>
  <c r="AD178" i="2" a="1"/>
  <c r="AD178" i="2" s="1"/>
  <c r="AH177" i="2"/>
  <c r="AJ177" i="2"/>
  <c r="AF177" i="2"/>
  <c r="AK177" i="2"/>
  <c r="AG177" i="2"/>
  <c r="AL177" i="2"/>
  <c r="AE177" i="2"/>
  <c r="AM178" i="2" l="1"/>
  <c r="AI178" i="2"/>
  <c r="AD179" i="2" a="1"/>
  <c r="AD179" i="2" s="1"/>
  <c r="AF178" i="2"/>
  <c r="AK178" i="2"/>
  <c r="AG178" i="2"/>
  <c r="AL178" i="2"/>
  <c r="AH178" i="2"/>
  <c r="AJ178" i="2"/>
  <c r="AE178" i="2"/>
  <c r="AM179" i="2" l="1"/>
  <c r="AI179" i="2"/>
  <c r="AD180" i="2" a="1"/>
  <c r="AD180" i="2" s="1"/>
  <c r="AH179" i="2"/>
  <c r="AJ179" i="2"/>
  <c r="AF179" i="2"/>
  <c r="AK179" i="2"/>
  <c r="AG179" i="2"/>
  <c r="AL179" i="2"/>
  <c r="AE179" i="2"/>
  <c r="AM180" i="2" l="1"/>
  <c r="AI180" i="2"/>
  <c r="AD181" i="2" a="1"/>
  <c r="AD181" i="2" s="1"/>
  <c r="AF180" i="2"/>
  <c r="AK180" i="2"/>
  <c r="AG180" i="2"/>
  <c r="AL180" i="2"/>
  <c r="AH180" i="2"/>
  <c r="AJ180" i="2"/>
  <c r="AE180" i="2"/>
  <c r="AM181" i="2" l="1"/>
  <c r="AI181" i="2"/>
  <c r="AD182" i="2" a="1"/>
  <c r="AD182" i="2" s="1"/>
  <c r="AH181" i="2"/>
  <c r="AJ181" i="2"/>
  <c r="AF181" i="2"/>
  <c r="AK181" i="2"/>
  <c r="AL181" i="2"/>
  <c r="AG181" i="2"/>
  <c r="AE181" i="2"/>
  <c r="AM182" i="2" l="1"/>
  <c r="AI182" i="2"/>
  <c r="AD183" i="2" a="1"/>
  <c r="AD183" i="2" s="1"/>
  <c r="AF182" i="2"/>
  <c r="AK182" i="2"/>
  <c r="AG182" i="2"/>
  <c r="AL182" i="2"/>
  <c r="AH182" i="2"/>
  <c r="AJ182" i="2"/>
  <c r="AE182" i="2"/>
  <c r="AM183" i="2" l="1"/>
  <c r="AI183" i="2"/>
  <c r="AD184" i="2" a="1"/>
  <c r="AD184" i="2" s="1"/>
  <c r="AH183" i="2"/>
  <c r="AJ183" i="2"/>
  <c r="AF183" i="2"/>
  <c r="AK183" i="2"/>
  <c r="AG183" i="2"/>
  <c r="AL183" i="2"/>
  <c r="AE183" i="2"/>
  <c r="AM184" i="2" l="1"/>
  <c r="AI184" i="2"/>
  <c r="AD185" i="2" a="1"/>
  <c r="AD185" i="2" s="1"/>
  <c r="AF184" i="2"/>
  <c r="AK184" i="2"/>
  <c r="AG184" i="2"/>
  <c r="AL184" i="2"/>
  <c r="AH184" i="2"/>
  <c r="AJ184" i="2"/>
  <c r="AE184" i="2"/>
  <c r="AM185" i="2" l="1"/>
  <c r="AI185" i="2"/>
  <c r="AD186" i="2" a="1"/>
  <c r="AD186" i="2" s="1"/>
  <c r="AH185" i="2"/>
  <c r="AJ185" i="2"/>
  <c r="AF185" i="2"/>
  <c r="AK185" i="2"/>
  <c r="AG185" i="2"/>
  <c r="AL185" i="2"/>
  <c r="AE185" i="2"/>
  <c r="AM186" i="2" l="1"/>
  <c r="AI186" i="2"/>
  <c r="AD187" i="2" a="1"/>
  <c r="AD187" i="2" s="1"/>
  <c r="AF186" i="2"/>
  <c r="AK186" i="2"/>
  <c r="AG186" i="2"/>
  <c r="AL186" i="2"/>
  <c r="AH186" i="2"/>
  <c r="AJ186" i="2"/>
  <c r="AE186" i="2"/>
  <c r="AM187" i="2" l="1"/>
  <c r="AI187" i="2"/>
  <c r="AD188" i="2" a="1"/>
  <c r="AD188" i="2" s="1"/>
  <c r="AH187" i="2"/>
  <c r="AJ187" i="2"/>
  <c r="AF187" i="2"/>
  <c r="AK187" i="2"/>
  <c r="AG187" i="2"/>
  <c r="AL187" i="2"/>
  <c r="AE187" i="2"/>
  <c r="AM188" i="2" l="1"/>
  <c r="AI188" i="2"/>
  <c r="AD189" i="2" a="1"/>
  <c r="AD189" i="2" s="1"/>
  <c r="AF188" i="2"/>
  <c r="AK188" i="2"/>
  <c r="AG188" i="2"/>
  <c r="AL188" i="2"/>
  <c r="AH188" i="2"/>
  <c r="AJ188" i="2"/>
  <c r="AE188" i="2"/>
  <c r="AM189" i="2" l="1"/>
  <c r="AI189" i="2"/>
  <c r="AD190" i="2" a="1"/>
  <c r="AD190" i="2" s="1"/>
  <c r="AH189" i="2"/>
  <c r="AJ189" i="2"/>
  <c r="AF189" i="2"/>
  <c r="AK189" i="2"/>
  <c r="AL189" i="2"/>
  <c r="AG189" i="2"/>
  <c r="AE189" i="2"/>
  <c r="AM190" i="2" l="1"/>
  <c r="AI190" i="2"/>
  <c r="AD191" i="2" a="1"/>
  <c r="AD191" i="2" s="1"/>
  <c r="AF190" i="2"/>
  <c r="AK190" i="2"/>
  <c r="AG190" i="2"/>
  <c r="AL190" i="2"/>
  <c r="AH190" i="2"/>
  <c r="AJ190" i="2"/>
  <c r="AE190" i="2"/>
  <c r="AM191" i="2" l="1"/>
  <c r="AI191" i="2"/>
  <c r="AD192" i="2" a="1"/>
  <c r="AD192" i="2" s="1"/>
  <c r="AH191" i="2"/>
  <c r="AJ191" i="2"/>
  <c r="AF191" i="2"/>
  <c r="AK191" i="2"/>
  <c r="AG191" i="2"/>
  <c r="AL191" i="2"/>
  <c r="AE191" i="2"/>
  <c r="AM192" i="2" l="1"/>
  <c r="AI192" i="2"/>
  <c r="AD193" i="2" a="1"/>
  <c r="AD193" i="2" s="1"/>
  <c r="AF192" i="2"/>
  <c r="AK192" i="2"/>
  <c r="AG192" i="2"/>
  <c r="AL192" i="2"/>
  <c r="AH192" i="2"/>
  <c r="AJ192" i="2"/>
  <c r="AE192" i="2"/>
  <c r="AM193" i="2" l="1"/>
  <c r="AI193" i="2"/>
  <c r="AD194" i="2" a="1"/>
  <c r="AD194" i="2" s="1"/>
  <c r="AH193" i="2"/>
  <c r="AJ193" i="2"/>
  <c r="AF193" i="2"/>
  <c r="AK193" i="2"/>
  <c r="AG193" i="2"/>
  <c r="AL193" i="2"/>
  <c r="AE193" i="2"/>
  <c r="AM194" i="2" l="1"/>
  <c r="AI194" i="2"/>
  <c r="AD195" i="2" a="1"/>
  <c r="AD195" i="2" s="1"/>
  <c r="AF194" i="2"/>
  <c r="AK194" i="2"/>
  <c r="AG194" i="2"/>
  <c r="AL194" i="2"/>
  <c r="AH194" i="2"/>
  <c r="AJ194" i="2"/>
  <c r="AE194" i="2"/>
  <c r="AM195" i="2" l="1"/>
  <c r="AI195" i="2"/>
  <c r="AD196" i="2" a="1"/>
  <c r="AD196" i="2" s="1"/>
  <c r="AH195" i="2"/>
  <c r="AJ195" i="2"/>
  <c r="AF195" i="2"/>
  <c r="AK195" i="2"/>
  <c r="AG195" i="2"/>
  <c r="AL195" i="2"/>
  <c r="AE195" i="2"/>
  <c r="AM196" i="2" l="1"/>
  <c r="AI196" i="2"/>
  <c r="AD197" i="2" a="1"/>
  <c r="AD197" i="2" s="1"/>
  <c r="AF196" i="2"/>
  <c r="AK196" i="2"/>
  <c r="AG196" i="2"/>
  <c r="AL196" i="2"/>
  <c r="AH196" i="2"/>
  <c r="AJ196" i="2"/>
  <c r="AE196" i="2"/>
  <c r="AM197" i="2" l="1"/>
  <c r="AI197" i="2"/>
  <c r="AD198" i="2" a="1"/>
  <c r="AD198" i="2" s="1"/>
  <c r="AH197" i="2"/>
  <c r="AJ197" i="2"/>
  <c r="AF197" i="2"/>
  <c r="AK197" i="2"/>
  <c r="AL197" i="2"/>
  <c r="AG197" i="2"/>
  <c r="AE197" i="2"/>
  <c r="AM198" i="2" l="1"/>
  <c r="AI198" i="2"/>
  <c r="AD199" i="2" a="1"/>
  <c r="AD199" i="2" s="1"/>
  <c r="AF198" i="2"/>
  <c r="AK198" i="2"/>
  <c r="AG198" i="2"/>
  <c r="AL198" i="2"/>
  <c r="AH198" i="2"/>
  <c r="AJ198" i="2"/>
  <c r="AE198" i="2"/>
  <c r="AM199" i="2" l="1"/>
  <c r="AI199" i="2"/>
  <c r="AD200" i="2" a="1"/>
  <c r="AD200" i="2" s="1"/>
  <c r="AH199" i="2"/>
  <c r="AJ199" i="2"/>
  <c r="AF199" i="2"/>
  <c r="AK199" i="2"/>
  <c r="AG199" i="2"/>
  <c r="AL199" i="2"/>
  <c r="AE199" i="2"/>
  <c r="AI200" i="2" l="1"/>
  <c r="AM200" i="2"/>
  <c r="AF200" i="2"/>
  <c r="AK200" i="2"/>
  <c r="AG200" i="2"/>
  <c r="AL200" i="2"/>
  <c r="AH200" i="2"/>
  <c r="AJ200" i="2"/>
  <c r="AE200" i="2"/>
  <c r="C15" i="4" l="1"/>
  <c r="AC2" i="2"/>
  <c r="AC3" i="2" s="1"/>
  <c r="AR14" i="2" s="1"/>
  <c r="AV14" i="2" l="1"/>
  <c r="AU14" i="2"/>
  <c r="AT14" i="2"/>
  <c r="AS14" i="2"/>
  <c r="AR15" i="2"/>
  <c r="AR13" i="2"/>
  <c r="E9" i="4"/>
  <c r="AV13" i="2" l="1"/>
  <c r="AU13" i="2"/>
  <c r="AT13" i="2"/>
  <c r="AS13" i="2"/>
  <c r="D9" i="4"/>
  <c r="G9" i="4"/>
  <c r="C9" i="4"/>
  <c r="F9" i="4"/>
  <c r="B9" i="4"/>
  <c r="H9" i="4"/>
  <c r="AV15" i="2"/>
  <c r="AU15" i="2"/>
  <c r="AT15" i="2"/>
  <c r="AS15" i="2"/>
  <c r="AR12" i="2"/>
  <c r="AR16" i="2"/>
  <c r="E10" i="4"/>
  <c r="E8" i="4"/>
  <c r="H10" i="4" l="1"/>
  <c r="D10" i="4"/>
  <c r="G10" i="4"/>
  <c r="C10" i="4"/>
  <c r="F10" i="4"/>
  <c r="B10" i="4"/>
  <c r="AV16" i="2"/>
  <c r="AU16" i="2"/>
  <c r="AT16" i="2"/>
  <c r="AS16" i="2"/>
  <c r="AV12" i="2"/>
  <c r="AU12" i="2"/>
  <c r="AT12" i="2"/>
  <c r="AS12" i="2"/>
  <c r="C8" i="4"/>
  <c r="F8" i="4"/>
  <c r="B8" i="4"/>
  <c r="H8" i="4"/>
  <c r="D8" i="4"/>
  <c r="G8" i="4"/>
  <c r="AR17" i="2"/>
  <c r="AR11" i="2"/>
  <c r="E11" i="4"/>
  <c r="E7" i="4"/>
  <c r="B7" i="4" l="1"/>
  <c r="H7" i="4"/>
  <c r="D7" i="4"/>
  <c r="G7" i="4"/>
  <c r="C7" i="4"/>
  <c r="F7" i="4"/>
  <c r="B11" i="4"/>
  <c r="H11" i="4"/>
  <c r="D11" i="4"/>
  <c r="G11" i="4"/>
  <c r="C11" i="4"/>
  <c r="F11" i="4"/>
  <c r="AV11" i="2"/>
  <c r="AU11" i="2"/>
  <c r="AT11" i="2"/>
  <c r="AS11" i="2"/>
  <c r="AV17" i="2"/>
  <c r="AU17" i="2"/>
  <c r="AT17" i="2"/>
  <c r="AS17" i="2"/>
  <c r="AR10" i="2"/>
  <c r="AR18" i="2"/>
  <c r="E6" i="4"/>
  <c r="E12" i="4"/>
  <c r="AV18" i="2" l="1"/>
  <c r="AU18" i="2"/>
  <c r="AT18" i="2"/>
  <c r="AS18" i="2"/>
  <c r="C12" i="4"/>
  <c r="F12" i="4"/>
  <c r="B12" i="4"/>
  <c r="H12" i="4"/>
  <c r="D12" i="4"/>
  <c r="G12" i="4"/>
  <c r="AV10" i="2"/>
  <c r="AU10" i="2"/>
  <c r="AT10" i="2"/>
  <c r="AS10" i="2"/>
  <c r="H6" i="4"/>
  <c r="D6" i="4"/>
  <c r="G6" i="4"/>
  <c r="C6" i="4"/>
  <c r="F6" i="4"/>
  <c r="B6" i="4"/>
  <c r="AR19" i="2"/>
  <c r="AR9" i="2"/>
  <c r="E13" i="4"/>
  <c r="E5" i="4"/>
  <c r="D13" i="4" l="1"/>
  <c r="G13" i="4"/>
  <c r="C13" i="4"/>
  <c r="F13" i="4"/>
  <c r="B13" i="4"/>
  <c r="B14" i="4" s="1"/>
  <c r="H13" i="4"/>
  <c r="D5" i="4"/>
  <c r="G5" i="4"/>
  <c r="C5" i="4"/>
  <c r="F5" i="4"/>
  <c r="B5" i="4"/>
  <c r="H5" i="4"/>
  <c r="AV9" i="2"/>
  <c r="AU9" i="2"/>
  <c r="AT9" i="2"/>
  <c r="AS9" i="2"/>
  <c r="AV19" i="2"/>
  <c r="AU19" i="2"/>
  <c r="AT19" i="2"/>
  <c r="AS19" i="2"/>
  <c r="AR8" i="2"/>
  <c r="AR20" i="2"/>
  <c r="E4" i="4"/>
  <c r="AV20" i="2" l="1"/>
  <c r="AU20" i="2"/>
  <c r="AT20" i="2"/>
  <c r="AS20" i="2"/>
  <c r="F4" i="4"/>
  <c r="B4" i="4"/>
  <c r="H4" i="4"/>
  <c r="H14" i="4" s="1"/>
  <c r="C4" i="4"/>
  <c r="C14" i="4" s="1"/>
  <c r="G4" i="4"/>
  <c r="G14" i="4" s="1"/>
  <c r="D4" i="4"/>
  <c r="AV8" i="2"/>
  <c r="AU8" i="2"/>
  <c r="AT8" i="2"/>
  <c r="AS8" i="2"/>
  <c r="AR21" i="2"/>
  <c r="AR7" i="2"/>
  <c r="AV7" i="2" l="1"/>
  <c r="AU7" i="2"/>
  <c r="AT7" i="2"/>
  <c r="AS7" i="2"/>
  <c r="AV21" i="2"/>
  <c r="AU21" i="2"/>
  <c r="AT21" i="2"/>
  <c r="AS21" i="2"/>
  <c r="AR6" i="2"/>
  <c r="AR22" i="2"/>
  <c r="AV22" i="2" l="1"/>
  <c r="AU22" i="2"/>
  <c r="AT22" i="2"/>
  <c r="AS22" i="2"/>
  <c r="AV6" i="2"/>
  <c r="AU6" i="2"/>
  <c r="AT6" i="2"/>
  <c r="AS6" i="2"/>
  <c r="AR5" i="2"/>
  <c r="AR23" i="2"/>
  <c r="AV23" i="2" l="1"/>
  <c r="AU23" i="2"/>
  <c r="AT23" i="2"/>
  <c r="AS23" i="2"/>
  <c r="AV5" i="2"/>
  <c r="AU5" i="2"/>
  <c r="AT5" i="2"/>
  <c r="AS5" i="2"/>
  <c r="AR24" i="2"/>
  <c r="AR4" i="2"/>
  <c r="AV4" i="2" l="1"/>
  <c r="AU4" i="2"/>
  <c r="AT4" i="2"/>
  <c r="AS4" i="2"/>
  <c r="AV24" i="2"/>
  <c r="AU24" i="2"/>
  <c r="AT24" i="2"/>
  <c r="AS24" i="2"/>
  <c r="AR3" i="2"/>
  <c r="AR25" i="2"/>
  <c r="AV25" i="2" l="1"/>
  <c r="AU25" i="2"/>
  <c r="AT25" i="2"/>
  <c r="AS25" i="2"/>
  <c r="AV3" i="2"/>
  <c r="AU3" i="2"/>
  <c r="AT3" i="2"/>
  <c r="AS3" i="2"/>
  <c r="AR26" i="2"/>
  <c r="AR2" i="2"/>
  <c r="AV2" i="2" l="1"/>
  <c r="AU2" i="2"/>
  <c r="AT2" i="2"/>
  <c r="AS2" i="2"/>
  <c r="AV26" i="2"/>
  <c r="AU26" i="2"/>
  <c r="AT26" i="2"/>
  <c r="AP2" i="2" s="1"/>
  <c r="AS26" i="2"/>
  <c r="AP9" i="2" l="1"/>
  <c r="AP15" i="2"/>
  <c r="AP12" i="2"/>
  <c r="AQ26" i="2"/>
  <c r="AO26" i="2"/>
  <c r="AP6" i="2"/>
  <c r="AP24" i="2"/>
  <c r="AP26" i="2"/>
  <c r="AV27" i="2"/>
  <c r="AP21" i="2"/>
  <c r="AP18" i="2"/>
  <c r="AO2" i="2"/>
  <c r="AS27" i="2"/>
  <c r="AQ15" i="2"/>
  <c r="AO13" i="2"/>
  <c r="AQ12" i="2"/>
  <c r="AQ11" i="2"/>
  <c r="AO10" i="2"/>
  <c r="AO20" i="2"/>
  <c r="AO21" i="2"/>
  <c r="AO7" i="2"/>
  <c r="AQ23" i="2"/>
  <c r="AO5" i="2"/>
  <c r="AQ24" i="2"/>
  <c r="AO15" i="2"/>
  <c r="AQ16" i="2"/>
  <c r="AO17" i="2"/>
  <c r="AO18" i="2"/>
  <c r="AO19" i="2"/>
  <c r="AO9" i="2"/>
  <c r="AQ8" i="2"/>
  <c r="AQ22" i="2"/>
  <c r="AQ6" i="2"/>
  <c r="AQ5" i="2"/>
  <c r="AO4" i="2"/>
  <c r="AQ4" i="2"/>
  <c r="AO14" i="2"/>
  <c r="AO16" i="2"/>
  <c r="AO12" i="2"/>
  <c r="AQ18" i="2"/>
  <c r="AQ10" i="2"/>
  <c r="AQ9" i="2"/>
  <c r="AQ21" i="2"/>
  <c r="AO22" i="2"/>
  <c r="AO6" i="2"/>
  <c r="AO24" i="2"/>
  <c r="AQ7" i="2"/>
  <c r="AQ14" i="2"/>
  <c r="AQ13" i="2"/>
  <c r="AQ17" i="2"/>
  <c r="AO11" i="2"/>
  <c r="AQ19" i="2"/>
  <c r="AQ20" i="2"/>
  <c r="AO8" i="2"/>
  <c r="AO23" i="2"/>
  <c r="AQ25" i="2"/>
  <c r="AO25" i="2"/>
  <c r="AO3" i="2"/>
  <c r="AQ3" i="2"/>
  <c r="AP19" i="2"/>
  <c r="AP17" i="2"/>
  <c r="AP25" i="2"/>
  <c r="AP20" i="2"/>
  <c r="AP8" i="2"/>
  <c r="AP5" i="2"/>
  <c r="AP10" i="2"/>
  <c r="AP16" i="2"/>
  <c r="AP23" i="2"/>
  <c r="AP7" i="2"/>
  <c r="AP14" i="2"/>
  <c r="AP13" i="2"/>
  <c r="AP4" i="2"/>
  <c r="AQ2" i="2"/>
  <c r="AT27" i="2"/>
  <c r="AT28" i="2" s="1"/>
  <c r="E62" i="4" s="1"/>
  <c r="AP22" i="2"/>
  <c r="AP11" i="2"/>
  <c r="AU27" i="2"/>
  <c r="AP3" i="2"/>
  <c r="H62" i="4" l="1"/>
  <c r="AV28" i="2"/>
  <c r="C62" i="4" s="1"/>
</calcChain>
</file>

<file path=xl/connections.xml><?xml version="1.0" encoding="utf-8"?>
<connections xmlns="http://schemas.openxmlformats.org/spreadsheetml/2006/main">
  <connection id="1" keepAlive="1" name="Query - Cookies" description="Connection to the 'Cookies' query in the workbook." type="5" refreshedVersion="0" background="1">
    <dbPr connection="provider=Microsoft.Mashup.OleDb.1;data source=$EmbeddedMashup(7783afc5-8aa1-4bd7-a8c8-5188f8c13ee9)$;location=Cookies" command="SELECT * FROM [Cookies]"/>
  </connection>
  <connection id="2" keepAlive="1" name="Query - Data" description="Connection to the 'Data' query in the workbook." type="5" refreshedVersion="4" background="1" saveData="1">
    <dbPr connection="provider=Microsoft.Mashup.OleDb.1;data source=$EmbeddedMashup(7783afc5-8aa1-4bd7-a8c8-5188f8c13ee9)$;location=Data" command="SELECT * FROM [Data]"/>
  </connection>
</connections>
</file>

<file path=xl/sharedStrings.xml><?xml version="1.0" encoding="utf-8"?>
<sst xmlns="http://schemas.openxmlformats.org/spreadsheetml/2006/main" count="3948" uniqueCount="2076">
  <si>
    <t>Column1</t>
  </si>
  <si>
    <t>~xM8YKIspOw4k2OTekhqVI8Ft8AHi/RYKbvLqfKirkbafd1XOqJELenPBKr4Y+FAgbqei34v6NKmWyp1RWvhDhh2jrLXAela7ZdmyrHShEPCaVopVDul8R91B2SbFshwrUsS7yKn5+cmpmaF25zGeiAjHTfTMnii7F2E1slCnkEo=</t>
  </si>
  <si>
    <t>strikePrice</t>
  </si>
  <si>
    <t>expiryDate</t>
  </si>
  <si>
    <t>changeinOpenInterest</t>
  </si>
  <si>
    <t>pchangeinOpenInterest</t>
  </si>
  <si>
    <t>totalTradedVolume</t>
  </si>
  <si>
    <t>impliedVolatility</t>
  </si>
  <si>
    <t>lastPrice</t>
  </si>
  <si>
    <t>pChange</t>
  </si>
  <si>
    <t>totalBuyQuantity</t>
  </si>
  <si>
    <t>totalSellQuantity</t>
  </si>
  <si>
    <t>strikePrice.1</t>
  </si>
  <si>
    <t>expiryDate.1</t>
  </si>
  <si>
    <t>openInterest</t>
  </si>
  <si>
    <t>changeinOpenInterest.1</t>
  </si>
  <si>
    <t>pchangeinOpenInterest.1</t>
  </si>
  <si>
    <t>totalTradedVolume.1</t>
  </si>
  <si>
    <t>impliedVolatility.1</t>
  </si>
  <si>
    <t>lastPrice.1</t>
  </si>
  <si>
    <t>pChange.1</t>
  </si>
  <si>
    <t>totalBuyQuantity.1</t>
  </si>
  <si>
    <t>totalSellQuantity.1</t>
  </si>
  <si>
    <t>change</t>
  </si>
  <si>
    <t>openInterest.1</t>
  </si>
  <si>
    <t>change.1</t>
  </si>
  <si>
    <t>25-Mar-2021</t>
  </si>
  <si>
    <t>24-Jun-2021</t>
  </si>
  <si>
    <t>29-Dec-2022</t>
  </si>
  <si>
    <t>30-Dec-2021</t>
  </si>
  <si>
    <t>30-Jun-2022</t>
  </si>
  <si>
    <t>30-Sep-2021</t>
  </si>
  <si>
    <t>29-Jun-2023</t>
  </si>
  <si>
    <t>25-Feb-2021</t>
  </si>
  <si>
    <t>18-Feb-2021</t>
  </si>
  <si>
    <t>11-Feb-2021</t>
  </si>
  <si>
    <t>04-Mar-2021</t>
  </si>
  <si>
    <t>10-Mar-2021</t>
  </si>
  <si>
    <t>18-Mar-2021</t>
  </si>
  <si>
    <t>26-Jun-2025</t>
  </si>
  <si>
    <t>underlyingValue</t>
  </si>
  <si>
    <t>underlyingValue.1</t>
  </si>
  <si>
    <t>Strike</t>
  </si>
  <si>
    <t>OI</t>
  </si>
  <si>
    <t>Chg OI</t>
  </si>
  <si>
    <t>LTP</t>
  </si>
  <si>
    <t>Time</t>
  </si>
  <si>
    <t>Minute</t>
  </si>
  <si>
    <t>Chg in OI</t>
  </si>
  <si>
    <t>CE (Chg OI)</t>
  </si>
  <si>
    <t>PE (Chg OI)</t>
  </si>
  <si>
    <t>Difference</t>
  </si>
  <si>
    <t>Signal</t>
  </si>
  <si>
    <t>Excess</t>
  </si>
  <si>
    <t>Nifty</t>
  </si>
  <si>
    <t>CE</t>
  </si>
  <si>
    <t>PE</t>
  </si>
  <si>
    <t>Total</t>
  </si>
  <si>
    <t>CE OI</t>
  </si>
  <si>
    <t>PE OI</t>
  </si>
  <si>
    <t>OI PCR</t>
  </si>
  <si>
    <t>CE Vol</t>
  </si>
  <si>
    <t>PE Vol</t>
  </si>
  <si>
    <t>Vol PCR</t>
  </si>
  <si>
    <t>Max Pain -</t>
  </si>
  <si>
    <t>OI PCR -</t>
  </si>
  <si>
    <t>Vol PCR -</t>
  </si>
  <si>
    <t>01-Apr-2021</t>
  </si>
  <si>
    <t>Column2</t>
  </si>
  <si>
    <t>Sr 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</si>
  <si>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</si>
  <si>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</si>
  <si>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</si>
  <si>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</si>
  <si>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</si>
  <si>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</si>
  <si>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</si>
  <si>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</si>
  <si>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</si>
  <si>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</si>
  <si>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</si>
  <si>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</si>
  <si>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</si>
  <si>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</si>
  <si>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</si>
  <si>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</si>
  <si>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</si>
  <si>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</si>
  <si>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</si>
  <si>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</si>
  <si>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</si>
  <si>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</si>
  <si>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</si>
  <si>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</si>
  <si>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</si>
  <si>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</si>
  <si>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</si>
  <si>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</si>
  <si>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</si>
  <si>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</si>
  <si>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</si>
  <si>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</si>
  <si>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</si>
  <si>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</si>
  <si>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</si>
  <si>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</si>
  <si>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</si>
  <si>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</si>
  <si>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</si>
  <si>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</si>
  <si>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</si>
  <si>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</si>
  <si>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</si>
  <si>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</si>
  <si>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</si>
  <si>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</si>
  <si>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</si>
  <si>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</si>
  <si>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</si>
  <si>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</si>
  <si>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</si>
  <si>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</si>
  <si>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</si>
  <si>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</si>
  <si>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</si>
  <si>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</si>
  <si>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</si>
  <si>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</si>
  <si>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</si>
  <si>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</si>
  <si>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</si>
  <si>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</si>
  <si>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</si>
  <si>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</si>
  <si>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</si>
  <si>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</si>
  <si>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</si>
  <si>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</si>
  <si>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</si>
  <si>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</si>
  <si>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</si>
  <si>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</si>
  <si>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</si>
  <si>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</si>
  <si>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</si>
  <si>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</si>
  <si>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</si>
  <si>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</si>
  <si>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</si>
  <si>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</si>
  <si>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</si>
  <si>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</si>
  <si>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</si>
  <si>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</si>
  <si>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</si>
  <si>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</si>
  <si>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</si>
  <si>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</si>
  <si>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</si>
  <si>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</si>
  <si>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</si>
  <si>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</si>
  <si>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</si>
  <si>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</si>
  <si>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</si>
  <si>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</si>
  <si>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</si>
  <si>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</si>
  <si>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</si>
  <si>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</si>
  <si>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</si>
  <si>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</si>
  <si>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</si>
  <si>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</si>
  <si>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</si>
  <si>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</si>
  <si>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</si>
  <si>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</si>
  <si>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</si>
  <si>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</si>
  <si>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</si>
  <si>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</si>
  <si>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</si>
  <si>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</si>
  <si>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</si>
  <si>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</si>
  <si>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</si>
  <si>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</si>
  <si>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</si>
  <si>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</si>
  <si>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</si>
  <si>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</si>
  <si>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</si>
  <si>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</si>
  <si>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</si>
  <si>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</si>
  <si>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</si>
  <si>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</si>
  <si>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</si>
  <si>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</si>
  <si>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</si>
  <si>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</si>
  <si>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</si>
  <si>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</si>
  <si>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</si>
  <si>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</si>
  <si>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</si>
  <si>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</si>
  <si>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</si>
  <si>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</si>
  <si>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</si>
  <si>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</si>
  <si>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</si>
  <si>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</si>
  <si>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</si>
  <si>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</si>
  <si>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</si>
  <si>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</si>
  <si>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</si>
  <si>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</si>
  <si>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</si>
  <si>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</si>
  <si>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</si>
  <si>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</si>
  <si>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</si>
  <si>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</si>
  <si>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</si>
  <si>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</si>
  <si>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</si>
  <si>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</si>
  <si>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</si>
  <si>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</si>
  <si>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</si>
  <si>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</si>
  <si>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</si>
  <si>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</si>
  <si>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</si>
  <si>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</si>
  <si>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</si>
  <si>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</si>
  <si>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</si>
  <si>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</si>
  <si>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</si>
  <si>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</si>
  <si>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</si>
  <si>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</si>
  <si>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</si>
  <si>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</si>
  <si>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</si>
  <si>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</si>
  <si>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</si>
  <si>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</si>
  <si>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</si>
  <si>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</si>
  <si>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</si>
  <si>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</si>
  <si>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</si>
  <si>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</si>
  <si>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</si>
  <si>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</si>
  <si>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</si>
  <si>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</si>
  <si>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</si>
  <si>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</si>
  <si>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</si>
  <si>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</si>
  <si>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</si>
  <si>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</si>
  <si>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</si>
  <si>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</si>
  <si>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</si>
  <si>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</si>
  <si>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</si>
  <si>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</si>
  <si>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</si>
  <si>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</si>
  <si>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</si>
  <si>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</si>
  <si>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</si>
  <si>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</si>
  <si>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</si>
  <si>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</si>
  <si>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</si>
  <si>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</si>
  <si>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</si>
  <si>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</si>
  <si>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</si>
  <si>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</si>
  <si>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</si>
  <si>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</si>
  <si>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</si>
  <si>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</si>
  <si>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</si>
  <si>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</si>
  <si>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</si>
  <si>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</si>
  <si>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</si>
  <si>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</si>
  <si>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</si>
  <si>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</si>
  <si>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</si>
  <si>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</si>
  <si>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</si>
  <si>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</si>
  <si>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</si>
  <si>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</si>
  <si>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</si>
  <si>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</si>
  <si>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</si>
  <si>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</si>
  <si>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</si>
  <si>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</si>
  <si>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</si>
  <si>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</si>
  <si>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</si>
  <si>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</si>
  <si>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</si>
  <si>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</si>
  <si>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</si>
  <si>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</si>
  <si>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</si>
  <si>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</si>
  <si>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</si>
  <si>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</si>
  <si>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</si>
  <si>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</si>
  <si>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</si>
  <si>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</si>
  <si>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</si>
  <si>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</si>
  <si>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</si>
  <si>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</si>
  <si>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</si>
  <si>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</si>
  <si>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</si>
  <si>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</si>
  <si>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</si>
  <si>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</si>
  <si>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</si>
  <si>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</si>
  <si>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</si>
  <si>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</si>
  <si>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</si>
  <si>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</si>
  <si>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</si>
  <si>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</si>
  <si>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</si>
  <si>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</si>
  <si>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</si>
  <si>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</si>
  <si>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</si>
  <si>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</si>
  <si>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</si>
  <si>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</si>
  <si>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</si>
  <si>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</si>
  <si>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</si>
  <si>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</si>
  <si>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</si>
  <si>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</si>
  <si>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</si>
  <si>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</si>
  <si>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</si>
  <si>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</si>
  <si>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</si>
  <si>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</si>
  <si>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</si>
  <si>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</si>
  <si>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</si>
  <si>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</si>
  <si>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</si>
  <si>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</si>
  <si>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</si>
  <si>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</si>
  <si>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</si>
  <si>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</si>
  <si>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</si>
  <si>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</si>
  <si>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</si>
  <si>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</si>
  <si>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</si>
  <si>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</si>
  <si>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</si>
  <si>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</si>
  <si>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</si>
  <si>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</si>
  <si>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</si>
  <si>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</si>
  <si>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</si>
  <si>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</si>
  <si>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</si>
  <si>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</si>
  <si>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</si>
  <si>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</si>
  <si>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</si>
  <si>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</si>
  <si>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</si>
  <si>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</si>
  <si>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</si>
  <si>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</si>
  <si>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</si>
  <si>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</si>
  <si>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</si>
  <si>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</si>
  <si>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</si>
  <si>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</si>
  <si>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</si>
  <si>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</si>
  <si>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</si>
  <si>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</si>
  <si>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</si>
  <si>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</si>
  <si>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</si>
  <si>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</si>
  <si>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</si>
  <si>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</si>
  <si>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</si>
  <si>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</si>
  <si>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</si>
  <si>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</si>
  <si>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</si>
  <si>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</si>
  <si>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</si>
  <si>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</si>
  <si>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</si>
  <si>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</si>
  <si>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</si>
  <si>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</si>
  <si>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</si>
  <si>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</si>
  <si>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</si>
  <si>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</si>
  <si>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</si>
  <si>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</si>
  <si>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</si>
  <si>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</si>
  <si>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</si>
  <si>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</si>
  <si>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</si>
  <si>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</si>
  <si>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</si>
  <si>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</si>
  <si>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</si>
  <si>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</si>
  <si>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</si>
  <si>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</si>
  <si>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</si>
  <si>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</si>
  <si>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</si>
  <si>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</si>
  <si>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</si>
  <si>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</si>
  <si>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</si>
  <si>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</si>
  <si>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</si>
  <si>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</si>
  <si>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</si>
  <si>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</si>
  <si>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</si>
  <si>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</si>
  <si>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</si>
  <si>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</si>
  <si>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</si>
  <si>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</si>
  <si>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</si>
  <si>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</si>
  <si>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</si>
  <si>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</si>
  <si>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</si>
  <si>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</si>
  <si>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</si>
  <si>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</si>
  <si>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</si>
  <si>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</si>
  <si>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</si>
  <si>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</si>
  <si>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</si>
  <si>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</si>
  <si>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</si>
  <si>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</si>
  <si>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</si>
  <si>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</si>
  <si>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</si>
  <si>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</si>
  <si>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</si>
  <si>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</si>
  <si>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</si>
  <si>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</si>
  <si>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</si>
  <si>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</si>
  <si>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</si>
  <si>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</si>
  <si>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</si>
  <si>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</si>
  <si>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</si>
  <si>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</si>
  <si>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</si>
  <si>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</si>
  <si>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</si>
  <si>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</si>
  <si>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</si>
  <si>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</si>
  <si>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</si>
  <si>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</si>
  <si>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</si>
  <si>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</si>
  <si>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</si>
  <si>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</si>
  <si>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</si>
  <si>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</si>
  <si>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</si>
  <si>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</si>
  <si>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</si>
  <si>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</si>
  <si>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</si>
  <si>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</si>
  <si>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</si>
  <si>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</si>
  <si>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</si>
  <si>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</si>
  <si>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</si>
  <si>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</si>
  <si>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</si>
  <si>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</si>
  <si>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</si>
  <si>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</si>
  <si>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</si>
  <si>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</si>
  <si>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</si>
  <si>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</si>
  <si>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</si>
  <si>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</si>
  <si>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</si>
  <si>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</si>
  <si>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</si>
  <si>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</si>
  <si>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</si>
  <si>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</si>
  <si>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</si>
  <si>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</si>
  <si>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</si>
  <si>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</si>
  <si>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</si>
  <si>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</si>
  <si>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</si>
  <si>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</si>
  <si>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</si>
  <si>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</si>
  <si>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</si>
  <si>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</si>
  <si>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</si>
  <si>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</si>
  <si>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</si>
  <si>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</si>
  <si>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</si>
  <si>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</si>
  <si>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</si>
  <si>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</si>
  <si>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</si>
  <si>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</si>
  <si>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</si>
  <si>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</si>
  <si>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</si>
  <si>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</si>
  <si>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</si>
  <si>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</si>
  <si>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</si>
  <si>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</si>
  <si>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</si>
  <si>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</si>
  <si>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</si>
  <si>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</si>
  <si>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</si>
  <si>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</si>
  <si>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</si>
  <si>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</si>
  <si>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</si>
  <si>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</si>
  <si>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</si>
  <si>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</si>
  <si>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</si>
  <si>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</si>
  <si>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</si>
  <si>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</si>
  <si>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</si>
  <si>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</si>
  <si>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</si>
  <si>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</si>
  <si>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</si>
  <si>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</si>
  <si>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</si>
  <si>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</si>
  <si>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</si>
  <si>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</si>
  <si>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</si>
  <si>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</si>
  <si>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</si>
  <si>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</si>
  <si>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</si>
  <si>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</si>
  <si>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</si>
  <si>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</si>
  <si>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</si>
  <si>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</si>
  <si>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</si>
  <si>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</si>
  <si>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</si>
  <si>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</si>
  <si>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</si>
  <si>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</si>
  <si>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</si>
  <si>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</si>
  <si>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</si>
  <si>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</si>
  <si>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</si>
  <si>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</si>
  <si>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</si>
  <si>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</si>
  <si>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</si>
  <si>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</si>
  <si>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</si>
  <si>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</si>
  <si>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</si>
  <si>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</si>
  <si>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</si>
  <si>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</si>
  <si>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</si>
  <si>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</si>
  <si>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</si>
  <si>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</si>
  <si>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</si>
  <si>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</si>
  <si>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</si>
  <si>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</si>
  <si>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</si>
  <si>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</si>
  <si>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</si>
  <si>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</si>
  <si>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</si>
  <si>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</si>
  <si>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</si>
  <si>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</si>
  <si>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</si>
  <si>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</si>
  <si>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</si>
  <si>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</si>
  <si>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</si>
  <si>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</si>
  <si>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</si>
  <si>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</si>
  <si>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</si>
  <si>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</si>
  <si>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</si>
  <si>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</si>
  <si>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</si>
  <si>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</si>
  <si>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</si>
  <si>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</si>
  <si>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</si>
  <si>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</si>
  <si>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</si>
  <si>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</si>
  <si>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</si>
  <si>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</si>
  <si>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</si>
  <si>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</si>
  <si>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</si>
  <si>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</si>
  <si>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</si>
  <si>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</si>
  <si>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</si>
  <si>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</si>
  <si>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</si>
  <si>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</si>
  <si>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</si>
  <si>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</si>
  <si>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</si>
  <si>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</si>
  <si>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</si>
  <si>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</si>
  <si>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</si>
  <si>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</si>
  <si>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</si>
  <si>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</si>
  <si>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</si>
  <si>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</si>
  <si>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</si>
  <si>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</si>
  <si>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</si>
  <si>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</si>
  <si>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</si>
  <si>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</si>
  <si>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</si>
  <si>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</si>
  <si>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</si>
  <si>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</si>
  <si>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</si>
  <si>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</si>
  <si>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</si>
  <si>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</si>
  <si>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</si>
  <si>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</si>
  <si>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</si>
  <si>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</si>
  <si>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</si>
  <si>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</si>
  <si>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</si>
  <si>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</si>
  <si>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</si>
  <si>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</si>
  <si>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</si>
  <si>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</si>
  <si>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</si>
  <si>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</si>
  <si>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</si>
  <si>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</si>
  <si>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</si>
  <si>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</si>
  <si>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</si>
  <si>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</si>
  <si>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</si>
  <si>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</si>
  <si>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</si>
  <si>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</si>
  <si>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</si>
  <si>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</si>
  <si>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</si>
  <si>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</si>
  <si>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</si>
  <si>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</si>
  <si>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</si>
  <si>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</si>
  <si>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</si>
  <si>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</si>
  <si>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</si>
  <si>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</si>
  <si>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</si>
  <si>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</si>
  <si>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</si>
  <si>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</si>
  <si>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</si>
  <si>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</si>
  <si>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</si>
  <si>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</si>
  <si>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</si>
  <si>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</si>
  <si>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</si>
  <si>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</si>
  <si>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</si>
  <si>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</si>
  <si>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</si>
  <si>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</si>
  <si>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</si>
  <si>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</si>
  <si>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</si>
  <si>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</si>
  <si>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</si>
  <si>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</si>
  <si>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</si>
  <si>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</si>
  <si>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</si>
  <si>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</si>
  <si>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</si>
  <si>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</si>
  <si>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</si>
  <si>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</si>
  <si>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</si>
  <si>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</si>
  <si>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</si>
  <si>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</si>
  <si>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</si>
  <si>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</si>
  <si>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</si>
  <si>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</si>
  <si>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</si>
  <si>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</si>
  <si>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</si>
  <si>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</si>
  <si>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</si>
  <si>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</si>
  <si>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</si>
  <si>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</si>
  <si>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</si>
  <si>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</si>
  <si>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</si>
  <si>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</si>
  <si>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</si>
  <si>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</si>
  <si>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</si>
  <si>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</si>
  <si>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</si>
  <si>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</si>
  <si>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</si>
  <si>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</si>
  <si>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</si>
  <si>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</si>
  <si>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</si>
  <si>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</si>
  <si>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</si>
  <si>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</si>
  <si>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</si>
  <si>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</si>
  <si>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</si>
  <si>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</si>
  <si>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</si>
  <si>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</si>
  <si>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</si>
  <si>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</si>
  <si>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</si>
  <si>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</si>
  <si>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</si>
  <si>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</si>
  <si>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</si>
  <si>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</si>
  <si>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</si>
  <si>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</si>
  <si>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</si>
  <si>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</si>
  <si>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</si>
  <si>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</si>
  <si>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</si>
  <si>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</si>
  <si>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</si>
  <si>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</si>
  <si>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</si>
  <si>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</si>
  <si>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</si>
  <si>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</si>
  <si>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</si>
  <si>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</si>
  <si>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</si>
  <si>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</si>
  <si>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</si>
  <si>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</si>
  <si>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</si>
  <si>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</si>
  <si>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</si>
  <si>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</si>
  <si>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</si>
  <si>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</si>
  <si>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</si>
  <si>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</si>
  <si>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</si>
  <si>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</si>
  <si>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</si>
  <si>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</si>
  <si>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</si>
  <si>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</si>
  <si>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</si>
  <si>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</si>
  <si>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</si>
  <si>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</si>
  <si>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</si>
  <si>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</si>
  <si>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</si>
  <si>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</si>
  <si>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</si>
  <si>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</si>
  <si>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</si>
  <si>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</si>
  <si>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</si>
  <si>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</si>
  <si>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</si>
  <si>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</si>
  <si>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</si>
  <si>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</si>
  <si>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</si>
  <si>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</si>
  <si>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</si>
  <si>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</si>
  <si>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</si>
  <si>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</si>
  <si>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</si>
  <si>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</si>
  <si>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</si>
  <si>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</si>
  <si>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</si>
  <si>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</si>
  <si>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</si>
  <si>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</si>
  <si>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</si>
  <si>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</si>
  <si>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</si>
  <si>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</si>
  <si>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</si>
  <si>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</si>
  <si>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</si>
  <si>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</si>
  <si>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</si>
  <si>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</si>
  <si>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</si>
  <si>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</si>
  <si>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</si>
  <si>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</si>
  <si>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</si>
  <si>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</si>
  <si>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</si>
  <si>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</si>
  <si>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</si>
  <si>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</si>
  <si>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</si>
  <si>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</si>
  <si>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</si>
  <si>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</si>
  <si>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</si>
  <si>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</si>
  <si>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</si>
  <si>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</si>
  <si>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</si>
  <si>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</si>
  <si>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</si>
  <si>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</si>
  <si>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</si>
  <si>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</si>
  <si>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</si>
  <si>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</si>
  <si>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</si>
  <si>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</si>
  <si>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</si>
  <si>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</si>
  <si>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</si>
  <si>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</si>
  <si>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</si>
  <si>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</si>
  <si>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</si>
  <si>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</si>
  <si>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</si>
  <si>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</si>
  <si>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</si>
  <si>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</si>
  <si>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</si>
  <si>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</si>
  <si>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</si>
  <si>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</si>
  <si>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</si>
  <si>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</si>
  <si>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</si>
  <si>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</si>
  <si>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</si>
  <si>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</si>
  <si>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</si>
  <si>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</si>
  <si>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</si>
  <si>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</si>
  <si>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</si>
  <si>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</si>
  <si>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</si>
  <si>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</si>
  <si>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</si>
  <si>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</si>
  <si>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</si>
  <si>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</si>
  <si>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</si>
  <si>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</si>
  <si>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</si>
  <si>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</si>
  <si>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</si>
  <si>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</si>
  <si>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</si>
  <si>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</si>
  <si>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</si>
  <si>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</si>
  <si>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</si>
  <si>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</si>
  <si>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</si>
  <si>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</si>
  <si>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</si>
  <si>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</si>
  <si>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</si>
  <si>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</si>
  <si>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</si>
  <si>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</si>
  <si>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</si>
  <si>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</si>
  <si>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</si>
  <si>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</si>
  <si>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</si>
  <si>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</si>
  <si>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</si>
  <si>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</si>
  <si>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</si>
  <si>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</si>
  <si>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</si>
  <si>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</si>
  <si>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</si>
  <si>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</si>
  <si>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</si>
  <si>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</si>
  <si>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</si>
  <si>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</si>
  <si>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</si>
  <si>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</si>
  <si>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</si>
  <si>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</si>
  <si>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</si>
  <si>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</si>
  <si>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</si>
  <si>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</si>
  <si>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</si>
  <si>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</si>
  <si>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</si>
  <si>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</si>
  <si>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</si>
  <si>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</si>
  <si>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</si>
  <si>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</si>
  <si>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</si>
  <si>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</si>
  <si>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</si>
  <si>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</si>
  <si>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</si>
  <si>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</si>
  <si>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</si>
  <si>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</si>
  <si>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</si>
  <si>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</si>
  <si>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</si>
  <si>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</si>
  <si>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</si>
  <si>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</si>
  <si>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</si>
  <si>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</si>
  <si>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</si>
  <si>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</si>
  <si>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</si>
  <si>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</si>
  <si>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</si>
  <si>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</si>
  <si>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</si>
  <si>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</si>
  <si>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</si>
  <si>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</si>
  <si>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</si>
  <si>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</si>
  <si>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</si>
  <si>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</si>
  <si>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</si>
  <si>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</si>
  <si>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</si>
  <si>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</si>
  <si>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</si>
  <si>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</si>
  <si>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</si>
  <si>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</si>
  <si>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</si>
  <si>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</si>
  <si>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</si>
  <si>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</si>
  <si>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</si>
  <si>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</si>
  <si>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</si>
  <si>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</si>
  <si>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</si>
  <si>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</si>
  <si>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</si>
  <si>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</si>
  <si>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</si>
  <si>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</si>
  <si>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</si>
  <si>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</si>
  <si>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</si>
  <si>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</si>
  <si>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</si>
  <si>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</si>
  <si>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</si>
  <si>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</si>
  <si>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</si>
  <si>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</si>
  <si>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</si>
  <si>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</si>
  <si>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</si>
  <si>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</si>
  <si>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</si>
  <si>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</si>
  <si>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</si>
  <si>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</si>
  <si>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</si>
  <si>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</si>
  <si>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</si>
  <si>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</si>
  <si>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</si>
  <si>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</si>
  <si>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</si>
  <si>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</si>
  <si>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</si>
  <si>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</si>
  <si>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</si>
  <si>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</si>
  <si>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</si>
  <si>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</si>
  <si>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</si>
  <si>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</si>
  <si>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</si>
  <si>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</si>
  <si>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</si>
  <si>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</si>
  <si>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</si>
  <si>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</si>
  <si>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</si>
  <si>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</si>
  <si>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</si>
  <si>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</si>
  <si>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</si>
  <si>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</si>
  <si>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</si>
  <si>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</si>
  <si>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</si>
  <si>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</si>
  <si>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</si>
  <si>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</si>
  <si>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</si>
  <si>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</si>
  <si>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</si>
  <si>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</si>
  <si>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</si>
  <si>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</si>
  <si>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</si>
  <si>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</si>
  <si>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</si>
  <si>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</si>
  <si>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</si>
  <si>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</si>
  <si>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</si>
  <si>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</si>
  <si>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</si>
  <si>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</si>
  <si>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</si>
  <si>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</si>
  <si>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</si>
  <si>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</si>
  <si>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</si>
  <si>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</si>
  <si>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</si>
  <si>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</si>
  <si>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</si>
  <si>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</si>
  <si>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</si>
  <si>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</si>
  <si>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</si>
  <si>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</si>
  <si>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</si>
  <si>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</si>
  <si>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</si>
  <si>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</si>
  <si>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</si>
  <si>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</si>
  <si>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</si>
  <si>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</si>
  <si>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</si>
  <si>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</si>
  <si>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</si>
  <si>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</si>
  <si>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</si>
  <si>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</si>
  <si>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</si>
  <si>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</si>
  <si>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</si>
  <si>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</si>
  <si>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</si>
  <si>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</si>
  <si>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</si>
  <si>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</si>
  <si>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</si>
  <si>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</si>
  <si>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</si>
  <si>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</si>
  <si>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</si>
  <si>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</si>
  <si>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</si>
  <si>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</si>
  <si>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</si>
  <si>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</si>
  <si>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</si>
  <si>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</si>
  <si>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</si>
  <si>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</si>
  <si>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</si>
  <si>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</si>
  <si>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</si>
  <si>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</si>
  <si>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</si>
  <si>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</si>
  <si>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</si>
  <si>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</si>
  <si>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</si>
  <si>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</si>
  <si>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</si>
  <si>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</si>
  <si>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</si>
  <si>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</si>
  <si>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</si>
  <si>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</si>
  <si>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</si>
  <si>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</si>
  <si>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</si>
  <si>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</si>
  <si>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</si>
  <si>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</si>
  <si>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</si>
  <si>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</si>
  <si>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</si>
  <si>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</si>
  <si>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</si>
  <si>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</si>
  <si>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</si>
  <si>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</si>
  <si>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</si>
  <si>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</si>
  <si>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</si>
  <si>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</si>
  <si>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</si>
  <si>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</si>
  <si>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</si>
  <si>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</si>
  <si>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</si>
  <si>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</si>
  <si>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</si>
  <si>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</si>
  <si>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</si>
  <si>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</si>
  <si>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</si>
  <si>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</si>
  <si>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</si>
  <si>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</si>
  <si>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</si>
  <si>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</si>
  <si>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</si>
  <si>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</si>
  <si>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</si>
  <si>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</si>
  <si>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</si>
  <si>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</si>
  <si>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</si>
  <si>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</si>
  <si>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</si>
  <si>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</si>
  <si>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</si>
  <si>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</si>
  <si>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</si>
  <si>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</si>
  <si>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</si>
  <si>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</si>
  <si>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</si>
  <si>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</si>
  <si>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</si>
  <si>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</si>
  <si>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</si>
  <si>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</si>
  <si>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</si>
  <si>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</si>
  <si>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</si>
  <si>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</si>
  <si>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</si>
  <si>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</si>
  <si>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</si>
  <si>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</si>
  <si>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</si>
  <si>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</si>
  <si>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</si>
  <si>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</si>
  <si>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</si>
  <si>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</si>
  <si>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</si>
  <si>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</si>
  <si>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</si>
  <si>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</si>
  <si>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</si>
  <si>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</si>
  <si>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</si>
  <si>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</si>
  <si>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</si>
  <si>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</si>
  <si>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</si>
  <si>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</si>
  <si>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</si>
  <si>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</si>
  <si>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</si>
  <si>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</si>
  <si>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</si>
  <si>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</si>
  <si>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</si>
  <si>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</si>
  <si>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</si>
  <si>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</si>
  <si>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</si>
  <si>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</si>
  <si>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</si>
  <si>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</si>
  <si>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</si>
  <si>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</si>
  <si>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</si>
  <si>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</si>
  <si>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</si>
  <si>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</si>
  <si>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</si>
  <si>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</si>
  <si>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</si>
  <si>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</si>
  <si>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</si>
  <si>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</si>
  <si>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</si>
  <si>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</si>
  <si>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</si>
  <si>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</si>
  <si>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</si>
  <si>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</si>
  <si>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</si>
  <si>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</si>
  <si>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</si>
  <si>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</si>
  <si>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</si>
  <si>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</si>
  <si>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</si>
  <si>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</si>
  <si>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</si>
  <si>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</si>
  <si>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</si>
  <si>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</si>
  <si>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</si>
  <si>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</si>
  <si>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</si>
  <si>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</si>
  <si>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</si>
  <si>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</si>
  <si>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</si>
  <si>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</si>
  <si>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</si>
  <si>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</si>
  <si>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</si>
  <si>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</si>
  <si>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</si>
  <si>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</si>
  <si>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</si>
  <si>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</si>
  <si>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</si>
  <si>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</si>
  <si>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</si>
  <si>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</si>
  <si>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</si>
  <si>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</si>
  <si>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</si>
  <si>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</si>
  <si>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</si>
  <si>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</si>
  <si>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</si>
  <si>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</si>
  <si>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</si>
  <si>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</si>
  <si>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</si>
  <si>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</si>
  <si>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</si>
  <si>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</si>
  <si>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</si>
  <si>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</si>
  <si>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</si>
  <si>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</si>
  <si>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</si>
  <si>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</si>
  <si>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</si>
  <si>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</si>
  <si>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</si>
  <si>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</si>
  <si>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</si>
  <si>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</si>
  <si>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</si>
  <si>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</si>
  <si>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</si>
  <si>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</si>
  <si>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</si>
  <si>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</si>
  <si>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</si>
  <si>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</si>
  <si>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</si>
  <si>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</si>
  <si>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</si>
  <si>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</si>
  <si>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</si>
  <si>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</si>
  <si>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</si>
  <si>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</si>
  <si>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</si>
  <si>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</si>
  <si>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</si>
  <si>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</si>
  <si>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</si>
  <si>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</si>
  <si>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</si>
  <si>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</si>
  <si>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</si>
  <si>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</si>
  <si>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</si>
  <si>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</si>
  <si>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</si>
  <si>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</si>
  <si>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</si>
  <si>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</si>
  <si>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</si>
  <si>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</si>
  <si>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</si>
  <si>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</si>
  <si>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</si>
  <si>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</si>
  <si>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</si>
  <si>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</si>
  <si>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</si>
  <si>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</si>
  <si>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</si>
  <si>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</si>
  <si>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</si>
  <si>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</si>
  <si>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</si>
  <si>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</si>
  <si>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</si>
  <si>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</si>
  <si>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</si>
  <si>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</si>
  <si>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</si>
  <si>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</si>
  <si>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</si>
  <si>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</si>
  <si>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</si>
  <si>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</si>
  <si>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</si>
  <si>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</si>
  <si>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</si>
  <si>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</si>
  <si>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</si>
  <si>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</si>
  <si>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</si>
  <si>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</si>
  <si>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</si>
  <si>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</si>
  <si>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</si>
  <si>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</si>
  <si>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</si>
  <si>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</si>
  <si>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</si>
  <si>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</si>
  <si>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</si>
  <si>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</si>
  <si>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</si>
  <si>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</si>
  <si>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</si>
  <si>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</si>
  <si>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</si>
  <si>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</si>
  <si>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</si>
  <si>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</si>
  <si>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</si>
  <si>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</si>
  <si>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</si>
  <si>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</si>
  <si>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</si>
  <si>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</si>
  <si>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</si>
  <si>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</si>
  <si>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</si>
  <si>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</si>
  <si>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</si>
  <si>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</si>
  <si>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</si>
  <si>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</si>
  <si>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</si>
  <si>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</si>
  <si>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</si>
  <si>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</si>
  <si>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</si>
  <si>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</si>
  <si>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</si>
  <si>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</si>
  <si>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</si>
  <si>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</si>
  <si>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</si>
  <si>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</si>
  <si>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</si>
  <si>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</si>
  <si>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</si>
  <si>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</si>
  <si>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</si>
  <si>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</si>
  <si>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</si>
  <si>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</si>
  <si>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</si>
  <si>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</si>
  <si>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</si>
  <si>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</si>
  <si>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</si>
  <si>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</si>
  <si>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</si>
  <si>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</si>
  <si>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</si>
  <si>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</si>
  <si>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</si>
  <si>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</si>
  <si>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</si>
  <si>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</si>
  <si>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</si>
  <si>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</si>
  <si>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</si>
  <si>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</si>
  <si>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</si>
  <si>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</si>
  <si>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</si>
  <si>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</si>
  <si>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</si>
  <si>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</si>
  <si>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</si>
  <si>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</si>
  <si>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</si>
  <si>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</si>
  <si>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</si>
  <si>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</si>
  <si>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</si>
  <si>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</si>
  <si>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</si>
  <si>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</si>
  <si>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</si>
  <si>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</si>
  <si>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</si>
  <si>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</si>
  <si>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</si>
  <si>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</si>
  <si>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</si>
  <si>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</si>
  <si>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</si>
  <si>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</si>
  <si>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</si>
  <si>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</si>
  <si>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</si>
  <si>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</si>
  <si>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</si>
  <si>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</si>
  <si>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</si>
  <si>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</si>
  <si>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</si>
  <si>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</si>
  <si>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</si>
  <si>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</si>
  <si>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</si>
  <si>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</si>
  <si>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</si>
  <si>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</si>
  <si>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</si>
  <si>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</si>
  <si>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</si>
  <si>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</si>
  <si>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</si>
  <si>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</si>
  <si>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</si>
  <si>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</si>
  <si>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</si>
  <si>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</si>
  <si>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</si>
  <si>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</si>
  <si>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</si>
  <si>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</si>
  <si>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</si>
  <si>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</si>
  <si>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</si>
  <si>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</si>
  <si>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</si>
  <si>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</si>
  <si>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</si>
  <si>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</si>
  <si>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</si>
  <si>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</si>
  <si>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</si>
  <si>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</si>
  <si>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</si>
  <si>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</si>
  <si>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</si>
  <si>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</si>
  <si>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</si>
  <si>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</si>
  <si>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</si>
  <si>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</si>
  <si>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</si>
  <si>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</si>
  <si>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</si>
  <si>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</si>
  <si>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</si>
  <si>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</si>
  <si>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</si>
  <si>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</si>
  <si>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</si>
  <si>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</si>
  <si>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</si>
  <si>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</si>
  <si>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</si>
  <si>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</si>
  <si>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</si>
  <si>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</si>
  <si>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</si>
  <si>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</si>
  <si>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</si>
  <si>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</si>
  <si>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</si>
  <si>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</si>
  <si>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</si>
  <si>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</si>
  <si>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</si>
  <si>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</si>
  <si>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</si>
  <si>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</si>
  <si>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</si>
  <si>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</si>
  <si>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</si>
  <si>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</si>
  <si>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</si>
  <si>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</si>
  <si>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</si>
  <si>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</si>
  <si>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</si>
  <si>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</si>
  <si>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</si>
  <si>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</si>
  <si>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</si>
  <si>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</si>
  <si>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</si>
  <si>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</si>
  <si>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</si>
  <si>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</si>
  <si>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</si>
  <si>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</si>
  <si>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</si>
  <si>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</si>
  <si>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</si>
  <si>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</si>
  <si>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</si>
  <si>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</si>
  <si>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</si>
  <si>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</si>
  <si>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</si>
  <si>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</si>
  <si>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</si>
  <si>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</si>
  <si>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</si>
  <si>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</si>
  <si>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</si>
  <si>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</si>
  <si>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</si>
  <si>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</si>
  <si>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</si>
  <si>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</si>
  <si>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</si>
  <si>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</si>
  <si>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</si>
  <si>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</si>
  <si>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</si>
  <si>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</si>
  <si>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</si>
  <si>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</si>
  <si>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</si>
  <si>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</si>
  <si>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</si>
  <si>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</si>
  <si>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</si>
  <si>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</si>
  <si>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</si>
  <si>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</si>
  <si>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</si>
  <si>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</si>
  <si>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</si>
  <si>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</si>
  <si>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</si>
  <si>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</si>
  <si>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</si>
  <si>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</si>
  <si>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</si>
  <si>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</si>
  <si>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</si>
  <si>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</si>
  <si>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</si>
  <si>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</si>
  <si>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</si>
  <si>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</si>
  <si>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</si>
  <si>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</si>
  <si>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</si>
  <si>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</si>
  <si>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</si>
  <si>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</si>
  <si>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</si>
  <si>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</si>
  <si>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</si>
  <si>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</si>
  <si>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</si>
  <si>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</si>
  <si>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</si>
  <si>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</si>
  <si>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</si>
  <si>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</si>
  <si>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</si>
  <si>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</si>
  <si>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</si>
  <si>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</si>
  <si>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</si>
  <si>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</si>
  <si>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</si>
  <si>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</si>
  <si>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</si>
  <si>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</si>
  <si>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</si>
  <si>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</si>
  <si>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</si>
  <si>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</si>
  <si>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</si>
  <si>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</si>
  <si>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</si>
  <si>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</si>
  <si>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</si>
  <si>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</si>
  <si>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</si>
  <si>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</si>
  <si>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</si>
  <si>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</si>
  <si>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</si>
  <si>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</si>
  <si>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</si>
  <si>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</si>
  <si>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</si>
  <si>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</si>
  <si>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</si>
  <si>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</si>
  <si>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</si>
  <si>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</si>
  <si>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</si>
  <si>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</si>
  <si>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</si>
  <si>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</si>
  <si>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</si>
  <si>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</si>
  <si>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</si>
  <si>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</si>
  <si>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</si>
  <si>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</si>
  <si>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</si>
  <si>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</si>
  <si>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</si>
  <si>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</si>
  <si>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</si>
  <si>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</si>
  <si>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</si>
  <si>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</si>
  <si>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</si>
  <si>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</si>
  <si>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</si>
  <si>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</si>
  <si>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</si>
  <si>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</si>
  <si>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</si>
  <si>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</si>
  <si>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</si>
  <si>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</si>
  <si>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</si>
  <si>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</si>
  <si>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</si>
  <si>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</si>
  <si>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</si>
  <si>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</si>
  <si>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</si>
  <si>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</si>
  <si>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</si>
  <si>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</si>
  <si>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</si>
  <si>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</si>
  <si>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</si>
  <si>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</si>
  <si>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</si>
  <si>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</si>
  <si>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</si>
  <si>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</si>
  <si>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</si>
  <si>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</si>
  <si>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</si>
  <si>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</si>
  <si>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</si>
  <si>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</si>
  <si>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</si>
  <si>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</si>
  <si>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</si>
  <si>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</si>
  <si>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</si>
  <si>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</si>
  <si>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</si>
  <si>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</si>
  <si>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</si>
  <si>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</si>
  <si>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</si>
  <si>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</si>
  <si>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</si>
  <si>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</si>
  <si>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</si>
  <si>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</si>
  <si>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</si>
  <si>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</si>
  <si>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</si>
  <si>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</si>
  <si>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</si>
  <si>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</si>
  <si>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</si>
  <si>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</si>
  <si>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</si>
  <si>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</si>
  <si>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</si>
  <si>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</si>
  <si>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</si>
  <si>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</si>
  <si>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</si>
  <si>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</si>
  <si>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</si>
  <si>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</si>
  <si>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</si>
  <si>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</si>
  <si>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</si>
  <si>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</si>
  <si>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</si>
  <si>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</si>
  <si>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</si>
  <si>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</si>
  <si>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</si>
  <si>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</si>
  <si>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</si>
  <si>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</si>
  <si>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</si>
  <si>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</si>
  <si>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</si>
  <si>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</si>
  <si>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</si>
  <si>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</si>
  <si>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</si>
  <si>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</si>
  <si>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</si>
  <si>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</si>
  <si>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</si>
  <si>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</si>
  <si>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</si>
  <si>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</si>
  <si>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</si>
  <si>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</si>
  <si>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</si>
  <si>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</si>
  <si>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</si>
  <si>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</si>
  <si>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</si>
  <si>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</si>
  <si>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</si>
  <si>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</si>
  <si>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</si>
  <si>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</si>
  <si>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</si>
  <si>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</si>
  <si>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</si>
  <si>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</si>
  <si>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</si>
  <si>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</si>
  <si>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</si>
  <si>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</si>
  <si>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</si>
  <si>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</si>
  <si>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</si>
  <si>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</si>
  <si>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</si>
  <si>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</si>
  <si>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</si>
  <si>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</si>
  <si>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</si>
  <si>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</si>
  <si>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</si>
  <si>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</si>
  <si>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</si>
  <si>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</si>
  <si>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</si>
  <si>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</si>
  <si>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</si>
  <si>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</si>
  <si>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</si>
  <si>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</si>
  <si>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</si>
  <si>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</si>
  <si>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</si>
  <si>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</si>
  <si>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</si>
  <si>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</si>
  <si>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</si>
  <si>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</si>
  <si>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</si>
  <si>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</si>
  <si>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</si>
  <si>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</si>
  <si>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</si>
  <si>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</si>
  <si>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</si>
  <si>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</si>
  <si>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</si>
  <si>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</si>
  <si>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</si>
  <si>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</si>
  <si>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</si>
  <si>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</si>
  <si>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</si>
  <si>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</si>
  <si>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</si>
  <si>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</si>
  <si>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</si>
  <si>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</si>
  <si>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</si>
  <si>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</si>
  <si>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</si>
  <si>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</si>
  <si>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</si>
  <si>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</si>
  <si>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</si>
  <si>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</si>
  <si>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</si>
  <si>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</si>
  <si>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</si>
  <si>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</si>
  <si>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</si>
  <si>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</si>
  <si>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</si>
  <si>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</si>
  <si>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</si>
  <si>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</si>
  <si>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</si>
  <si>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</si>
  <si>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</si>
  <si>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</si>
  <si>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</si>
  <si>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</si>
  <si>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</si>
  <si>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</si>
  <si>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</si>
  <si>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</si>
  <si>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</si>
  <si>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</si>
  <si>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</si>
  <si>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</si>
  <si>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</si>
  <si>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</si>
  <si>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</si>
  <si>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</si>
  <si>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</si>
  <si>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</si>
  <si>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</si>
  <si>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</si>
  <si>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</si>
  <si>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</si>
  <si>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</si>
  <si>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</si>
  <si>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</si>
  <si>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</si>
  <si>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</si>
  <si>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</si>
  <si>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</si>
  <si>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</si>
  <si>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</si>
  <si>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</si>
  <si>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</si>
  <si>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</si>
  <si>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</si>
  <si>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</si>
  <si>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</si>
  <si>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</si>
  <si>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</si>
  <si>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</si>
  <si>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</si>
  <si>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</si>
  <si>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</si>
  <si>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</si>
  <si>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</si>
  <si>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</si>
  <si>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</si>
  <si>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</si>
  <si>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</si>
  <si>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</si>
  <si>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</si>
  <si>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</si>
  <si>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</si>
  <si>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</si>
  <si>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</si>
  <si>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</si>
  <si>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</si>
  <si>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</si>
  <si>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</si>
  <si>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</si>
  <si>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</si>
  <si>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</si>
  <si>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</si>
  <si>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</si>
  <si>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</si>
  <si>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</si>
  <si>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</si>
  <si>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</si>
  <si>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</si>
  <si>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</si>
  <si>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</si>
  <si>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</si>
  <si>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</si>
  <si>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</si>
  <si>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</si>
  <si>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</si>
  <si>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</si>
  <si>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</si>
  <si>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</si>
  <si>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</si>
  <si>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</si>
  <si>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</si>
  <si>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</si>
  <si>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</si>
  <si>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</si>
  <si>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</si>
  <si>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</si>
  <si>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</si>
  <si>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</si>
  <si>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</si>
  <si>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</si>
  <si>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</si>
  <si>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</si>
  <si>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</si>
  <si>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</si>
  <si>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</si>
  <si>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</si>
  <si>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</si>
  <si>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</si>
  <si>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</si>
  <si>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</si>
  <si>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</si>
  <si>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</si>
  <si>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</si>
  <si>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</si>
  <si>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</si>
  <si>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</si>
  <si>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</si>
  <si>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</si>
  <si>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</si>
  <si>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</si>
  <si>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</si>
  <si>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</si>
  <si>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</si>
  <si>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</si>
  <si>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</si>
  <si>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</si>
  <si>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</si>
  <si>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</si>
  <si>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</si>
  <si>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</si>
  <si>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</si>
  <si>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</si>
  <si>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</si>
  <si>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</si>
  <si>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</si>
  <si>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</si>
  <si>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</si>
  <si>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</si>
  <si>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</si>
  <si>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</si>
  <si>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</si>
  <si>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</si>
  <si>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</si>
  <si>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</si>
  <si>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</si>
  <si>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</si>
  <si>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</si>
  <si>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</si>
  <si>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</si>
  <si>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</si>
  <si>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</si>
  <si>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</si>
  <si>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Vol</t>
  </si>
  <si>
    <t>Calc</t>
  </si>
  <si>
    <t>29-Apr-2021</t>
  </si>
  <si>
    <t>ANKIT V</t>
  </si>
  <si>
    <t>MAGIC</t>
  </si>
  <si>
    <t>08-Apr-2021</t>
  </si>
  <si>
    <t>ANKUSH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</si>
</sst>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8000"/>
      <name val="Calibri"/>
      <family val="2"/>
    </font>
    <font>
      <b/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00FFFF"/>
      <name val="Calibri"/>
      <family val="2"/>
      <scheme val="minor"/>
    </font>
    <font>
      <sz val="8"/>
      <name val="Calibri"/>
      <family val="2"/>
      <scheme val="minor"/>
    </font>
    <font>
      <b/>
      <sz val="22"/>
      <color rgb="FF00FF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66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5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right" vertical="center"/>
      <protection hidden="1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" vertical="center"/>
      <protection hidden="1"/>
    </xf>
    <xf numFmtId="0" fontId="1" fillId="5" borderId="2" xfId="0" applyFont="1" applyFill="1" applyBorder="1" applyAlignment="1" applyProtection="1">
      <alignment horizontal="center" vertical="center"/>
      <protection hidden="1"/>
    </xf>
    <xf numFmtId="0" fontId="1" fillId="5" borderId="3" xfId="0" applyFont="1" applyFill="1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7" fillId="10" borderId="0" xfId="0" applyNumberFormat="1" applyFont="1" applyFill="1" applyAlignment="1" applyProtection="1">
      <alignment horizontal="left" vertical="center"/>
      <protection hidden="1"/>
    </xf>
    <xf numFmtId="0" fontId="8" fillId="10" borderId="0" xfId="0" applyFont="1" applyFill="1" applyAlignment="1" applyProtection="1">
      <alignment horizontal="right" vertical="center"/>
      <protection hidden="1"/>
    </xf>
    <xf numFmtId="2" fontId="8" fillId="10" borderId="0" xfId="0" applyNumberFormat="1" applyFont="1" applyFill="1" applyAlignment="1" applyProtection="1">
      <alignment horizontal="left" vertical="center"/>
      <protection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right" vertical="center"/>
      <protection hidden="1"/>
    </xf>
    <xf numFmtId="0" fontId="5" fillId="10" borderId="0" xfId="0" applyFont="1" applyFill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2" fontId="0" fillId="0" borderId="0" xfId="0" applyNumberFormat="1" applyProtection="1">
      <protection hidden="1"/>
    </xf>
    <xf numFmtId="0" fontId="0" fillId="8" borderId="0" xfId="0" applyFill="1" applyProtection="1">
      <protection hidden="1"/>
    </xf>
    <xf numFmtId="21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2" xfId="0" applyNumberFormat="1" applyBorder="1" applyAlignment="1" applyProtection="1">
      <alignment vertical="center"/>
      <protection hidden="1"/>
    </xf>
    <xf numFmtId="1" fontId="0" fillId="0" borderId="2" xfId="0" applyNumberFormat="1" applyFill="1" applyBorder="1" applyAlignment="1" applyProtection="1">
      <alignment horizontal="right" vertical="center"/>
      <protection hidden="1"/>
    </xf>
    <xf numFmtId="1" fontId="0" fillId="0" borderId="2" xfId="0" applyNumberFormat="1" applyBorder="1" applyAlignment="1" applyProtection="1">
      <alignment horizontal="right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1" fontId="0" fillId="8" borderId="0" xfId="0" applyNumberFormat="1" applyFill="1" applyAlignment="1" applyProtection="1">
      <alignment horizontal="right" vertical="center"/>
      <protection hidden="1"/>
    </xf>
    <xf numFmtId="21" fontId="0" fillId="0" borderId="0" xfId="0" applyNumberFormat="1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horizontal="right" vertical="center"/>
      <protection hidden="1"/>
    </xf>
    <xf numFmtId="0" fontId="0" fillId="0" borderId="0" xfId="0" applyProtection="1">
      <protection locked="0" hidden="1"/>
    </xf>
    <xf numFmtId="0" fontId="0" fillId="8" borderId="0" xfId="0" applyFill="1" applyProtection="1">
      <protection locked="0" hidden="1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21" fontId="0" fillId="8" borderId="1" xfId="0" applyNumberFormat="1" applyFill="1" applyBorder="1" applyAlignment="1" applyProtection="1">
      <alignment horizontal="center" vertical="center"/>
      <protection hidden="1"/>
    </xf>
    <xf numFmtId="0" fontId="0" fillId="8" borderId="1" xfId="0" applyFill="1" applyBorder="1" applyAlignment="1" applyProtection="1">
      <alignment horizontal="center" vertical="center"/>
      <protection hidden="1"/>
    </xf>
    <xf numFmtId="2" fontId="6" fillId="0" borderId="5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2" fillId="8" borderId="6" xfId="0" applyFont="1" applyFill="1" applyBorder="1"/>
    <xf numFmtId="0" fontId="11" fillId="0" borderId="1" xfId="0" applyNumberFormat="1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8" borderId="8" xfId="0" applyFont="1" applyFill="1" applyBorder="1"/>
    <xf numFmtId="0" fontId="7" fillId="11" borderId="0" xfId="0" applyFont="1" applyFill="1" applyAlignment="1" applyProtection="1">
      <alignment horizontal="right"/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 vertical="center"/>
      <protection hidden="1"/>
    </xf>
    <xf numFmtId="164" fontId="0" fillId="2" borderId="10" xfId="0" applyNumberFormat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4" fontId="1" fillId="5" borderId="9" xfId="0" applyNumberFormat="1" applyFont="1" applyFill="1" applyBorder="1" applyAlignment="1" applyProtection="1">
      <alignment horizontal="center" vertical="center"/>
      <protection hidden="1"/>
    </xf>
    <xf numFmtId="21" fontId="0" fillId="0" borderId="1" xfId="0" applyNumberFormat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locked="0" hidden="1"/>
    </xf>
    <xf numFmtId="0" fontId="7" fillId="10" borderId="0" xfId="0" applyFont="1" applyFill="1" applyAlignment="1" applyProtection="1">
      <alignment horizontal="right" vertical="center"/>
      <protection locked="0" hidden="1"/>
    </xf>
    <xf numFmtId="0" fontId="0" fillId="0" borderId="0" xfId="0" applyAlignment="1" applyProtection="1">
      <alignment horizontal="left"/>
      <protection locked="0" hidden="1"/>
    </xf>
    <xf numFmtId="164" fontId="0" fillId="0" borderId="0" xfId="0" applyNumberFormat="1" applyProtection="1">
      <protection hidden="1"/>
    </xf>
    <xf numFmtId="2" fontId="0" fillId="0" borderId="0" xfId="0" quotePrefix="1" applyNumberFormat="1" applyAlignment="1" applyProtection="1">
      <alignment horizontal="right"/>
      <protection hidden="1"/>
    </xf>
    <xf numFmtId="0" fontId="0" fillId="0" borderId="0" xfId="0" applyNumberFormat="1" applyAlignment="1" applyProtection="1">
      <alignment horizontal="left"/>
      <protection hidden="1"/>
    </xf>
    <xf numFmtId="0" fontId="0" fillId="0" borderId="0" xfId="0" applyNumberFormat="1"/>
    <xf numFmtId="19" fontId="10" fillId="9" borderId="1" xfId="0" applyNumberFormat="1" applyFont="1" applyFill="1" applyBorder="1" applyAlignment="1" applyProtection="1">
      <alignment horizontal="center" vertical="center" wrapText="1"/>
      <protection locked="0" hidden="1"/>
    </xf>
    <xf numFmtId="2" fontId="12" fillId="12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</dxf>
  </dxfs>
  <tableStyles count="0" defaultTableStyle="TableStyleMedium2" defaultPivotStyle="PivotStyleLight16"/>
  <colors>
    <mruColors>
      <color rgb="FF00B050"/>
      <color rgb="FF006600"/>
      <color rgb="FFFF6600"/>
      <color rgb="FF00FF00"/>
      <color rgb="FF305496"/>
      <color rgb="FF0000FF"/>
      <color rgb="FFFF3399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0408719476793"/>
          <c:y val="9.1102716890118479E-2"/>
          <c:w val="0.87635451977876611"/>
          <c:h val="0.83015464283180818"/>
        </c:manualLayout>
      </c:layout>
      <c:lineChart>
        <c:grouping val="standard"/>
        <c:varyColors val="0"/>
        <c:ser>
          <c:idx val="0"/>
          <c:order val="0"/>
          <c:tx>
            <c:strRef>
              <c:f>Calculation!$K$2</c:f>
              <c:strCache>
                <c:ptCount val="1"/>
                <c:pt idx="0">
                  <c:v>CE (Chg OI)</c:v>
                </c:pt>
              </c:strCache>
            </c:strRef>
          </c:tx>
          <c:spPr>
            <a:ln w="19050" cap="rnd">
              <a:solidFill>
                <a:srgbClr val="FF66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4"/>
                <c:pt idx="0">
                  <c:v>0.95414351851851853</c:v>
                </c:pt>
                <c:pt idx="1">
                  <c:v>0.95483796296296297</c:v>
                </c:pt>
                <c:pt idx="2">
                  <c:v>0.9555324074074073</c:v>
                </c:pt>
                <c:pt idx="3">
                  <c:v>0.95622685185185186</c:v>
                </c:pt>
              </c:numCache>
            </c:numRef>
          </c:cat>
          <c:val>
            <c:numRef>
              <c:f>Calculation!CE</c:f>
              <c:numCache>
                <c:formatCode>General</c:formatCode>
                <c:ptCount val="4"/>
                <c:pt idx="0">
                  <c:v>61275</c:v>
                </c:pt>
                <c:pt idx="1">
                  <c:v>61275</c:v>
                </c:pt>
                <c:pt idx="2">
                  <c:v>538350</c:v>
                </c:pt>
                <c:pt idx="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194-4C4D-94C4-C6E1732D62F6}"/>
            </c:ext>
          </c:extLst>
        </c:ser>
        <c:ser>
          <c:idx val="1"/>
          <c:order val="1"/>
          <c:tx>
            <c:strRef>
              <c:f>Calculation!$L$2</c:f>
              <c:strCache>
                <c:ptCount val="1"/>
                <c:pt idx="0">
                  <c:v>PE (Chg OI)</c:v>
                </c:pt>
              </c:strCache>
            </c:strRef>
          </c:tx>
          <c:spPr>
            <a:ln w="19050" cap="rnd">
              <a:solidFill>
                <a:srgbClr val="00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4"/>
                <c:pt idx="0">
                  <c:v>0.95414351851851853</c:v>
                </c:pt>
                <c:pt idx="1">
                  <c:v>0.95483796296296297</c:v>
                </c:pt>
                <c:pt idx="2">
                  <c:v>0.9555324074074073</c:v>
                </c:pt>
                <c:pt idx="3">
                  <c:v>0.95622685185185186</c:v>
                </c:pt>
              </c:numCache>
            </c:numRef>
          </c:cat>
          <c:val>
            <c:numRef>
              <c:f>Calculation!PE</c:f>
              <c:numCache>
                <c:formatCode>General</c:formatCode>
                <c:ptCount val="4"/>
                <c:pt idx="0">
                  <c:v>249075</c:v>
                </c:pt>
                <c:pt idx="1">
                  <c:v>249075</c:v>
                </c:pt>
                <c:pt idx="2">
                  <c:v>848625</c:v>
                </c:pt>
                <c:pt idx="3">
                  <c:v>825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194-4C4D-94C4-C6E1732D62F6}"/>
            </c:ext>
          </c:extLst>
        </c:ser>
        <c:ser>
          <c:idx val="2"/>
          <c:order val="2"/>
          <c:tx>
            <c:strRef>
              <c:f>Calculation!$M$2</c:f>
              <c:strCache>
                <c:ptCount val="1"/>
                <c:pt idx="0">
                  <c:v>Difference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4"/>
                <c:pt idx="0">
                  <c:v>0.95414351851851853</c:v>
                </c:pt>
                <c:pt idx="1">
                  <c:v>0.95483796296296297</c:v>
                </c:pt>
                <c:pt idx="2">
                  <c:v>0.9555324074074073</c:v>
                </c:pt>
                <c:pt idx="3">
                  <c:v>0.95622685185185186</c:v>
                </c:pt>
              </c:numCache>
            </c:numRef>
          </c:cat>
          <c:val>
            <c:numRef>
              <c:f>Calculation!CEPEDifference</c:f>
              <c:numCache>
                <c:formatCode>General</c:formatCode>
                <c:ptCount val="4"/>
                <c:pt idx="0">
                  <c:v>187800</c:v>
                </c:pt>
                <c:pt idx="1">
                  <c:v>187800</c:v>
                </c:pt>
                <c:pt idx="2">
                  <c:v>310275</c:v>
                </c:pt>
                <c:pt idx="3">
                  <c:v>825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8312672"/>
        <c:axId val="-1358302880"/>
      </c:lineChart>
      <c:lineChart>
        <c:grouping val="standard"/>
        <c:varyColors val="0"/>
        <c:ser>
          <c:idx val="3"/>
          <c:order val="3"/>
          <c:tx>
            <c:strRef>
              <c:f>Calculation!$P$2</c:f>
              <c:strCache>
                <c:ptCount val="1"/>
                <c:pt idx="0">
                  <c:v>Nifty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4"/>
                <c:pt idx="0">
                  <c:v>0.95414351851851853</c:v>
                </c:pt>
                <c:pt idx="1">
                  <c:v>0.95483796296296297</c:v>
                </c:pt>
                <c:pt idx="2">
                  <c:v>0.9555324074074073</c:v>
                </c:pt>
                <c:pt idx="3">
                  <c:v>0.95622685185185186</c:v>
                </c:pt>
              </c:numCache>
            </c:numRef>
          </c:cat>
          <c:val>
            <c:numRef>
              <c:f>Calculation!NiftyPrice</c:f>
              <c:numCache>
                <c:formatCode>0</c:formatCode>
                <c:ptCount val="4"/>
                <c:pt idx="0">
                  <c:v>15136.95</c:v>
                </c:pt>
                <c:pt idx="1">
                  <c:v>15136.95</c:v>
                </c:pt>
                <c:pt idx="2">
                  <c:v>15136.95</c:v>
                </c:pt>
                <c:pt idx="3">
                  <c:v>15136.95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8301792"/>
        <c:axId val="-1358302336"/>
      </c:lineChart>
      <c:catAx>
        <c:axId val="-1358312672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8302880"/>
        <c:crosses val="autoZero"/>
        <c:auto val="1"/>
        <c:lblAlgn val="ctr"/>
        <c:lblOffset val="100"/>
        <c:noMultiLvlLbl val="0"/>
      </c:catAx>
      <c:valAx>
        <c:axId val="-135830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8312672"/>
        <c:crosses val="autoZero"/>
        <c:crossBetween val="between"/>
        <c:dispUnits>
          <c:builtInUnit val="thousands"/>
        </c:dispUnits>
      </c:valAx>
      <c:valAx>
        <c:axId val="-1358302336"/>
        <c:scaling>
          <c:orientation val="minMax"/>
        </c:scaling>
        <c:delete val="0"/>
        <c:axPos val="r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8301792"/>
        <c:crosses val="max"/>
        <c:crossBetween val="between"/>
      </c:valAx>
      <c:catAx>
        <c:axId val="-1358301792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-1358302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(Chg in OI)</c:v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Calculation!$G$4:$G$13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B99-4703-B33C-D0A767246D6C}"/>
            </c:ext>
          </c:extLst>
        </c:ser>
        <c:ser>
          <c:idx val="0"/>
          <c:order val="1"/>
          <c:tx>
            <c:v>CE (Chg in OI)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path path="rect">
                <a:fillToRect l="100000" t="100000"/>
              </a:path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Calculation!$C$4:$C$13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B99-4703-B33C-D0A767246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358300704"/>
        <c:axId val="-1358299616"/>
      </c:barChart>
      <c:catAx>
        <c:axId val="-13583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8299616"/>
        <c:crosses val="autoZero"/>
        <c:auto val="1"/>
        <c:lblAlgn val="ctr"/>
        <c:lblOffset val="100"/>
        <c:tickMarkSkip val="1"/>
        <c:noMultiLvlLbl val="0"/>
      </c:catAx>
      <c:valAx>
        <c:axId val="-135829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83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OI</c:v>
          </c:tx>
          <c:spPr>
            <a:gradFill flip="none" rotWithShape="1">
              <a:gsLst>
                <a:gs pos="0">
                  <a:srgbClr val="006600"/>
                </a:gs>
                <a:gs pos="50000">
                  <a:srgbClr val="00B050"/>
                </a:gs>
                <a:gs pos="100000">
                  <a:srgbClr val="00660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Calculation!$H$4:$H$13</c:f>
              <c:numCache>
                <c:formatCode>General</c:formatCode>
                <c:ptCount val="10"/>
                <c:pt idx="0">
                  <c:v>4</c:v>
                </c:pt>
                <c:pt idx="1">
                  <c:v>9</c:v>
                </c:pt>
                <c:pt idx="2">
                  <c:v>64</c:v>
                </c:pt>
                <c:pt idx="3">
                  <c:v>0</c:v>
                </c:pt>
                <c:pt idx="4">
                  <c:v>23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D3-4CE4-A74B-7D896DE17E18}"/>
            </c:ext>
          </c:extLst>
        </c:ser>
        <c:ser>
          <c:idx val="0"/>
          <c:order val="1"/>
          <c:tx>
            <c:v>CE OI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rgbClr val="FF0000"/>
                  </a:gs>
                  <a:gs pos="100000">
                    <a:srgbClr val="FF0000"/>
                  </a:gs>
                  <a:gs pos="50000">
                    <a:srgbClr val="FF6600"/>
                  </a:gs>
                </a:gsLst>
                <a:path path="circle">
                  <a:fillToRect l="100000" t="100000"/>
                </a:path>
                <a:tileRect r="-100000" b="-10000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woPt" dir="t"/>
              </a:scene3d>
              <a:sp3d prstMaterial="metal"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705-43C0-A91A-E8CAB9C17370}"/>
              </c:ext>
            </c:extLst>
          </c:dPt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Calculation!$B$4:$B$13</c:f>
              <c:numCache>
                <c:formatCode>General</c:formatCode>
                <c:ptCount val="10"/>
                <c:pt idx="0">
                  <c:v>2</c:v>
                </c:pt>
                <c:pt idx="1">
                  <c:v>0</c:v>
                </c:pt>
                <c:pt idx="2">
                  <c:v>34</c:v>
                </c:pt>
                <c:pt idx="3">
                  <c:v>2</c:v>
                </c:pt>
                <c:pt idx="4">
                  <c:v>27</c:v>
                </c:pt>
                <c:pt idx="5">
                  <c:v>0</c:v>
                </c:pt>
                <c:pt idx="6">
                  <c:v>32</c:v>
                </c:pt>
                <c:pt idx="7">
                  <c:v>0</c:v>
                </c:pt>
                <c:pt idx="8">
                  <c:v>16</c:v>
                </c:pt>
                <c:pt idx="9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D3-4CE4-A74B-7D896DE17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358314848"/>
        <c:axId val="-1358314304"/>
      </c:barChart>
      <c:catAx>
        <c:axId val="-135831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8314304"/>
        <c:crosses val="autoZero"/>
        <c:auto val="1"/>
        <c:lblAlgn val="ctr"/>
        <c:lblOffset val="100"/>
        <c:noMultiLvlLbl val="0"/>
      </c:catAx>
      <c:valAx>
        <c:axId val="-135831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831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Max Pain</a:t>
            </a:r>
          </a:p>
        </c:rich>
      </c:tx>
      <c:layout>
        <c:manualLayout>
          <c:xMode val="edge"/>
          <c:yMode val="edge"/>
          <c:x val="0.41204468343896039"/>
          <c:y val="3.27157537909642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96485500288073"/>
          <c:y val="2.4824956563888629E-2"/>
          <c:w val="0.86799308623007498"/>
          <c:h val="0.82968002040497268"/>
        </c:manualLayout>
      </c:layout>
      <c:barChart>
        <c:barDir val="col"/>
        <c:grouping val="clustered"/>
        <c:varyColors val="0"/>
        <c:ser>
          <c:idx val="5"/>
          <c:order val="0"/>
          <c:tx>
            <c:strRef>
              <c:f>Data!$AO$1</c:f>
              <c:strCache>
                <c:ptCount val="1"/>
                <c:pt idx="0">
                  <c:v>CE</c:v>
                </c:pt>
              </c:strCache>
            </c:strRef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circle">
                <a:fillToRect l="100000" t="100000"/>
              </a:path>
              <a:tileRect r="-100000" b="-100000"/>
            </a:gradFill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Data!$AO$2:$AO$26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300</c:v>
                </c:pt>
                <c:pt idx="9">
                  <c:v>450</c:v>
                </c:pt>
                <c:pt idx="10">
                  <c:v>2300</c:v>
                </c:pt>
                <c:pt idx="11">
                  <c:v>4250</c:v>
                </c:pt>
                <c:pt idx="12">
                  <c:v>7550</c:v>
                </c:pt>
                <c:pt idx="13">
                  <c:v>10850</c:v>
                </c:pt>
                <c:pt idx="14">
                  <c:v>15750</c:v>
                </c:pt>
                <c:pt idx="15">
                  <c:v>20650</c:v>
                </c:pt>
                <c:pt idx="16">
                  <c:v>26350</c:v>
                </c:pt>
                <c:pt idx="17">
                  <c:v>32150</c:v>
                </c:pt>
                <c:pt idx="18">
                  <c:v>38200</c:v>
                </c:pt>
                <c:pt idx="19">
                  <c:v>44250</c:v>
                </c:pt>
                <c:pt idx="20">
                  <c:v>53850</c:v>
                </c:pt>
                <c:pt idx="21">
                  <c:v>63450</c:v>
                </c:pt>
                <c:pt idx="22">
                  <c:v>73100</c:v>
                </c:pt>
                <c:pt idx="23">
                  <c:v>82750</c:v>
                </c:pt>
                <c:pt idx="24">
                  <c:v>93000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44C-4AE7-9123-EA213BAE3CD5}"/>
            </c:ext>
          </c:extLst>
        </c:ser>
        <c:ser>
          <c:idx val="0"/>
          <c:order val="1"/>
          <c:tx>
            <c:strRef>
              <c:f>Data!$AP$1</c:f>
              <c:strCache>
                <c:ptCount val="1"/>
                <c:pt idx="0">
                  <c:v>PE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600000" scaled="0"/>
            </a:gradFill>
            <a:ln>
              <a:noFill/>
            </a:ln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Data!$AP$2:$AP$26</c:f>
              <c:numCache>
                <c:formatCode>General</c:formatCode>
                <c:ptCount val="25"/>
                <c:pt idx="0">
                  <c:v>54000</c:v>
                </c:pt>
                <c:pt idx="1">
                  <c:v>48250</c:v>
                </c:pt>
                <c:pt idx="2">
                  <c:v>42550</c:v>
                </c:pt>
                <c:pt idx="3">
                  <c:v>36850</c:v>
                </c:pt>
                <c:pt idx="4">
                  <c:v>31150</c:v>
                </c:pt>
                <c:pt idx="5">
                  <c:v>25450</c:v>
                </c:pt>
                <c:pt idx="6">
                  <c:v>19950</c:v>
                </c:pt>
                <c:pt idx="7">
                  <c:v>14450</c:v>
                </c:pt>
                <c:pt idx="8">
                  <c:v>9150</c:v>
                </c:pt>
                <c:pt idx="9">
                  <c:v>4300</c:v>
                </c:pt>
                <c:pt idx="10">
                  <c:v>2650</c:v>
                </c:pt>
                <c:pt idx="11">
                  <c:v>1000</c:v>
                </c:pt>
                <c:pt idx="12">
                  <c:v>500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4C-4AE7-9123-EA213BAE3CD5}"/>
            </c:ext>
          </c:extLst>
        </c:ser>
        <c:ser>
          <c:idx val="1"/>
          <c:order val="2"/>
          <c:tx>
            <c:strRef>
              <c:f>Data!$AR$1</c:f>
              <c:strCache>
                <c:ptCount val="1"/>
                <c:pt idx="0">
                  <c:v>Strike</c:v>
                </c:pt>
              </c:strCache>
            </c:strRef>
          </c:tx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44C-4AE7-9123-EA213BAE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-1358311584"/>
        <c:axId val="-1358310496"/>
        <c:extLst xmlns:c16r2="http://schemas.microsoft.com/office/drawing/2015/06/chart"/>
      </c:barChart>
      <c:catAx>
        <c:axId val="-1358311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>
            <a:glow>
              <a:schemeClr val="bg1"/>
            </a:glow>
          </a:effectLst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8310496"/>
        <c:crosses val="autoZero"/>
        <c:auto val="1"/>
        <c:lblAlgn val="ctr"/>
        <c:lblOffset val="100"/>
        <c:noMultiLvlLbl val="0"/>
      </c:catAx>
      <c:valAx>
        <c:axId val="-135831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831158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  <a:scene3d>
          <a:camera prst="orthographicFront"/>
          <a:lightRig rig="threePt" dir="t"/>
        </a:scene3d>
        <a:sp3d prstMaterial="matte"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0</xdr:rowOff>
        </xdr:from>
        <xdr:to>
          <xdr:col>6</xdr:col>
          <xdr:colOff>488950</xdr:colOff>
          <xdr:row>1</xdr:row>
          <xdr:rowOff>184150</xdr:rowOff>
        </xdr:to>
        <xdr:sp macro="" textlink="">
          <xdr:nvSpPr>
            <xdr:cNvPr id="1025" name="Start Ti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1</xdr:row>
          <xdr:rowOff>0</xdr:rowOff>
        </xdr:from>
        <xdr:to>
          <xdr:col>7</xdr:col>
          <xdr:colOff>323850</xdr:colOff>
          <xdr:row>1</xdr:row>
          <xdr:rowOff>184150</xdr:rowOff>
        </xdr:to>
        <xdr:sp macro="" textlink="">
          <xdr:nvSpPr>
            <xdr:cNvPr id="1026" name="Stop Tim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</xdr:row>
          <xdr:rowOff>0</xdr:rowOff>
        </xdr:from>
        <xdr:to>
          <xdr:col>8</xdr:col>
          <xdr:colOff>0</xdr:colOff>
          <xdr:row>1</xdr:row>
          <xdr:rowOff>184150</xdr:rowOff>
        </xdr:to>
        <xdr:sp macro="" textlink="">
          <xdr:nvSpPr>
            <xdr:cNvPr id="1027" name="Clear Dat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15</xdr:row>
      <xdr:rowOff>1</xdr:rowOff>
    </xdr:from>
    <xdr:to>
      <xdr:col>8</xdr:col>
      <xdr:colOff>0</xdr:colOff>
      <xdr:row>29</xdr:row>
      <xdr:rowOff>152401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190499</xdr:rowOff>
    </xdr:from>
    <xdr:to>
      <xdr:col>8</xdr:col>
      <xdr:colOff>0</xdr:colOff>
      <xdr:row>45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8</xdr:col>
      <xdr:colOff>0</xdr:colOff>
      <xdr:row>60</xdr:row>
      <xdr:rowOff>157163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62</xdr:row>
      <xdr:rowOff>9524</xdr:rowOff>
    </xdr:from>
    <xdr:to>
      <xdr:col>8</xdr:col>
      <xdr:colOff>9525</xdr:colOff>
      <xdr:row>77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preserveFormatting="0" connectionId="2" autoFormatId="16" applyNumberFormats="0" applyBorderFormats="0" applyFontFormats="0" applyPatternFormats="0" applyAlignmentFormats="0" applyWidthHeightFormats="0">
  <queryTableRefresh preserveSortFilterLayout="0" nextId="27">
    <queryTableFields count="26">
      <queryTableField id="1" name="strikePrice" tableColumnId="1"/>
      <queryTableField id="2" name="expiryDate" tableColumnId="2"/>
      <queryTableField id="3" name="openInterest" tableColumnId="3"/>
      <queryTableField id="4" name="changeinOpenInterest" tableColumnId="4"/>
      <queryTableField id="5" name="pchangeinOpenInterest" tableColumnId="5"/>
      <queryTableField id="6" name="totalTradedVolume" tableColumnId="6"/>
      <queryTableField id="7" name="impliedVolatility" tableColumnId="7"/>
      <queryTableField id="8" name="lastPrice" tableColumnId="8"/>
      <queryTableField id="9" name="change" tableColumnId="9"/>
      <queryTableField id="10" name="pChange" tableColumnId="10"/>
      <queryTableField id="11" name="totalBuyQuantity" tableColumnId="11"/>
      <queryTableField id="12" name="totalSellQuantity" tableColumnId="12"/>
      <queryTableField id="13" name="underlyingValue" tableColumnId="13"/>
      <queryTableField id="14" name="strikePrice.1" tableColumnId="14"/>
      <queryTableField id="15" name="expiryDate.1" tableColumnId="15"/>
      <queryTableField id="16" name="openInterest.1" tableColumnId="16"/>
      <queryTableField id="17" name="changeinOpenInterest.1" tableColumnId="17"/>
      <queryTableField id="18" name="pchangeinOpenInterest.1" tableColumnId="18"/>
      <queryTableField id="19" name="totalTradedVolume.1" tableColumnId="19"/>
      <queryTableField id="20" name="impliedVolatility.1" tableColumnId="20"/>
      <queryTableField id="21" name="lastPrice.1" tableColumnId="21"/>
      <queryTableField id="22" name="change.1" tableColumnId="22"/>
      <queryTableField id="23" name="pChange.1" tableColumnId="23"/>
      <queryTableField id="24" name="totalBuyQuantity.1" tableColumnId="24"/>
      <queryTableField id="25" name="totalSellQuantity.1" tableColumnId="25"/>
      <queryTableField id="26" name="underlyingValue.1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Data" displayName="Data" ref="B1:AA1061" tableType="queryTable" totalsRowShown="0" headerRowDxfId="27" dataDxfId="26">
  <tableColumns count="26">
    <tableColumn id="1" uniqueName="1" name="strikePrice" queryTableFieldId="1" dataDxfId="25"/>
    <tableColumn id="2" uniqueName="2" name="expiryDate" queryTableFieldId="2" dataDxfId="24"/>
    <tableColumn id="3" uniqueName="3" name="openInterest" queryTableFieldId="3" dataDxfId="23"/>
    <tableColumn id="4" uniqueName="4" name="changeinOpenInterest" queryTableFieldId="4" dataDxfId="22"/>
    <tableColumn id="5" uniqueName="5" name="pchangeinOpenInterest" queryTableFieldId="5" dataDxfId="21"/>
    <tableColumn id="6" uniqueName="6" name="totalTradedVolume" queryTableFieldId="6" dataDxfId="20"/>
    <tableColumn id="7" uniqueName="7" name="impliedVolatility" queryTableFieldId="7" dataDxfId="19"/>
    <tableColumn id="8" uniqueName="8" name="lastPrice" queryTableFieldId="8" dataDxfId="18"/>
    <tableColumn id="9" uniqueName="9" name="change" queryTableFieldId="9" dataDxfId="17"/>
    <tableColumn id="10" uniqueName="10" name="pChange" queryTableFieldId="10" dataDxfId="16"/>
    <tableColumn id="11" uniqueName="11" name="totalBuyQuantity" queryTableFieldId="11" dataDxfId="15"/>
    <tableColumn id="12" uniqueName="12" name="totalSellQuantity" queryTableFieldId="12" dataDxfId="14"/>
    <tableColumn id="13" uniqueName="13" name="underlyingValue" queryTableFieldId="13" dataDxfId="13"/>
    <tableColumn id="14" uniqueName="14" name="strikePrice.1" queryTableFieldId="14" dataDxfId="12"/>
    <tableColumn id="15" uniqueName="15" name="expiryDate.1" queryTableFieldId="15" dataDxfId="11"/>
    <tableColumn id="16" uniqueName="16" name="openInterest.1" queryTableFieldId="16" dataDxfId="10"/>
    <tableColumn id="17" uniqueName="17" name="changeinOpenInterest.1" queryTableFieldId="17" dataDxfId="9"/>
    <tableColumn id="18" uniqueName="18" name="pchangeinOpenInterest.1" queryTableFieldId="18" dataDxfId="8"/>
    <tableColumn id="19" uniqueName="19" name="totalTradedVolume.1" queryTableFieldId="19" dataDxfId="7"/>
    <tableColumn id="20" uniqueName="20" name="impliedVolatility.1" queryTableFieldId="20" dataDxfId="6"/>
    <tableColumn id="21" uniqueName="21" name="lastPrice.1" queryTableFieldId="21" dataDxfId="5"/>
    <tableColumn id="22" uniqueName="22" name="change.1" queryTableFieldId="22" dataDxfId="4"/>
    <tableColumn id="23" uniqueName="23" name="pChange.1" queryTableFieldId="23" dataDxfId="3"/>
    <tableColumn id="24" uniqueName="24" name="totalBuyQuantity.1" queryTableFieldId="24" dataDxfId="2"/>
    <tableColumn id="25" uniqueName="25" name="totalSellQuantity.1" queryTableFieldId="25" dataDxfId="1"/>
    <tableColumn id="26" uniqueName="26" name="underlyingValue.1" queryTableFieldId="26" dataDxfId="0"/>
  </tableColumns>
  <tableStyleInfo name="TableStyleLight14" showFirstColumn="0" showLastColumn="0" showRowStripes="0" showColumnStripes="0"/>
</table>
</file>

<file path=xl/tables/table2.xml><?xml version="1.0" encoding="utf-8"?>
<table xmlns="http://schemas.openxmlformats.org/spreadsheetml/2006/main" id="1" name="Table2" displayName="Table2" ref="B2:B3" totalsRowShown="0">
  <autoFilter ref="B2:B3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1"/>
  <sheetViews>
    <sheetView showGridLines="0" showRowColHeaders="0" tabSelected="1" zoomScaleNormal="100" workbookViewId="0">
      <selection activeCell="A3" sqref="A3"/>
    </sheetView>
  </sheetViews>
  <sheetFormatPr defaultColWidth="0" defaultRowHeight="14.5" zeroHeight="1" x14ac:dyDescent="0.35"/>
  <cols>
    <col min="1" max="1" width="1.1796875" style="21" customWidth="1"/>
    <col min="2" max="2" width="12.26953125" style="18" customWidth="1"/>
    <col min="3" max="3" width="9.7265625" style="18" customWidth="1"/>
    <col min="4" max="6" width="8.7265625" style="18" customWidth="1"/>
    <col min="7" max="7" width="9.7265625" style="18" customWidth="1"/>
    <col min="8" max="8" width="12.26953125" style="18" customWidth="1"/>
    <col min="9" max="9" width="1.1796875" style="18" customWidth="1"/>
    <col min="10" max="10" width="8.26953125" style="29" customWidth="1"/>
    <col min="11" max="12" width="10.7265625" style="2" bestFit="1" customWidth="1"/>
    <col min="13" max="13" width="10.453125" style="2" bestFit="1" customWidth="1"/>
    <col min="14" max="14" width="9.1796875" style="2" customWidth="1"/>
    <col min="15" max="15" width="6.7265625" style="2" bestFit="1" customWidth="1"/>
    <col min="16" max="16" width="9.1796875" style="30" customWidth="1"/>
    <col min="17" max="17" width="1.1796875" style="21" customWidth="1"/>
    <col min="18" max="19" width="0" style="18" hidden="1" customWidth="1"/>
    <col min="20" max="16384" width="9.1796875" style="18" hidden="1"/>
  </cols>
  <sheetData>
    <row r="1" spans="1:16" s="21" customFormat="1" ht="7.5" customHeight="1" x14ac:dyDescent="0.25">
      <c r="A1" s="32"/>
      <c r="B1" s="42" t="s">
        <v>0</v>
      </c>
      <c r="C1" s="39" t="s">
        <v>68</v>
      </c>
    </row>
    <row r="2" spans="1:16" ht="15" x14ac:dyDescent="0.25">
      <c r="A2" s="32"/>
      <c r="B2" s="47">
        <v>44259</v>
      </c>
      <c r="C2" s="49" t="s">
        <v>46</v>
      </c>
      <c r="D2" s="50">
        <v>0.95622685185185186</v>
      </c>
      <c r="E2" s="1" t="s">
        <v>47</v>
      </c>
      <c r="F2" s="48">
        <v>1</v>
      </c>
      <c r="G2" s="2"/>
      <c r="H2" s="2"/>
      <c r="J2" s="1" t="s">
        <v>46</v>
      </c>
      <c r="K2" s="1" t="s">
        <v>49</v>
      </c>
      <c r="L2" s="1" t="s">
        <v>50</v>
      </c>
      <c r="M2" s="1" t="s">
        <v>51</v>
      </c>
      <c r="N2" s="1" t="s">
        <v>52</v>
      </c>
      <c r="O2" s="1" t="s">
        <v>53</v>
      </c>
      <c r="P2" s="9" t="s">
        <v>54</v>
      </c>
    </row>
    <row r="3" spans="1:16" ht="15" x14ac:dyDescent="0.25">
      <c r="A3" s="32" t="s">
        <v>2070</v>
      </c>
      <c r="B3" s="41" t="s">
        <v>43</v>
      </c>
      <c r="C3" s="3" t="s">
        <v>48</v>
      </c>
      <c r="D3" s="3" t="s">
        <v>45</v>
      </c>
      <c r="E3" s="1" t="s">
        <v>42</v>
      </c>
      <c r="F3" s="4" t="s">
        <v>45</v>
      </c>
      <c r="G3" s="4" t="s">
        <v>48</v>
      </c>
      <c r="H3" s="4" t="s">
        <v>43</v>
      </c>
      <c r="J3" s="22">
        <v>0.95414351851851853</v>
      </c>
      <c r="K3" s="23">
        <v>61275</v>
      </c>
      <c r="L3" s="33">
        <v>249075</v>
      </c>
      <c r="M3" s="5">
        <f>IFERROR(IF(ISBLANK(J3),"",L3-K3),"")</f>
        <v>187800</v>
      </c>
      <c r="N3" s="5" t="str">
        <f>IFERROR(IF(OR(J3=" ",K3=" ",L3=" ")," ",IF(L3&gt;K3,"BULLISH",IF(K3&gt;L3,"BEARISH",""))),"")</f>
        <v>BULLISH</v>
      </c>
      <c r="O3" s="11">
        <f>IFERROR(IF(AND(N3="BULLISH",K3&lt;0),(L3-(K3))/-K3,IF(AND(N3="BULLISH",K3&gt;0),L3/K3,IF(AND(N3="BEARISH",L3&lt;0),(K3-(L3))/-L3,IF(N3="BEARISH",K3/L3,"")))),"")</f>
        <v>4.0648714810281517</v>
      </c>
      <c r="P3" s="24">
        <v>15136.95</v>
      </c>
    </row>
    <row r="4" spans="1:16" ht="15" x14ac:dyDescent="0.25">
      <c r="A4" s="32"/>
      <c r="B4" s="40">
        <f>IFERROR(VLOOKUP(E4,Data!$AE$2:$AM$200,4,0),"")</f>
        <v>2</v>
      </c>
      <c r="C4" s="5">
        <f>IFERROR(VLOOKUP(E4,Data!$AE$2:$AM$200,3,0),"")</f>
        <v>0</v>
      </c>
      <c r="D4" s="6">
        <f>IFERROR(VLOOKUP(E4,Data!$AE$2:$AM$200,2,0),"")</f>
        <v>0</v>
      </c>
      <c r="E4" s="7">
        <f t="shared" ref="E4:E7" si="0">IFERROR(E5-50,"")</f>
        <v>14900</v>
      </c>
      <c r="F4" s="6">
        <f>IFERROR(VLOOKUP(E4,Data!$AE$2:$AM$200,6,0),"")</f>
        <v>193</v>
      </c>
      <c r="G4" s="5">
        <f>IFERROR(VLOOKUP(E4,Data!$AE$2:$AM$200,7,0),"")</f>
        <v>0</v>
      </c>
      <c r="H4" s="5">
        <f>IFERROR(VLOOKUP(E4,Data!$AE$2:$AM$200,8,0),"")</f>
        <v>4</v>
      </c>
      <c r="J4" s="22">
        <v>0.95483796296296297</v>
      </c>
      <c r="K4" s="23">
        <v>61275</v>
      </c>
      <c r="L4" s="33">
        <v>249075</v>
      </c>
      <c r="M4" s="5">
        <f t="shared" ref="M4:M67" si="1">IFERROR(IF(ISBLANK(J4),"",L4-K4),"")</f>
        <v>187800</v>
      </c>
      <c r="N4" s="5" t="str">
        <f t="shared" ref="N4:N67" si="2">IFERROR(IF(OR(J4=" ",K4=" ",L4=" ")," ",IF(L4&gt;K4,"BULLISH",IF(K4&gt;L4,"BEARISH",""))),"")</f>
        <v>BULLISH</v>
      </c>
      <c r="O4" s="11">
        <f t="shared" ref="O4:O67" si="3">IFERROR(IF(AND(N4="BULLISH",K4&lt;0),(L4-(K4))/-K4,IF(AND(N4="BULLISH",K4&gt;0),L4/K4,IF(AND(N4="BEARISH",L4&lt;0),(K4-(L4))/-L4,IF(N4="BEARISH",K4/L4,"")))),"")</f>
        <v>4.0648714810281517</v>
      </c>
      <c r="P4" s="24">
        <v>15136.95</v>
      </c>
    </row>
    <row r="5" spans="1:16" ht="15" x14ac:dyDescent="0.25">
      <c r="A5" s="32"/>
      <c r="B5" s="40">
        <f>IFERROR(VLOOKUP(E5,Data!$AE$2:$AM$200,4,0),"")</f>
        <v>0</v>
      </c>
      <c r="C5" s="5">
        <f>IFERROR(VLOOKUP(E5,Data!$AE$2:$AM$200,3,0),"")</f>
        <v>0</v>
      </c>
      <c r="D5" s="6">
        <f>IFERROR(VLOOKUP(E5,Data!$AE$2:$AM$200,2,0),"")</f>
        <v>0</v>
      </c>
      <c r="E5" s="7">
        <f t="shared" si="0"/>
        <v>14950</v>
      </c>
      <c r="F5" s="6">
        <f>IFERROR(VLOOKUP(E5,Data!$AE$2:$AM$200,6,0),"")</f>
        <v>0</v>
      </c>
      <c r="G5" s="5">
        <f>IFERROR(VLOOKUP(E5,Data!$AE$2:$AM$200,7,0),"")</f>
        <v>0</v>
      </c>
      <c r="H5" s="5">
        <f>IFERROR(VLOOKUP(E5,Data!$AE$2:$AM$200,8,0),"")</f>
        <v>9</v>
      </c>
      <c r="J5" s="22">
        <v>0.9555324074074073</v>
      </c>
      <c r="K5" s="23">
        <v>538350</v>
      </c>
      <c r="L5" s="33">
        <v>848625</v>
      </c>
      <c r="M5" s="5">
        <f t="shared" si="1"/>
        <v>310275</v>
      </c>
      <c r="N5" s="5" t="str">
        <f t="shared" si="2"/>
        <v>BULLISH</v>
      </c>
      <c r="O5" s="11">
        <f t="shared" si="3"/>
        <v>1.5763443856227362</v>
      </c>
      <c r="P5" s="24">
        <v>15136.95</v>
      </c>
    </row>
    <row r="6" spans="1:16" ht="15" x14ac:dyDescent="0.25">
      <c r="A6" s="32"/>
      <c r="B6" s="40">
        <f>IFERROR(VLOOKUP(E6,Data!$AE$2:$AM$200,4,0),"")</f>
        <v>34</v>
      </c>
      <c r="C6" s="5">
        <f>IFERROR(VLOOKUP(E6,Data!$AE$2:$AM$200,3,0),"")</f>
        <v>-2</v>
      </c>
      <c r="D6" s="6">
        <f>IFERROR(VLOOKUP(E6,Data!$AE$2:$AM$200,2,0),"")</f>
        <v>383</v>
      </c>
      <c r="E6" s="7">
        <f t="shared" si="0"/>
        <v>15000</v>
      </c>
      <c r="F6" s="6">
        <f>IFERROR(VLOOKUP(E6,Data!$AE$2:$AM$200,6,0),"")</f>
        <v>228.3</v>
      </c>
      <c r="G6" s="5">
        <f>IFERROR(VLOOKUP(E6,Data!$AE$2:$AM$200,7,0),"")</f>
        <v>7</v>
      </c>
      <c r="H6" s="5">
        <f>IFERROR(VLOOKUP(E6,Data!$AE$2:$AM$200,8,0),"")</f>
        <v>64</v>
      </c>
      <c r="J6" s="22">
        <v>0.95622685185185186</v>
      </c>
      <c r="K6" s="23">
        <v>0</v>
      </c>
      <c r="L6" s="33">
        <v>825</v>
      </c>
      <c r="M6" s="5">
        <f t="shared" si="1"/>
        <v>825</v>
      </c>
      <c r="N6" s="5" t="str">
        <f t="shared" si="2"/>
        <v>BULLISH</v>
      </c>
      <c r="O6" s="11" t="str">
        <f t="shared" si="3"/>
        <v/>
      </c>
      <c r="P6" s="24">
        <v>15136.95</v>
      </c>
    </row>
    <row r="7" spans="1:16" ht="15" x14ac:dyDescent="0.25">
      <c r="A7" s="32"/>
      <c r="B7" s="40">
        <f>IFERROR(VLOOKUP(E7,Data!$AE$2:$AM$200,4,0),"")</f>
        <v>2</v>
      </c>
      <c r="C7" s="5">
        <f>IFERROR(VLOOKUP(E7,Data!$AE$2:$AM$200,3,0),"")</f>
        <v>0</v>
      </c>
      <c r="D7" s="6">
        <f>IFERROR(VLOOKUP(E7,Data!$AE$2:$AM$200,2,0),"")</f>
        <v>0</v>
      </c>
      <c r="E7" s="7">
        <f t="shared" si="0"/>
        <v>15050</v>
      </c>
      <c r="F7" s="6">
        <f>IFERROR(VLOOKUP(E7,Data!$AE$2:$AM$200,6,0),"")</f>
        <v>0</v>
      </c>
      <c r="G7" s="5">
        <f>IFERROR(VLOOKUP(E7,Data!$AE$2:$AM$200,7,0),"")</f>
        <v>0</v>
      </c>
      <c r="H7" s="5">
        <f>IFERROR(VLOOKUP(E7,Data!$AE$2:$AM$200,8,0),"")</f>
        <v>0</v>
      </c>
      <c r="J7" s="22"/>
      <c r="K7" s="23"/>
      <c r="L7" s="33"/>
      <c r="M7" s="5" t="str">
        <f t="shared" si="1"/>
        <v/>
      </c>
      <c r="N7" s="5" t="str">
        <f t="shared" si="2"/>
        <v/>
      </c>
      <c r="O7" s="11" t="str">
        <f t="shared" si="3"/>
        <v/>
      </c>
      <c r="P7" s="24"/>
    </row>
    <row r="8" spans="1:16" ht="15" x14ac:dyDescent="0.25">
      <c r="A8" s="32"/>
      <c r="B8" s="40">
        <f>IFERROR(VLOOKUP(E8,Data!$AE$2:$AM$200,4,0),"")</f>
        <v>27</v>
      </c>
      <c r="C8" s="5">
        <f>IFERROR(VLOOKUP(E8,Data!$AE$2:$AM$200,3,0),"")</f>
        <v>1</v>
      </c>
      <c r="D8" s="6">
        <f>IFERROR(VLOOKUP(E8,Data!$AE$2:$AM$200,2,0),"")</f>
        <v>323.8</v>
      </c>
      <c r="E8" s="7">
        <f>IFERROR(E9-50,"")</f>
        <v>15100</v>
      </c>
      <c r="F8" s="6">
        <f>IFERROR(VLOOKUP(E8,Data!$AE$2:$AM$200,6,0),"")</f>
        <v>268.7</v>
      </c>
      <c r="G8" s="5">
        <f>IFERROR(VLOOKUP(E8,Data!$AE$2:$AM$200,7,0),"")</f>
        <v>-1</v>
      </c>
      <c r="H8" s="5">
        <f>IFERROR(VLOOKUP(E8,Data!$AE$2:$AM$200,8,0),"")</f>
        <v>23</v>
      </c>
      <c r="J8" s="22"/>
      <c r="K8" s="23"/>
      <c r="L8" s="33"/>
      <c r="M8" s="5" t="str">
        <f t="shared" si="1"/>
        <v/>
      </c>
      <c r="N8" s="5" t="str">
        <f t="shared" si="2"/>
        <v/>
      </c>
      <c r="O8" s="11" t="str">
        <f t="shared" si="3"/>
        <v/>
      </c>
      <c r="P8" s="24"/>
    </row>
    <row r="9" spans="1:16" ht="15" x14ac:dyDescent="0.25">
      <c r="A9" s="32"/>
      <c r="B9" s="40">
        <f>IFERROR(VLOOKUP(E9,Data!$AE$2:$AM$200,4,0),"")</f>
        <v>0</v>
      </c>
      <c r="C9" s="5">
        <f>IFERROR(VLOOKUP(E9,Data!$AE$2:$AM$200,3,0),"")</f>
        <v>0</v>
      </c>
      <c r="D9" s="6">
        <f>IFERROR(VLOOKUP(E9,Data!$AE$2:$AM$200,2,0),"")</f>
        <v>264.85000000000002</v>
      </c>
      <c r="E9" s="8">
        <f>IFERROR(Data!$AC$3,"")</f>
        <v>15150</v>
      </c>
      <c r="F9" s="6">
        <f>IFERROR(VLOOKUP(E9,Data!$AE$2:$AM$200,6,0),"")</f>
        <v>0</v>
      </c>
      <c r="G9" s="5">
        <f>IFERROR(VLOOKUP(E9,Data!$AE$2:$AM$200,7,0),"")</f>
        <v>0</v>
      </c>
      <c r="H9" s="5">
        <f>IFERROR(VLOOKUP(E9,Data!$AE$2:$AM$200,8,0),"")</f>
        <v>0</v>
      </c>
      <c r="J9" s="22"/>
      <c r="K9" s="23"/>
      <c r="L9" s="33"/>
      <c r="M9" s="5" t="str">
        <f t="shared" si="1"/>
        <v/>
      </c>
      <c r="N9" s="5" t="str">
        <f t="shared" si="2"/>
        <v/>
      </c>
      <c r="O9" s="11" t="str">
        <f t="shared" si="3"/>
        <v/>
      </c>
      <c r="P9" s="24"/>
    </row>
    <row r="10" spans="1:16" ht="15" x14ac:dyDescent="0.25">
      <c r="A10" s="32"/>
      <c r="B10" s="40">
        <f>IFERROR(VLOOKUP(E10,Data!$AE$2:$AM$200,4,0),"")</f>
        <v>32</v>
      </c>
      <c r="C10" s="5">
        <f>IFERROR(VLOOKUP(E10,Data!$AE$2:$AM$200,3,0),"")</f>
        <v>1</v>
      </c>
      <c r="D10" s="6">
        <f>IFERROR(VLOOKUP(E10,Data!$AE$2:$AM$200,2,0),"")</f>
        <v>268.10000000000002</v>
      </c>
      <c r="E10" s="8">
        <f>IFERROR(E9+50,"")</f>
        <v>15200</v>
      </c>
      <c r="F10" s="6">
        <f>IFERROR(VLOOKUP(E10,Data!$AE$2:$AM$200,6,0),"")</f>
        <v>306.95</v>
      </c>
      <c r="G10" s="5">
        <f>IFERROR(VLOOKUP(E10,Data!$AE$2:$AM$200,7,0),"")</f>
        <v>5</v>
      </c>
      <c r="H10" s="5">
        <f>IFERROR(VLOOKUP(E10,Data!$AE$2:$AM$200,8,0),"")</f>
        <v>10</v>
      </c>
      <c r="J10" s="22"/>
      <c r="K10" s="23"/>
      <c r="L10" s="33"/>
      <c r="M10" s="5" t="str">
        <f t="shared" si="1"/>
        <v/>
      </c>
      <c r="N10" s="5" t="str">
        <f t="shared" si="2"/>
        <v/>
      </c>
      <c r="O10" s="11" t="str">
        <f t="shared" si="3"/>
        <v/>
      </c>
      <c r="P10" s="24"/>
    </row>
    <row r="11" spans="1:16" ht="15" x14ac:dyDescent="0.25">
      <c r="A11" s="32"/>
      <c r="B11" s="40">
        <f>IFERROR(VLOOKUP(E11,Data!$AE$2:$AM$200,4,0),"")</f>
        <v>0</v>
      </c>
      <c r="C11" s="5">
        <f>IFERROR(VLOOKUP(E11,Data!$AE$2:$AM$200,3,0),"")</f>
        <v>0</v>
      </c>
      <c r="D11" s="6">
        <f>IFERROR(VLOOKUP(E11,Data!$AE$2:$AM$200,2,0),"")</f>
        <v>0</v>
      </c>
      <c r="E11" s="8">
        <f t="shared" ref="E11:E13" si="4">IFERROR(E10+50,"")</f>
        <v>15250</v>
      </c>
      <c r="F11" s="6">
        <f>IFERROR(VLOOKUP(E11,Data!$AE$2:$AM$200,6,0),"")</f>
        <v>0</v>
      </c>
      <c r="G11" s="5">
        <f>IFERROR(VLOOKUP(E11,Data!$AE$2:$AM$200,7,0),"")</f>
        <v>0</v>
      </c>
      <c r="H11" s="5">
        <f>IFERROR(VLOOKUP(E11,Data!$AE$2:$AM$200,8,0),"")</f>
        <v>0</v>
      </c>
      <c r="J11" s="22"/>
      <c r="K11" s="23"/>
      <c r="L11" s="33"/>
      <c r="M11" s="5" t="str">
        <f t="shared" si="1"/>
        <v/>
      </c>
      <c r="N11" s="5" t="str">
        <f t="shared" si="2"/>
        <v/>
      </c>
      <c r="O11" s="11" t="str">
        <f t="shared" si="3"/>
        <v/>
      </c>
      <c r="P11" s="24"/>
    </row>
    <row r="12" spans="1:16" ht="15" x14ac:dyDescent="0.25">
      <c r="A12" s="32"/>
      <c r="B12" s="40">
        <f>IFERROR(VLOOKUP(E12,Data!$AE$2:$AM$200,4,0),"")</f>
        <v>16</v>
      </c>
      <c r="C12" s="5">
        <f>IFERROR(VLOOKUP(E12,Data!$AE$2:$AM$200,3,0),"")</f>
        <v>0</v>
      </c>
      <c r="D12" s="6">
        <f>IFERROR(VLOOKUP(E12,Data!$AE$2:$AM$200,2,0),"")</f>
        <v>213.5</v>
      </c>
      <c r="E12" s="8">
        <f t="shared" si="4"/>
        <v>15300</v>
      </c>
      <c r="F12" s="6">
        <f>IFERROR(VLOOKUP(E12,Data!$AE$2:$AM$200,6,0),"")</f>
        <v>0</v>
      </c>
      <c r="G12" s="5">
        <f>IFERROR(VLOOKUP(E12,Data!$AE$2:$AM$200,7,0),"")</f>
        <v>0</v>
      </c>
      <c r="H12" s="5">
        <f>IFERROR(VLOOKUP(E12,Data!$AE$2:$AM$200,8,0),"")</f>
        <v>0</v>
      </c>
      <c r="J12" s="22"/>
      <c r="K12" s="23"/>
      <c r="L12" s="33"/>
      <c r="M12" s="5" t="str">
        <f t="shared" si="1"/>
        <v/>
      </c>
      <c r="N12" s="5" t="str">
        <f t="shared" si="2"/>
        <v/>
      </c>
      <c r="O12" s="11" t="str">
        <f t="shared" si="3"/>
        <v/>
      </c>
      <c r="P12" s="24"/>
    </row>
    <row r="13" spans="1:16" ht="15" x14ac:dyDescent="0.25">
      <c r="A13" s="32"/>
      <c r="B13" s="40">
        <f>IFERROR(VLOOKUP(E13,Data!$AE$2:$AM$200,4,0),"")</f>
        <v>2</v>
      </c>
      <c r="C13" s="5">
        <f>IFERROR(VLOOKUP(E13,Data!$AE$2:$AM$200,3,0),"")</f>
        <v>0</v>
      </c>
      <c r="D13" s="6">
        <f>IFERROR(VLOOKUP(E13,Data!$AE$2:$AM$200,2,0),"")</f>
        <v>0</v>
      </c>
      <c r="E13" s="8">
        <f t="shared" si="4"/>
        <v>15350</v>
      </c>
      <c r="F13" s="6">
        <f>IFERROR(VLOOKUP(E13,Data!$AE$2:$AM$200,6,0),"")</f>
        <v>0</v>
      </c>
      <c r="G13" s="5">
        <f>IFERROR(VLOOKUP(E13,Data!$AE$2:$AM$200,7,0),"")</f>
        <v>0</v>
      </c>
      <c r="H13" s="5">
        <f>IFERROR(VLOOKUP(E13,Data!$AE$2:$AM$200,8,0),"")</f>
        <v>0</v>
      </c>
      <c r="J13" s="22"/>
      <c r="K13" s="23"/>
      <c r="L13" s="33"/>
      <c r="M13" s="5" t="str">
        <f t="shared" si="1"/>
        <v/>
      </c>
      <c r="N13" s="5" t="str">
        <f t="shared" si="2"/>
        <v/>
      </c>
      <c r="O13" s="11" t="str">
        <f t="shared" si="3"/>
        <v/>
      </c>
      <c r="P13" s="24"/>
    </row>
    <row r="14" spans="1:16" x14ac:dyDescent="0.35">
      <c r="A14" s="32"/>
      <c r="B14" s="44">
        <f>IFERROR(SUM($B$6:$B$13)*75,"")</f>
        <v>8475</v>
      </c>
      <c r="C14" s="1">
        <f>IFERROR(SUM($C$4:$C$13)*75,"")</f>
        <v>0</v>
      </c>
      <c r="D14" s="59">
        <v>0.95655092592592583</v>
      </c>
      <c r="E14" s="59"/>
      <c r="F14" s="59"/>
      <c r="G14" s="10">
        <f>IFERROR(SUM($G$4:$G$13)*75,"")</f>
        <v>825</v>
      </c>
      <c r="H14" s="1">
        <f>IFERROR(SUM($H$4:$H$13)*75,"")</f>
        <v>8250</v>
      </c>
      <c r="J14" s="22"/>
      <c r="K14" s="23"/>
      <c r="L14" s="33"/>
      <c r="M14" s="5" t="str">
        <f t="shared" si="1"/>
        <v/>
      </c>
      <c r="N14" s="5" t="str">
        <f t="shared" si="2"/>
        <v/>
      </c>
      <c r="O14" s="11" t="str">
        <f t="shared" si="3"/>
        <v/>
      </c>
      <c r="P14" s="24"/>
    </row>
    <row r="15" spans="1:16" x14ac:dyDescent="0.35">
      <c r="B15" s="38"/>
      <c r="C15" s="37">
        <f>IFERROR(Data!$AC$1,"")</f>
        <v>15136.95</v>
      </c>
      <c r="D15" s="59"/>
      <c r="E15" s="59"/>
      <c r="F15" s="59"/>
      <c r="G15" s="60" t="s">
        <v>2075</v>
      </c>
      <c r="H15" s="60"/>
      <c r="J15" s="22"/>
      <c r="K15" s="23"/>
      <c r="L15" s="33"/>
      <c r="M15" s="5" t="str">
        <f t="shared" si="1"/>
        <v/>
      </c>
      <c r="N15" s="5" t="str">
        <f t="shared" si="2"/>
        <v/>
      </c>
      <c r="O15" s="11" t="str">
        <f t="shared" si="3"/>
        <v/>
      </c>
      <c r="P15" s="24"/>
    </row>
    <row r="16" spans="1:16" x14ac:dyDescent="0.35">
      <c r="B16" s="51"/>
      <c r="C16" s="31"/>
      <c r="D16" s="31"/>
      <c r="E16" s="31"/>
      <c r="F16" s="31"/>
      <c r="G16" s="31"/>
      <c r="H16" s="31"/>
      <c r="J16" s="22"/>
      <c r="K16" s="23"/>
      <c r="L16" s="33"/>
      <c r="M16" s="5" t="str">
        <f t="shared" si="1"/>
        <v/>
      </c>
      <c r="N16" s="5" t="str">
        <f t="shared" si="2"/>
        <v/>
      </c>
      <c r="O16" s="11" t="str">
        <f t="shared" si="3"/>
        <v/>
      </c>
      <c r="P16" s="24"/>
    </row>
    <row r="17" spans="2:16" x14ac:dyDescent="0.35">
      <c r="B17" s="52"/>
      <c r="C17" s="31"/>
      <c r="D17" s="31"/>
      <c r="E17" s="31"/>
      <c r="F17" s="31"/>
      <c r="G17" s="31"/>
      <c r="H17" s="31"/>
      <c r="J17" s="22"/>
      <c r="K17" s="23"/>
      <c r="L17" s="33"/>
      <c r="M17" s="5" t="str">
        <f t="shared" si="1"/>
        <v/>
      </c>
      <c r="N17" s="5" t="str">
        <f t="shared" si="2"/>
        <v/>
      </c>
      <c r="O17" s="11" t="str">
        <f t="shared" si="3"/>
        <v/>
      </c>
      <c r="P17" s="24"/>
    </row>
    <row r="18" spans="2:16" x14ac:dyDescent="0.35">
      <c r="B18" s="31"/>
      <c r="C18" s="31"/>
      <c r="D18" s="31"/>
      <c r="E18" s="31"/>
      <c r="F18" s="31"/>
      <c r="G18" s="31"/>
      <c r="H18" s="31"/>
      <c r="J18" s="22"/>
      <c r="K18" s="23"/>
      <c r="L18" s="33"/>
      <c r="M18" s="5" t="str">
        <f t="shared" si="1"/>
        <v/>
      </c>
      <c r="N18" s="5" t="str">
        <f t="shared" si="2"/>
        <v/>
      </c>
      <c r="O18" s="11" t="str">
        <f t="shared" si="3"/>
        <v/>
      </c>
      <c r="P18" s="24"/>
    </row>
    <row r="19" spans="2:16" x14ac:dyDescent="0.35">
      <c r="B19" s="31"/>
      <c r="C19" s="31"/>
      <c r="D19" s="31"/>
      <c r="E19" s="31"/>
      <c r="F19" s="31"/>
      <c r="G19" s="31"/>
      <c r="H19" s="31"/>
      <c r="J19" s="22"/>
      <c r="K19" s="23"/>
      <c r="L19" s="33"/>
      <c r="M19" s="5" t="str">
        <f t="shared" si="1"/>
        <v/>
      </c>
      <c r="N19" s="5" t="str">
        <f t="shared" si="2"/>
        <v/>
      </c>
      <c r="O19" s="11" t="str">
        <f t="shared" si="3"/>
        <v/>
      </c>
      <c r="P19" s="24"/>
    </row>
    <row r="20" spans="2:16" x14ac:dyDescent="0.35">
      <c r="B20" s="31"/>
      <c r="C20" s="31"/>
      <c r="D20" s="31"/>
      <c r="E20" s="31"/>
      <c r="F20" s="31"/>
      <c r="G20" s="31"/>
      <c r="H20" s="31"/>
      <c r="J20" s="22"/>
      <c r="K20" s="23"/>
      <c r="L20" s="33"/>
      <c r="M20" s="5" t="str">
        <f t="shared" si="1"/>
        <v/>
      </c>
      <c r="N20" s="5" t="str">
        <f t="shared" si="2"/>
        <v/>
      </c>
      <c r="O20" s="11" t="str">
        <f t="shared" si="3"/>
        <v/>
      </c>
      <c r="P20" s="24"/>
    </row>
    <row r="21" spans="2:16" x14ac:dyDescent="0.35">
      <c r="B21" s="31"/>
      <c r="C21" s="31"/>
      <c r="D21" s="31"/>
      <c r="E21" s="31"/>
      <c r="F21" s="31"/>
      <c r="G21" s="31"/>
      <c r="H21" s="31"/>
      <c r="J21" s="45"/>
      <c r="K21" s="23"/>
      <c r="L21" s="33"/>
      <c r="M21" s="5" t="str">
        <f t="shared" si="1"/>
        <v/>
      </c>
      <c r="N21" s="5" t="str">
        <f t="shared" si="2"/>
        <v/>
      </c>
      <c r="O21" s="11" t="str">
        <f t="shared" si="3"/>
        <v/>
      </c>
      <c r="P21" s="24"/>
    </row>
    <row r="22" spans="2:16" x14ac:dyDescent="0.35">
      <c r="B22" s="31"/>
      <c r="C22" s="31"/>
      <c r="D22" s="31"/>
      <c r="E22" s="31"/>
      <c r="F22" s="31"/>
      <c r="G22" s="31"/>
      <c r="H22" s="31"/>
      <c r="J22" s="45"/>
      <c r="K22" s="23"/>
      <c r="L22" s="33"/>
      <c r="M22" s="5" t="str">
        <f t="shared" si="1"/>
        <v/>
      </c>
      <c r="N22" s="5" t="str">
        <f t="shared" si="2"/>
        <v/>
      </c>
      <c r="O22" s="11" t="str">
        <f t="shared" si="3"/>
        <v/>
      </c>
      <c r="P22" s="24"/>
    </row>
    <row r="23" spans="2:16" x14ac:dyDescent="0.35">
      <c r="B23" s="31"/>
      <c r="C23" s="31"/>
      <c r="D23" s="31"/>
      <c r="E23" s="31"/>
      <c r="F23" s="31"/>
      <c r="G23" s="31"/>
      <c r="H23" s="31"/>
      <c r="J23" s="45"/>
      <c r="K23" s="23"/>
      <c r="L23" s="33"/>
      <c r="M23" s="5" t="str">
        <f t="shared" si="1"/>
        <v/>
      </c>
      <c r="N23" s="5" t="str">
        <f t="shared" si="2"/>
        <v/>
      </c>
      <c r="O23" s="11" t="str">
        <f t="shared" si="3"/>
        <v/>
      </c>
      <c r="P23" s="24"/>
    </row>
    <row r="24" spans="2:16" x14ac:dyDescent="0.35">
      <c r="B24" s="31"/>
      <c r="C24" s="31"/>
      <c r="D24" s="31"/>
      <c r="E24" s="31"/>
      <c r="F24" s="31"/>
      <c r="G24" s="31"/>
      <c r="H24" s="31"/>
      <c r="J24" s="45"/>
      <c r="K24" s="23"/>
      <c r="L24" s="33"/>
      <c r="M24" s="5" t="str">
        <f t="shared" si="1"/>
        <v/>
      </c>
      <c r="N24" s="5" t="str">
        <f t="shared" si="2"/>
        <v/>
      </c>
      <c r="O24" s="11" t="str">
        <f t="shared" si="3"/>
        <v/>
      </c>
      <c r="P24" s="25"/>
    </row>
    <row r="25" spans="2:16" x14ac:dyDescent="0.35">
      <c r="B25" s="31"/>
      <c r="C25" s="31"/>
      <c r="D25" s="31"/>
      <c r="E25" s="31"/>
      <c r="F25" s="31"/>
      <c r="G25" s="31"/>
      <c r="H25" s="31"/>
      <c r="J25" s="45"/>
      <c r="K25" s="23"/>
      <c r="L25" s="33"/>
      <c r="M25" s="5" t="str">
        <f t="shared" si="1"/>
        <v/>
      </c>
      <c r="N25" s="5" t="str">
        <f t="shared" si="2"/>
        <v/>
      </c>
      <c r="O25" s="11" t="str">
        <f t="shared" si="3"/>
        <v/>
      </c>
      <c r="P25" s="25"/>
    </row>
    <row r="26" spans="2:16" x14ac:dyDescent="0.35">
      <c r="B26" s="31"/>
      <c r="C26" s="31"/>
      <c r="D26" s="31"/>
      <c r="E26" s="31"/>
      <c r="F26" s="31"/>
      <c r="G26" s="31"/>
      <c r="H26" s="31"/>
      <c r="J26" s="45"/>
      <c r="K26" s="23"/>
      <c r="L26" s="33"/>
      <c r="M26" s="5" t="str">
        <f t="shared" si="1"/>
        <v/>
      </c>
      <c r="N26" s="5" t="str">
        <f t="shared" si="2"/>
        <v/>
      </c>
      <c r="O26" s="11" t="str">
        <f t="shared" si="3"/>
        <v/>
      </c>
      <c r="P26" s="25"/>
    </row>
    <row r="27" spans="2:16" x14ac:dyDescent="0.35">
      <c r="B27" s="31"/>
      <c r="C27" s="31"/>
      <c r="D27" s="31"/>
      <c r="E27" s="31"/>
      <c r="F27" s="31"/>
      <c r="G27" s="31"/>
      <c r="H27" s="31"/>
      <c r="J27" s="46"/>
      <c r="K27" s="5"/>
      <c r="L27" s="34"/>
      <c r="M27" s="5" t="str">
        <f t="shared" si="1"/>
        <v/>
      </c>
      <c r="N27" s="5" t="str">
        <f t="shared" si="2"/>
        <v/>
      </c>
      <c r="O27" s="11" t="str">
        <f t="shared" si="3"/>
        <v/>
      </c>
      <c r="P27" s="26"/>
    </row>
    <row r="28" spans="2:16" x14ac:dyDescent="0.35">
      <c r="B28" s="31"/>
      <c r="C28" s="31"/>
      <c r="D28" s="31"/>
      <c r="E28" s="31"/>
      <c r="F28" s="31"/>
      <c r="G28" s="31"/>
      <c r="H28" s="31"/>
      <c r="J28" s="46"/>
      <c r="K28" s="5"/>
      <c r="L28" s="34"/>
      <c r="M28" s="5" t="str">
        <f t="shared" si="1"/>
        <v/>
      </c>
      <c r="N28" s="5" t="str">
        <f t="shared" si="2"/>
        <v/>
      </c>
      <c r="O28" s="11" t="str">
        <f t="shared" si="3"/>
        <v/>
      </c>
      <c r="P28" s="26"/>
    </row>
    <row r="29" spans="2:16" x14ac:dyDescent="0.35">
      <c r="B29" s="31"/>
      <c r="C29" s="31"/>
      <c r="D29" s="31"/>
      <c r="E29" s="31"/>
      <c r="F29" s="31"/>
      <c r="G29" s="31"/>
      <c r="H29" s="31"/>
      <c r="J29" s="46"/>
      <c r="K29" s="5"/>
      <c r="L29" s="34"/>
      <c r="M29" s="5" t="str">
        <f t="shared" si="1"/>
        <v/>
      </c>
      <c r="N29" s="5" t="str">
        <f t="shared" si="2"/>
        <v/>
      </c>
      <c r="O29" s="11" t="str">
        <f t="shared" si="3"/>
        <v/>
      </c>
      <c r="P29" s="26"/>
    </row>
    <row r="30" spans="2:16" x14ac:dyDescent="0.35">
      <c r="B30" s="31"/>
      <c r="C30" s="31"/>
      <c r="D30" s="31"/>
      <c r="E30" s="31"/>
      <c r="F30" s="31"/>
      <c r="G30" s="31"/>
      <c r="H30" s="31"/>
      <c r="J30" s="46"/>
      <c r="K30" s="5"/>
      <c r="L30" s="34"/>
      <c r="M30" s="5" t="str">
        <f t="shared" si="1"/>
        <v/>
      </c>
      <c r="N30" s="5" t="str">
        <f t="shared" si="2"/>
        <v/>
      </c>
      <c r="O30" s="11" t="str">
        <f t="shared" si="3"/>
        <v/>
      </c>
      <c r="P30" s="26"/>
    </row>
    <row r="31" spans="2:16" x14ac:dyDescent="0.35">
      <c r="B31" s="31"/>
      <c r="C31" s="31"/>
      <c r="D31" s="31"/>
      <c r="E31" s="31"/>
      <c r="F31" s="31"/>
      <c r="G31" s="31"/>
      <c r="H31" s="31"/>
      <c r="J31" s="46"/>
      <c r="K31" s="5"/>
      <c r="L31" s="34"/>
      <c r="M31" s="5" t="str">
        <f t="shared" si="1"/>
        <v/>
      </c>
      <c r="N31" s="5" t="str">
        <f t="shared" si="2"/>
        <v/>
      </c>
      <c r="O31" s="11" t="str">
        <f t="shared" si="3"/>
        <v/>
      </c>
      <c r="P31" s="26"/>
    </row>
    <row r="32" spans="2:16" x14ac:dyDescent="0.35">
      <c r="B32" s="31"/>
      <c r="C32" s="31"/>
      <c r="D32" s="31"/>
      <c r="E32" s="31"/>
      <c r="F32" s="31"/>
      <c r="G32" s="31"/>
      <c r="H32" s="31"/>
      <c r="J32" s="46"/>
      <c r="K32" s="5"/>
      <c r="L32" s="34"/>
      <c r="M32" s="5" t="str">
        <f t="shared" si="1"/>
        <v/>
      </c>
      <c r="N32" s="5" t="str">
        <f t="shared" si="2"/>
        <v/>
      </c>
      <c r="O32" s="11" t="str">
        <f t="shared" si="3"/>
        <v/>
      </c>
      <c r="P32" s="26"/>
    </row>
    <row r="33" spans="2:16" x14ac:dyDescent="0.35">
      <c r="B33" s="31"/>
      <c r="C33" s="31"/>
      <c r="D33" s="31"/>
      <c r="E33" s="31"/>
      <c r="F33" s="31"/>
      <c r="G33" s="31"/>
      <c r="H33" s="31"/>
      <c r="J33" s="46"/>
      <c r="K33" s="5"/>
      <c r="L33" s="34"/>
      <c r="M33" s="5" t="str">
        <f t="shared" si="1"/>
        <v/>
      </c>
      <c r="N33" s="5" t="str">
        <f t="shared" si="2"/>
        <v/>
      </c>
      <c r="O33" s="11" t="str">
        <f t="shared" si="3"/>
        <v/>
      </c>
      <c r="P33" s="26"/>
    </row>
    <row r="34" spans="2:16" x14ac:dyDescent="0.35">
      <c r="B34" s="31"/>
      <c r="C34" s="31"/>
      <c r="D34" s="31"/>
      <c r="E34" s="31"/>
      <c r="F34" s="31"/>
      <c r="G34" s="31"/>
      <c r="H34" s="31"/>
      <c r="J34" s="46"/>
      <c r="K34" s="5"/>
      <c r="L34" s="34"/>
      <c r="M34" s="5" t="str">
        <f t="shared" si="1"/>
        <v/>
      </c>
      <c r="N34" s="5" t="str">
        <f t="shared" si="2"/>
        <v/>
      </c>
      <c r="O34" s="11" t="str">
        <f t="shared" si="3"/>
        <v/>
      </c>
      <c r="P34" s="26"/>
    </row>
    <row r="35" spans="2:16" x14ac:dyDescent="0.35">
      <c r="B35" s="31"/>
      <c r="C35" s="31"/>
      <c r="D35" s="31"/>
      <c r="E35" s="31"/>
      <c r="F35" s="31"/>
      <c r="G35" s="31"/>
      <c r="H35" s="31"/>
      <c r="J35" s="46"/>
      <c r="K35" s="5"/>
      <c r="L35" s="34"/>
      <c r="M35" s="5" t="str">
        <f t="shared" si="1"/>
        <v/>
      </c>
      <c r="N35" s="5" t="str">
        <f t="shared" si="2"/>
        <v/>
      </c>
      <c r="O35" s="11" t="str">
        <f t="shared" si="3"/>
        <v/>
      </c>
      <c r="P35" s="26"/>
    </row>
    <row r="36" spans="2:16" x14ac:dyDescent="0.35">
      <c r="B36" s="31"/>
      <c r="C36" s="31"/>
      <c r="D36" s="31"/>
      <c r="E36" s="31"/>
      <c r="F36" s="31"/>
      <c r="G36" s="31"/>
      <c r="H36" s="31"/>
      <c r="J36" s="46"/>
      <c r="K36" s="5"/>
      <c r="L36" s="34"/>
      <c r="M36" s="5" t="str">
        <f t="shared" si="1"/>
        <v/>
      </c>
      <c r="N36" s="5" t="str">
        <f t="shared" si="2"/>
        <v/>
      </c>
      <c r="O36" s="11" t="str">
        <f t="shared" si="3"/>
        <v/>
      </c>
      <c r="P36" s="26"/>
    </row>
    <row r="37" spans="2:16" x14ac:dyDescent="0.35">
      <c r="B37" s="31"/>
      <c r="C37" s="31"/>
      <c r="D37" s="31"/>
      <c r="E37" s="31"/>
      <c r="F37" s="31"/>
      <c r="G37" s="31"/>
      <c r="H37" s="31"/>
      <c r="J37" s="46"/>
      <c r="K37" s="5"/>
      <c r="L37" s="34"/>
      <c r="M37" s="5" t="str">
        <f t="shared" si="1"/>
        <v/>
      </c>
      <c r="N37" s="5" t="str">
        <f t="shared" si="2"/>
        <v/>
      </c>
      <c r="O37" s="11" t="str">
        <f t="shared" si="3"/>
        <v/>
      </c>
      <c r="P37" s="26"/>
    </row>
    <row r="38" spans="2:16" x14ac:dyDescent="0.35">
      <c r="B38" s="31"/>
      <c r="C38" s="31"/>
      <c r="D38" s="31"/>
      <c r="E38" s="31"/>
      <c r="F38" s="31"/>
      <c r="G38" s="31"/>
      <c r="H38" s="31"/>
      <c r="J38" s="46"/>
      <c r="K38" s="5"/>
      <c r="L38" s="34"/>
      <c r="M38" s="5" t="str">
        <f t="shared" si="1"/>
        <v/>
      </c>
      <c r="N38" s="5" t="str">
        <f t="shared" si="2"/>
        <v/>
      </c>
      <c r="O38" s="11" t="str">
        <f t="shared" si="3"/>
        <v/>
      </c>
      <c r="P38" s="26"/>
    </row>
    <row r="39" spans="2:16" x14ac:dyDescent="0.35">
      <c r="B39" s="31"/>
      <c r="C39" s="31"/>
      <c r="D39" s="31"/>
      <c r="E39" s="31"/>
      <c r="F39" s="31"/>
      <c r="G39" s="31"/>
      <c r="H39" s="31"/>
      <c r="J39" s="46"/>
      <c r="K39" s="5"/>
      <c r="L39" s="34"/>
      <c r="M39" s="5" t="str">
        <f t="shared" si="1"/>
        <v/>
      </c>
      <c r="N39" s="5" t="str">
        <f t="shared" si="2"/>
        <v/>
      </c>
      <c r="O39" s="11" t="str">
        <f t="shared" si="3"/>
        <v/>
      </c>
      <c r="P39" s="26"/>
    </row>
    <row r="40" spans="2:16" x14ac:dyDescent="0.35">
      <c r="B40" s="31"/>
      <c r="C40" s="31"/>
      <c r="D40" s="31"/>
      <c r="E40" s="31"/>
      <c r="F40" s="31"/>
      <c r="G40" s="31"/>
      <c r="H40" s="31"/>
      <c r="J40" s="46"/>
      <c r="K40" s="5"/>
      <c r="L40" s="34"/>
      <c r="M40" s="5" t="str">
        <f t="shared" si="1"/>
        <v/>
      </c>
      <c r="N40" s="5" t="str">
        <f t="shared" si="2"/>
        <v/>
      </c>
      <c r="O40" s="11" t="str">
        <f t="shared" si="3"/>
        <v/>
      </c>
      <c r="P40" s="26"/>
    </row>
    <row r="41" spans="2:16" x14ac:dyDescent="0.35">
      <c r="B41" s="31"/>
      <c r="C41" s="31"/>
      <c r="D41" s="31"/>
      <c r="E41" s="31"/>
      <c r="F41" s="31"/>
      <c r="G41" s="31"/>
      <c r="H41" s="31"/>
      <c r="J41" s="46"/>
      <c r="K41" s="5"/>
      <c r="L41" s="34"/>
      <c r="M41" s="5" t="str">
        <f t="shared" si="1"/>
        <v/>
      </c>
      <c r="N41" s="5" t="str">
        <f t="shared" si="2"/>
        <v/>
      </c>
      <c r="O41" s="11" t="str">
        <f t="shared" si="3"/>
        <v/>
      </c>
      <c r="P41" s="26"/>
    </row>
    <row r="42" spans="2:16" x14ac:dyDescent="0.35">
      <c r="B42" s="31"/>
      <c r="C42" s="31"/>
      <c r="D42" s="31"/>
      <c r="E42" s="31"/>
      <c r="F42" s="31"/>
      <c r="G42" s="31"/>
      <c r="H42" s="31"/>
      <c r="J42" s="46"/>
      <c r="K42" s="5"/>
      <c r="L42" s="34"/>
      <c r="M42" s="5" t="str">
        <f t="shared" si="1"/>
        <v/>
      </c>
      <c r="N42" s="5" t="str">
        <f t="shared" si="2"/>
        <v/>
      </c>
      <c r="O42" s="11" t="str">
        <f t="shared" si="3"/>
        <v/>
      </c>
      <c r="P42" s="26"/>
    </row>
    <row r="43" spans="2:16" x14ac:dyDescent="0.35">
      <c r="B43" s="31"/>
      <c r="C43" s="31"/>
      <c r="D43" s="31"/>
      <c r="E43" s="31"/>
      <c r="F43" s="31"/>
      <c r="G43" s="31"/>
      <c r="H43" s="31"/>
      <c r="J43" s="46"/>
      <c r="K43" s="5"/>
      <c r="L43" s="34"/>
      <c r="M43" s="5" t="str">
        <f t="shared" si="1"/>
        <v/>
      </c>
      <c r="N43" s="5" t="str">
        <f t="shared" si="2"/>
        <v/>
      </c>
      <c r="O43" s="11" t="str">
        <f t="shared" si="3"/>
        <v/>
      </c>
      <c r="P43" s="26"/>
    </row>
    <row r="44" spans="2:16" x14ac:dyDescent="0.35">
      <c r="B44" s="31"/>
      <c r="C44" s="31"/>
      <c r="D44" s="31"/>
      <c r="E44" s="31"/>
      <c r="F44" s="31"/>
      <c r="G44" s="31"/>
      <c r="H44" s="31"/>
      <c r="J44" s="46"/>
      <c r="K44" s="5"/>
      <c r="L44" s="34"/>
      <c r="M44" s="5" t="str">
        <f t="shared" si="1"/>
        <v/>
      </c>
      <c r="N44" s="5" t="str">
        <f t="shared" si="2"/>
        <v/>
      </c>
      <c r="O44" s="11" t="str">
        <f t="shared" si="3"/>
        <v/>
      </c>
      <c r="P44" s="26"/>
    </row>
    <row r="45" spans="2:16" x14ac:dyDescent="0.35">
      <c r="B45" s="31"/>
      <c r="C45" s="31"/>
      <c r="D45" s="31"/>
      <c r="E45" s="31"/>
      <c r="F45" s="31"/>
      <c r="G45" s="31"/>
      <c r="H45" s="31"/>
      <c r="J45" s="46"/>
      <c r="K45" s="5"/>
      <c r="L45" s="34"/>
      <c r="M45" s="5" t="str">
        <f t="shared" si="1"/>
        <v/>
      </c>
      <c r="N45" s="5" t="str">
        <f t="shared" si="2"/>
        <v/>
      </c>
      <c r="O45" s="11" t="str">
        <f t="shared" si="3"/>
        <v/>
      </c>
      <c r="P45" s="26"/>
    </row>
    <row r="46" spans="2:16" x14ac:dyDescent="0.35">
      <c r="B46" s="31"/>
      <c r="C46" s="31"/>
      <c r="D46" s="31"/>
      <c r="E46" s="31"/>
      <c r="F46" s="31"/>
      <c r="G46" s="31"/>
      <c r="H46" s="31"/>
      <c r="J46" s="46"/>
      <c r="K46" s="5"/>
      <c r="L46" s="34"/>
      <c r="M46" s="5" t="str">
        <f t="shared" si="1"/>
        <v/>
      </c>
      <c r="N46" s="5" t="str">
        <f t="shared" si="2"/>
        <v/>
      </c>
      <c r="O46" s="11" t="str">
        <f t="shared" si="3"/>
        <v/>
      </c>
      <c r="P46" s="26"/>
    </row>
    <row r="47" spans="2:16" x14ac:dyDescent="0.35">
      <c r="B47" s="31"/>
      <c r="C47" s="31"/>
      <c r="D47" s="31"/>
      <c r="E47" s="31"/>
      <c r="F47" s="31"/>
      <c r="G47" s="31"/>
      <c r="H47" s="31"/>
      <c r="J47" s="46"/>
      <c r="K47" s="5"/>
      <c r="L47" s="34"/>
      <c r="M47" s="5" t="str">
        <f t="shared" si="1"/>
        <v/>
      </c>
      <c r="N47" s="5" t="str">
        <f t="shared" si="2"/>
        <v/>
      </c>
      <c r="O47" s="11" t="str">
        <f t="shared" si="3"/>
        <v/>
      </c>
      <c r="P47" s="26"/>
    </row>
    <row r="48" spans="2:16" x14ac:dyDescent="0.35">
      <c r="B48" s="31"/>
      <c r="C48" s="31"/>
      <c r="D48" s="31"/>
      <c r="E48" s="31"/>
      <c r="F48" s="31"/>
      <c r="G48" s="31"/>
      <c r="H48" s="31"/>
      <c r="J48" s="46"/>
      <c r="K48" s="5"/>
      <c r="L48" s="34"/>
      <c r="M48" s="5" t="str">
        <f t="shared" si="1"/>
        <v/>
      </c>
      <c r="N48" s="5" t="str">
        <f t="shared" si="2"/>
        <v/>
      </c>
      <c r="O48" s="11" t="str">
        <f t="shared" si="3"/>
        <v/>
      </c>
      <c r="P48" s="26"/>
    </row>
    <row r="49" spans="1:16" x14ac:dyDescent="0.35">
      <c r="B49" s="31"/>
      <c r="C49" s="31"/>
      <c r="D49" s="31"/>
      <c r="E49" s="31"/>
      <c r="F49" s="31"/>
      <c r="G49" s="31"/>
      <c r="H49" s="31"/>
      <c r="J49" s="46"/>
      <c r="K49" s="5"/>
      <c r="L49" s="34"/>
      <c r="M49" s="5" t="str">
        <f t="shared" si="1"/>
        <v/>
      </c>
      <c r="N49" s="5" t="str">
        <f t="shared" si="2"/>
        <v/>
      </c>
      <c r="O49" s="11" t="str">
        <f t="shared" si="3"/>
        <v/>
      </c>
      <c r="P49" s="26"/>
    </row>
    <row r="50" spans="1:16" x14ac:dyDescent="0.35">
      <c r="B50" s="31"/>
      <c r="C50" s="31"/>
      <c r="D50" s="31"/>
      <c r="E50" s="31"/>
      <c r="F50" s="31"/>
      <c r="G50" s="31"/>
      <c r="H50" s="31"/>
      <c r="J50" s="46"/>
      <c r="K50" s="5"/>
      <c r="L50" s="34"/>
      <c r="M50" s="5" t="str">
        <f t="shared" si="1"/>
        <v/>
      </c>
      <c r="N50" s="5" t="str">
        <f t="shared" si="2"/>
        <v/>
      </c>
      <c r="O50" s="11" t="str">
        <f t="shared" si="3"/>
        <v/>
      </c>
      <c r="P50" s="26"/>
    </row>
    <row r="51" spans="1:16" x14ac:dyDescent="0.35">
      <c r="B51" s="31"/>
      <c r="C51" s="31"/>
      <c r="D51" s="31"/>
      <c r="E51" s="31"/>
      <c r="F51" s="31"/>
      <c r="G51" s="31"/>
      <c r="H51" s="31"/>
      <c r="J51" s="46"/>
      <c r="K51" s="5"/>
      <c r="L51" s="34"/>
      <c r="M51" s="5" t="str">
        <f t="shared" si="1"/>
        <v/>
      </c>
      <c r="N51" s="5" t="str">
        <f t="shared" si="2"/>
        <v/>
      </c>
      <c r="O51" s="11" t="str">
        <f t="shared" si="3"/>
        <v/>
      </c>
      <c r="P51" s="26"/>
    </row>
    <row r="52" spans="1:16" x14ac:dyDescent="0.35">
      <c r="B52" s="31"/>
      <c r="C52" s="31"/>
      <c r="D52" s="31"/>
      <c r="E52" s="31"/>
      <c r="F52" s="31"/>
      <c r="G52" s="31"/>
      <c r="H52" s="31"/>
      <c r="J52" s="46"/>
      <c r="K52" s="5"/>
      <c r="L52" s="34"/>
      <c r="M52" s="5" t="str">
        <f t="shared" si="1"/>
        <v/>
      </c>
      <c r="N52" s="5" t="str">
        <f t="shared" si="2"/>
        <v/>
      </c>
      <c r="O52" s="11" t="str">
        <f t="shared" si="3"/>
        <v/>
      </c>
      <c r="P52" s="26"/>
    </row>
    <row r="53" spans="1:16" x14ac:dyDescent="0.35">
      <c r="B53" s="31"/>
      <c r="C53" s="31"/>
      <c r="D53" s="31"/>
      <c r="E53" s="31"/>
      <c r="F53" s="31"/>
      <c r="G53" s="31"/>
      <c r="H53" s="31"/>
      <c r="J53" s="46"/>
      <c r="K53" s="5"/>
      <c r="L53" s="34"/>
      <c r="M53" s="5" t="str">
        <f t="shared" si="1"/>
        <v/>
      </c>
      <c r="N53" s="5" t="str">
        <f t="shared" si="2"/>
        <v/>
      </c>
      <c r="O53" s="11" t="str">
        <f t="shared" si="3"/>
        <v/>
      </c>
      <c r="P53" s="26"/>
    </row>
    <row r="54" spans="1:16" x14ac:dyDescent="0.35">
      <c r="B54" s="31"/>
      <c r="C54" s="31"/>
      <c r="D54" s="31"/>
      <c r="E54" s="31"/>
      <c r="F54" s="31"/>
      <c r="G54" s="31"/>
      <c r="H54" s="31"/>
      <c r="J54" s="46"/>
      <c r="K54" s="5"/>
      <c r="L54" s="34"/>
      <c r="M54" s="5" t="str">
        <f t="shared" si="1"/>
        <v/>
      </c>
      <c r="N54" s="5" t="str">
        <f t="shared" si="2"/>
        <v/>
      </c>
      <c r="O54" s="11" t="str">
        <f t="shared" si="3"/>
        <v/>
      </c>
      <c r="P54" s="26"/>
    </row>
    <row r="55" spans="1:16" x14ac:dyDescent="0.35">
      <c r="B55" s="31"/>
      <c r="C55" s="31"/>
      <c r="D55" s="31"/>
      <c r="E55" s="31"/>
      <c r="F55" s="31"/>
      <c r="G55" s="31"/>
      <c r="H55" s="31"/>
      <c r="J55" s="46"/>
      <c r="K55" s="5"/>
      <c r="L55" s="34"/>
      <c r="M55" s="5" t="str">
        <f t="shared" si="1"/>
        <v/>
      </c>
      <c r="N55" s="5" t="str">
        <f t="shared" si="2"/>
        <v/>
      </c>
      <c r="O55" s="11" t="str">
        <f t="shared" si="3"/>
        <v/>
      </c>
      <c r="P55" s="26"/>
    </row>
    <row r="56" spans="1:16" x14ac:dyDescent="0.35">
      <c r="B56" s="31"/>
      <c r="C56" s="31"/>
      <c r="D56" s="31"/>
      <c r="E56" s="31"/>
      <c r="F56" s="31"/>
      <c r="G56" s="31"/>
      <c r="H56" s="31"/>
      <c r="J56" s="46"/>
      <c r="K56" s="5"/>
      <c r="L56" s="34"/>
      <c r="M56" s="5" t="str">
        <f t="shared" si="1"/>
        <v/>
      </c>
      <c r="N56" s="5" t="str">
        <f t="shared" si="2"/>
        <v/>
      </c>
      <c r="O56" s="11" t="str">
        <f t="shared" si="3"/>
        <v/>
      </c>
      <c r="P56" s="26"/>
    </row>
    <row r="57" spans="1:16" x14ac:dyDescent="0.35">
      <c r="B57" s="31"/>
      <c r="C57" s="31"/>
      <c r="D57" s="31"/>
      <c r="E57" s="31"/>
      <c r="F57" s="31"/>
      <c r="G57" s="31"/>
      <c r="H57" s="31"/>
      <c r="J57" s="46"/>
      <c r="K57" s="5"/>
      <c r="L57" s="34"/>
      <c r="M57" s="5" t="str">
        <f t="shared" si="1"/>
        <v/>
      </c>
      <c r="N57" s="5" t="str">
        <f t="shared" si="2"/>
        <v/>
      </c>
      <c r="O57" s="11" t="str">
        <f t="shared" si="3"/>
        <v/>
      </c>
      <c r="P57" s="26"/>
    </row>
    <row r="58" spans="1:16" x14ac:dyDescent="0.35">
      <c r="B58" s="31"/>
      <c r="C58" s="31"/>
      <c r="D58" s="31"/>
      <c r="E58" s="31"/>
      <c r="F58" s="31"/>
      <c r="G58" s="31"/>
      <c r="H58" s="31"/>
      <c r="J58" s="46"/>
      <c r="K58" s="5"/>
      <c r="L58" s="34"/>
      <c r="M58" s="5" t="str">
        <f t="shared" si="1"/>
        <v/>
      </c>
      <c r="N58" s="5" t="str">
        <f t="shared" si="2"/>
        <v/>
      </c>
      <c r="O58" s="11" t="str">
        <f t="shared" si="3"/>
        <v/>
      </c>
      <c r="P58" s="26"/>
    </row>
    <row r="59" spans="1:16" x14ac:dyDescent="0.35">
      <c r="B59" s="31"/>
      <c r="C59" s="31"/>
      <c r="D59" s="31"/>
      <c r="E59" s="31"/>
      <c r="F59" s="31"/>
      <c r="G59" s="31"/>
      <c r="H59" s="31"/>
      <c r="J59" s="46"/>
      <c r="K59" s="5"/>
      <c r="L59" s="34"/>
      <c r="M59" s="5" t="str">
        <f t="shared" si="1"/>
        <v/>
      </c>
      <c r="N59" s="5" t="str">
        <f t="shared" si="2"/>
        <v/>
      </c>
      <c r="O59" s="11" t="str">
        <f t="shared" si="3"/>
        <v/>
      </c>
      <c r="P59" s="26"/>
    </row>
    <row r="60" spans="1:16" x14ac:dyDescent="0.35">
      <c r="B60" s="31"/>
      <c r="C60" s="31"/>
      <c r="D60" s="31"/>
      <c r="E60" s="31"/>
      <c r="F60" s="31"/>
      <c r="G60" s="31"/>
      <c r="H60" s="31"/>
      <c r="J60" s="46"/>
      <c r="K60" s="5"/>
      <c r="L60" s="34"/>
      <c r="M60" s="5" t="str">
        <f t="shared" si="1"/>
        <v/>
      </c>
      <c r="N60" s="5" t="str">
        <f t="shared" si="2"/>
        <v/>
      </c>
      <c r="O60" s="11" t="str">
        <f t="shared" si="3"/>
        <v/>
      </c>
      <c r="P60" s="26"/>
    </row>
    <row r="61" spans="1:16" x14ac:dyDescent="0.35">
      <c r="B61" s="31"/>
      <c r="C61" s="31"/>
      <c r="D61" s="31"/>
      <c r="E61" s="31"/>
      <c r="F61" s="31"/>
      <c r="G61" s="31"/>
      <c r="H61" s="31"/>
      <c r="J61" s="46"/>
      <c r="K61" s="5"/>
      <c r="L61" s="34"/>
      <c r="M61" s="5" t="str">
        <f t="shared" si="1"/>
        <v/>
      </c>
      <c r="N61" s="5" t="str">
        <f t="shared" si="2"/>
        <v/>
      </c>
      <c r="O61" s="11" t="str">
        <f t="shared" si="3"/>
        <v/>
      </c>
      <c r="P61" s="26"/>
    </row>
    <row r="62" spans="1:16" x14ac:dyDescent="0.35">
      <c r="B62" s="43" t="s">
        <v>66</v>
      </c>
      <c r="C62" s="12">
        <f>IFERROR(Data!$AV$28,"")</f>
        <v>0.56896551724137934</v>
      </c>
      <c r="D62" s="13" t="s">
        <v>65</v>
      </c>
      <c r="E62" s="14">
        <f>IFERROR(Data!$AT$28,"")</f>
        <v>0.56097560975609762</v>
      </c>
      <c r="F62" s="15"/>
      <c r="G62" s="16" t="s">
        <v>64</v>
      </c>
      <c r="H62" s="17">
        <f>IFERROR(VLOOKUP(MIN(Data!$AQ$2:$AQ$26),Data!$AQ$2:$AR$26,2,0),"")</f>
        <v>15000</v>
      </c>
      <c r="J62" s="46"/>
      <c r="K62" s="5"/>
      <c r="L62" s="34"/>
      <c r="M62" s="5" t="str">
        <f t="shared" si="1"/>
        <v/>
      </c>
      <c r="N62" s="5" t="str">
        <f t="shared" si="2"/>
        <v/>
      </c>
      <c r="O62" s="11" t="str">
        <f t="shared" si="3"/>
        <v/>
      </c>
      <c r="P62" s="26"/>
    </row>
    <row r="63" spans="1:16" x14ac:dyDescent="0.35">
      <c r="A63" s="21" t="s">
        <v>2075</v>
      </c>
      <c r="B63" s="31" t="s">
        <v>2073</v>
      </c>
      <c r="C63" s="31"/>
      <c r="D63" s="31"/>
      <c r="E63" s="31"/>
      <c r="F63" s="31"/>
      <c r="G63" s="31"/>
      <c r="H63" s="31"/>
      <c r="J63" s="46"/>
      <c r="K63" s="5"/>
      <c r="L63" s="34"/>
      <c r="M63" s="5" t="str">
        <f t="shared" si="1"/>
        <v/>
      </c>
      <c r="N63" s="5" t="str">
        <f t="shared" si="2"/>
        <v/>
      </c>
      <c r="O63" s="11" t="str">
        <f t="shared" si="3"/>
        <v/>
      </c>
      <c r="P63" s="26"/>
    </row>
    <row r="64" spans="1:16" x14ac:dyDescent="0.35">
      <c r="B64" s="53"/>
      <c r="C64" s="31"/>
      <c r="D64" s="31"/>
      <c r="E64" s="31"/>
      <c r="F64" s="31"/>
      <c r="G64" s="31"/>
      <c r="H64" s="31"/>
      <c r="J64" s="46"/>
      <c r="K64" s="5"/>
      <c r="L64" s="34"/>
      <c r="M64" s="5" t="str">
        <f t="shared" si="1"/>
        <v/>
      </c>
      <c r="N64" s="5" t="str">
        <f t="shared" si="2"/>
        <v/>
      </c>
      <c r="O64" s="11" t="str">
        <f t="shared" si="3"/>
        <v/>
      </c>
      <c r="P64" s="26"/>
    </row>
    <row r="65" spans="1:16" x14ac:dyDescent="0.35">
      <c r="B65" s="31"/>
      <c r="C65" s="31"/>
      <c r="D65" s="31"/>
      <c r="E65" s="31"/>
      <c r="F65" s="31"/>
      <c r="G65" s="31"/>
      <c r="H65" s="31"/>
      <c r="J65" s="46"/>
      <c r="K65" s="5"/>
      <c r="L65" s="34"/>
      <c r="M65" s="5" t="str">
        <f t="shared" si="1"/>
        <v/>
      </c>
      <c r="N65" s="5" t="str">
        <f t="shared" si="2"/>
        <v/>
      </c>
      <c r="O65" s="11" t="str">
        <f t="shared" si="3"/>
        <v/>
      </c>
      <c r="P65" s="26"/>
    </row>
    <row r="66" spans="1:16" x14ac:dyDescent="0.35">
      <c r="B66" s="31"/>
      <c r="C66" s="31"/>
      <c r="D66" s="31"/>
      <c r="E66" s="31"/>
      <c r="F66" s="31"/>
      <c r="G66" s="31"/>
      <c r="H66" s="31"/>
      <c r="J66" s="46"/>
      <c r="K66" s="5"/>
      <c r="L66" s="34"/>
      <c r="M66" s="5" t="str">
        <f t="shared" si="1"/>
        <v/>
      </c>
      <c r="N66" s="5" t="str">
        <f t="shared" si="2"/>
        <v/>
      </c>
      <c r="O66" s="11" t="str">
        <f t="shared" si="3"/>
        <v/>
      </c>
      <c r="P66" s="26"/>
    </row>
    <row r="67" spans="1:16" x14ac:dyDescent="0.35">
      <c r="A67" s="21" t="s">
        <v>2072</v>
      </c>
      <c r="B67" s="31"/>
      <c r="C67" s="31"/>
      <c r="D67" s="31"/>
      <c r="E67" s="31"/>
      <c r="F67" s="31"/>
      <c r="G67" s="31"/>
      <c r="H67" s="31"/>
      <c r="J67" s="46"/>
      <c r="K67" s="5"/>
      <c r="L67" s="34"/>
      <c r="M67" s="5" t="str">
        <f t="shared" si="1"/>
        <v/>
      </c>
      <c r="N67" s="5" t="str">
        <f t="shared" si="2"/>
        <v/>
      </c>
      <c r="O67" s="11" t="str">
        <f t="shared" si="3"/>
        <v/>
      </c>
      <c r="P67" s="26"/>
    </row>
    <row r="68" spans="1:16" x14ac:dyDescent="0.35">
      <c r="B68" s="31"/>
      <c r="C68" s="31"/>
      <c r="D68" s="31"/>
      <c r="E68" s="31"/>
      <c r="F68" s="31"/>
      <c r="G68" s="31"/>
      <c r="H68" s="31"/>
      <c r="J68" s="46"/>
      <c r="K68" s="5"/>
      <c r="L68" s="34"/>
      <c r="M68" s="5" t="str">
        <f t="shared" ref="M68:M76" si="5">IFERROR(IF(ISBLANK(J68),"",L68-K68),"")</f>
        <v/>
      </c>
      <c r="N68" s="5" t="str">
        <f t="shared" ref="N68:N76" si="6">IFERROR(IF(OR(J68=" ",K68=" ",L68=" ")," ",IF(L68&gt;K68,"BULLISH",IF(K68&gt;L68,"BEARISH",""))),"")</f>
        <v/>
      </c>
      <c r="O68" s="11" t="str">
        <f t="shared" ref="O68:O76" si="7">IFERROR(IF(AND(N68="BULLISH",K68&lt;0),(L68-(K68))/-K68,IF(AND(N68="BULLISH",K68&gt;0),L68/K68,IF(AND(N68="BEARISH",L68&lt;0),(K68-(L68))/-L68,IF(N68="BEARISH",K68/L68,"")))),"")</f>
        <v/>
      </c>
      <c r="P68" s="26"/>
    </row>
    <row r="69" spans="1:16" x14ac:dyDescent="0.35">
      <c r="B69" s="31"/>
      <c r="C69" s="31"/>
      <c r="D69" s="31"/>
      <c r="E69" s="31"/>
      <c r="F69" s="31"/>
      <c r="G69" s="31"/>
      <c r="H69" s="31"/>
      <c r="J69" s="46"/>
      <c r="K69" s="5"/>
      <c r="L69" s="34"/>
      <c r="M69" s="5" t="str">
        <f t="shared" si="5"/>
        <v/>
      </c>
      <c r="N69" s="5" t="str">
        <f t="shared" si="6"/>
        <v/>
      </c>
      <c r="O69" s="11" t="str">
        <f t="shared" si="7"/>
        <v/>
      </c>
      <c r="P69" s="26"/>
    </row>
    <row r="70" spans="1:16" x14ac:dyDescent="0.35">
      <c r="B70" s="31"/>
      <c r="C70" s="31"/>
      <c r="D70" s="31"/>
      <c r="E70" s="31"/>
      <c r="F70" s="31"/>
      <c r="G70" s="31"/>
      <c r="H70" s="31"/>
      <c r="J70" s="46"/>
      <c r="K70" s="5"/>
      <c r="L70" s="34"/>
      <c r="M70" s="5" t="str">
        <f t="shared" si="5"/>
        <v/>
      </c>
      <c r="N70" s="5" t="str">
        <f t="shared" si="6"/>
        <v/>
      </c>
      <c r="O70" s="11" t="str">
        <f t="shared" si="7"/>
        <v/>
      </c>
      <c r="P70" s="26"/>
    </row>
    <row r="71" spans="1:16" x14ac:dyDescent="0.35">
      <c r="B71" s="31"/>
      <c r="C71" s="31"/>
      <c r="D71" s="31"/>
      <c r="E71" s="31"/>
      <c r="F71" s="31"/>
      <c r="G71" s="31"/>
      <c r="H71" s="31"/>
      <c r="J71" s="46"/>
      <c r="K71" s="5"/>
      <c r="L71" s="34"/>
      <c r="M71" s="5" t="str">
        <f t="shared" si="5"/>
        <v/>
      </c>
      <c r="N71" s="5" t="str">
        <f t="shared" si="6"/>
        <v/>
      </c>
      <c r="O71" s="11" t="str">
        <f t="shared" si="7"/>
        <v/>
      </c>
      <c r="P71" s="26"/>
    </row>
    <row r="72" spans="1:16" x14ac:dyDescent="0.35">
      <c r="B72" s="31"/>
      <c r="C72" s="31"/>
      <c r="D72" s="31"/>
      <c r="E72" s="31"/>
      <c r="F72" s="31"/>
      <c r="G72" s="31"/>
      <c r="H72" s="31"/>
      <c r="J72" s="46"/>
      <c r="K72" s="5"/>
      <c r="L72" s="34"/>
      <c r="M72" s="5" t="str">
        <f t="shared" si="5"/>
        <v/>
      </c>
      <c r="N72" s="5" t="str">
        <f t="shared" si="6"/>
        <v/>
      </c>
      <c r="O72" s="11" t="str">
        <f t="shared" si="7"/>
        <v/>
      </c>
      <c r="P72" s="26"/>
    </row>
    <row r="73" spans="1:16" x14ac:dyDescent="0.35">
      <c r="B73" s="31"/>
      <c r="C73" s="31"/>
      <c r="D73" s="31"/>
      <c r="E73" s="31"/>
      <c r="F73" s="31"/>
      <c r="G73" s="31"/>
      <c r="H73" s="31"/>
      <c r="J73" s="46"/>
      <c r="K73" s="5"/>
      <c r="L73" s="34"/>
      <c r="M73" s="5" t="str">
        <f t="shared" si="5"/>
        <v/>
      </c>
      <c r="N73" s="5" t="str">
        <f t="shared" si="6"/>
        <v/>
      </c>
      <c r="O73" s="11" t="str">
        <f t="shared" si="7"/>
        <v/>
      </c>
      <c r="P73" s="26"/>
    </row>
    <row r="74" spans="1:16" x14ac:dyDescent="0.35">
      <c r="B74" s="31"/>
      <c r="C74" s="31"/>
      <c r="D74" s="31"/>
      <c r="E74" s="31"/>
      <c r="F74" s="31"/>
      <c r="G74" s="31"/>
      <c r="H74" s="31"/>
      <c r="J74" s="46"/>
      <c r="K74" s="5"/>
      <c r="L74" s="34"/>
      <c r="M74" s="5" t="str">
        <f t="shared" si="5"/>
        <v/>
      </c>
      <c r="N74" s="5" t="str">
        <f t="shared" si="6"/>
        <v/>
      </c>
      <c r="O74" s="11" t="str">
        <f t="shared" si="7"/>
        <v/>
      </c>
      <c r="P74" s="26"/>
    </row>
    <row r="75" spans="1:16" x14ac:dyDescent="0.35">
      <c r="B75" s="31"/>
      <c r="C75" s="31"/>
      <c r="D75" s="31"/>
      <c r="E75" s="31"/>
      <c r="F75" s="31"/>
      <c r="G75" s="31"/>
      <c r="H75" s="31"/>
      <c r="J75" s="46"/>
      <c r="K75" s="5"/>
      <c r="L75" s="34"/>
      <c r="M75" s="5" t="str">
        <f t="shared" si="5"/>
        <v/>
      </c>
      <c r="N75" s="5" t="str">
        <f t="shared" si="6"/>
        <v/>
      </c>
      <c r="O75" s="11" t="str">
        <f t="shared" si="7"/>
        <v/>
      </c>
      <c r="P75" s="26"/>
    </row>
    <row r="76" spans="1:16" x14ac:dyDescent="0.35">
      <c r="B76" s="31"/>
      <c r="C76" s="31"/>
      <c r="D76" s="31"/>
      <c r="E76" s="31"/>
      <c r="F76" s="31"/>
      <c r="G76" s="31"/>
      <c r="H76" s="31"/>
      <c r="J76" s="46"/>
      <c r="K76" s="5"/>
      <c r="L76" s="34"/>
      <c r="M76" s="5" t="str">
        <f t="shared" si="5"/>
        <v/>
      </c>
      <c r="N76" s="5" t="str">
        <f t="shared" si="6"/>
        <v/>
      </c>
      <c r="O76" s="11" t="str">
        <f t="shared" si="7"/>
        <v/>
      </c>
      <c r="P76" s="26"/>
    </row>
    <row r="77" spans="1:16" x14ac:dyDescent="0.35">
      <c r="B77" s="31"/>
      <c r="C77" s="31"/>
      <c r="D77" s="31"/>
      <c r="E77" s="31"/>
      <c r="F77" s="31"/>
      <c r="G77" s="31"/>
      <c r="H77" s="31"/>
      <c r="J77" s="46"/>
      <c r="K77" s="5"/>
      <c r="L77" s="34"/>
      <c r="M77" s="5" t="str">
        <f t="shared" ref="M77:M78" si="8">IFERROR(IF(ISBLANK(J77),"",L77-K77),"")</f>
        <v/>
      </c>
      <c r="N77" s="5" t="str">
        <f t="shared" ref="N77:N78" si="9">IFERROR(IF(OR(J77=" ",K77=" ",L77=" ")," ",IF(L77&gt;K77,"BULLISH",IF(K77&gt;L77,"BEARISH",""))),"")</f>
        <v/>
      </c>
      <c r="O77" s="11" t="str">
        <f t="shared" ref="O77:O78" si="10">IFERROR(IF(AND(N77="BULLISH",K77&lt;0),(L77-(K77))/-K77,IF(AND(N77="BULLISH",K77&gt;0),L77/K77,IF(AND(N77="BEARISH",L77&lt;0),(K77-(L77))/-L77,IF(N77="BEARISH",K77/L77,"")))),"")</f>
        <v/>
      </c>
      <c r="P77" s="26"/>
    </row>
    <row r="78" spans="1:16" x14ac:dyDescent="0.35">
      <c r="B78" s="31"/>
      <c r="C78" s="31"/>
      <c r="D78" s="31"/>
      <c r="E78" s="31"/>
      <c r="F78" s="31"/>
      <c r="G78" s="31"/>
      <c r="H78" s="31"/>
      <c r="J78" s="46"/>
      <c r="K78" s="5"/>
      <c r="L78" s="34"/>
      <c r="M78" s="5" t="str">
        <f t="shared" si="8"/>
        <v/>
      </c>
      <c r="N78" s="5" t="str">
        <f t="shared" si="9"/>
        <v/>
      </c>
      <c r="O78" s="11" t="str">
        <f t="shared" si="10"/>
        <v/>
      </c>
      <c r="P78" s="26"/>
    </row>
    <row r="79" spans="1:16" s="21" customFormat="1" ht="7.5" customHeight="1" x14ac:dyDescent="0.35">
      <c r="B79" s="32"/>
      <c r="C79" s="32"/>
      <c r="D79" s="32"/>
      <c r="E79" s="32"/>
      <c r="F79" s="32"/>
      <c r="G79" s="32"/>
      <c r="H79" s="32"/>
      <c r="J79" s="35"/>
      <c r="K79" s="36"/>
      <c r="L79" s="27"/>
      <c r="M79" s="27"/>
      <c r="N79" s="27"/>
      <c r="O79" s="27"/>
      <c r="P79" s="28"/>
    </row>
    <row r="81" spans="2:2" ht="15" hidden="1" x14ac:dyDescent="0.25">
      <c r="B81" s="21"/>
    </row>
  </sheetData>
  <sheetProtection algorithmName="SHA-512" hashValue="eN7qoR09bkkZI5yYX3uspFegJSZoAgdJDU8ewa9hJUGHWTZIFA+P4L8cjD+wlqBezGXxruDhVfr7oD4pe9706A==" saltValue="Fw3JAsFITshRSk3PlDt/Zg==" spinCount="100000" sheet="1" objects="1" scenarios="1" selectLockedCells="1"/>
  <mergeCells count="2">
    <mergeCell ref="D14:F15"/>
    <mergeCell ref="G15:H15"/>
  </mergeCells>
  <phoneticPr fontId="9" type="noConversion"/>
  <conditionalFormatting sqref="D2">
    <cfRule type="containsText" dxfId="32" priority="5" operator="containsText" text="OFF">
      <formula>NOT(ISERROR(SEARCH("OFF",D2)))</formula>
    </cfRule>
  </conditionalFormatting>
  <conditionalFormatting sqref="N3:N76">
    <cfRule type="beginsWith" dxfId="31" priority="3" operator="beginsWith" text="BEARISH">
      <formula>LEFT(N3,LEN("BEARISH"))="BEARISH"</formula>
    </cfRule>
    <cfRule type="beginsWith" dxfId="30" priority="4" operator="beginsWith" text="BULLISH">
      <formula>LEFT(N3,LEN("BULLISH"))="BULLISH"</formula>
    </cfRule>
  </conditionalFormatting>
  <conditionalFormatting sqref="N77:N78">
    <cfRule type="beginsWith" dxfId="29" priority="1" operator="beginsWith" text="BEARISH">
      <formula>LEFT(N77,LEN("BEARISH"))="BEARISH"</formula>
    </cfRule>
    <cfRule type="beginsWith" dxfId="28" priority="2" operator="beginsWith" text="BULLISH">
      <formula>LEFT(N77,LEN("BULLISH"))="BULLISH"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tart Time">
              <controlPr locked="0" defaultSize="0" print="0" autoFill="0" autoPict="0" macro="[0]!ClickMainTimer">
                <anchor moveWithCells="1" siz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6</xdr:col>
                    <xdr:colOff>488950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top Time">
              <controlPr locked="0" defaultSize="0" print="0" autoFill="0" autoPict="0" macro="[0]!StopTimer">
                <anchor moveWithCells="1" sizeWithCells="1">
                  <from>
                    <xdr:col>6</xdr:col>
                    <xdr:colOff>508000</xdr:colOff>
                    <xdr:row>1</xdr:row>
                    <xdr:rowOff>0</xdr:rowOff>
                  </from>
                  <to>
                    <xdr:col>7</xdr:col>
                    <xdr:colOff>323850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lear Data">
              <controlPr locked="0" defaultSize="0" print="0" autoFill="0" autoPict="0" macro="[0]!ClearData">
                <anchor moveWithCells="1" sizeWithCells="1">
                  <from>
                    <xdr:col>7</xdr:col>
                    <xdr:colOff>355600</xdr:colOff>
                    <xdr:row>1</xdr:row>
                    <xdr:rowOff>0</xdr:rowOff>
                  </from>
                  <to>
                    <xdr:col>8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2119"/>
  <sheetViews>
    <sheetView showRowColHeaders="0" topLeftCell="B1" workbookViewId="0">
      <pane ySplit="1" topLeftCell="A905" activePane="bottomLeft" state="frozen"/>
      <selection pane="bottomLeft" activeCell="B1062" sqref="B1062"/>
    </sheetView>
  </sheetViews>
  <sheetFormatPr defaultColWidth="0" defaultRowHeight="14.5" zeroHeight="1" x14ac:dyDescent="0.35"/>
  <cols>
    <col min="1" max="1" width="9.1796875" style="18" customWidth="1"/>
    <col min="2" max="2" width="9.6328125" style="18" customWidth="1"/>
    <col min="3" max="3" width="11.54296875" style="18" customWidth="1"/>
    <col min="4" max="4" width="11.7265625" style="18" customWidth="1"/>
    <col min="5" max="5" width="19.6328125" style="18" customWidth="1"/>
    <col min="6" max="6" width="20.7265625" style="18" customWidth="1"/>
    <col min="7" max="7" width="17.36328125" style="18" customWidth="1"/>
    <col min="8" max="8" width="14.54296875" style="18" customWidth="1"/>
    <col min="9" max="9" width="7.90625" style="18" customWidth="1"/>
    <col min="10" max="10" width="6.7265625" style="18" customWidth="1"/>
    <col min="11" max="11" width="12.453125" style="18" customWidth="1"/>
    <col min="12" max="12" width="15.36328125" style="18" customWidth="1"/>
    <col min="13" max="13" width="15.08984375" style="18" customWidth="1"/>
    <col min="14" max="14" width="14.453125" style="18" customWidth="1"/>
    <col min="15" max="15" width="11.1796875" style="18" customWidth="1"/>
    <col min="16" max="16" width="11.54296875" style="18" customWidth="1"/>
    <col min="17" max="17" width="13.36328125" style="18" customWidth="1"/>
    <col min="18" max="18" width="21.26953125" style="18" customWidth="1"/>
    <col min="19" max="19" width="22.36328125" style="18" customWidth="1"/>
    <col min="20" max="20" width="18.90625" style="18" customWidth="1"/>
    <col min="21" max="21" width="16.08984375" style="18" customWidth="1"/>
    <col min="22" max="22" width="9.453125" style="18" customWidth="1"/>
    <col min="23" max="23" width="8.26953125" style="18" customWidth="1"/>
    <col min="24" max="24" width="12.453125" style="18" customWidth="1"/>
    <col min="25" max="25" width="17" style="18" customWidth="1"/>
    <col min="26" max="26" width="16.6328125" style="18" customWidth="1"/>
    <col min="27" max="27" width="16" style="18" customWidth="1"/>
    <col min="28" max="29" width="9.1796875" style="18" customWidth="1"/>
    <col min="30" max="30" width="11.7265625" style="18" bestFit="1" customWidth="1"/>
    <col min="31" max="31" width="11.81640625" style="18" bestFit="1" customWidth="1"/>
    <col min="32" max="40" width="9.1796875" style="18" customWidth="1"/>
    <col min="41" max="41" width="10" style="18" bestFit="1" customWidth="1"/>
    <col min="42" max="42" width="9" style="18" bestFit="1" customWidth="1"/>
    <col min="43" max="43" width="10" style="18" bestFit="1" customWidth="1"/>
    <col min="44" max="49" width="9.1796875" style="18" customWidth="1"/>
    <col min="50" max="67" width="0" style="18" hidden="1" customWidth="1"/>
    <col min="68" max="16384" width="9.1796875" style="18" hidden="1"/>
  </cols>
  <sheetData>
    <row r="1" spans="1:48" x14ac:dyDescent="0.35">
      <c r="A1" s="2" t="s">
        <v>69</v>
      </c>
      <c r="B1" s="58" t="s">
        <v>2</v>
      </c>
      <c r="C1" s="58" t="s">
        <v>3</v>
      </c>
      <c r="D1" s="58" t="s">
        <v>14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58" t="s">
        <v>23</v>
      </c>
      <c r="K1" s="58" t="s">
        <v>9</v>
      </c>
      <c r="L1" s="58" t="s">
        <v>10</v>
      </c>
      <c r="M1" s="58" t="s">
        <v>11</v>
      </c>
      <c r="N1" s="58" t="s">
        <v>40</v>
      </c>
      <c r="O1" s="58" t="s">
        <v>12</v>
      </c>
      <c r="P1" s="58" t="s">
        <v>13</v>
      </c>
      <c r="Q1" s="58" t="s">
        <v>24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25</v>
      </c>
      <c r="X1" s="58" t="s">
        <v>20</v>
      </c>
      <c r="Y1" s="58" t="s">
        <v>21</v>
      </c>
      <c r="Z1" s="58" t="s">
        <v>22</v>
      </c>
      <c r="AA1" s="58" t="s">
        <v>41</v>
      </c>
      <c r="AC1" s="18">
        <f>IFERROR(MAX($AA$2:$AA$2090),"")</f>
        <v>15136.95</v>
      </c>
      <c r="AD1" s="55">
        <f>IFERROR(Calculation!$B$2,"")</f>
        <v>44259</v>
      </c>
      <c r="AE1" s="18" t="s">
        <v>42</v>
      </c>
      <c r="AF1" s="18" t="s">
        <v>45</v>
      </c>
      <c r="AG1" s="18" t="s">
        <v>44</v>
      </c>
      <c r="AH1" s="18" t="s">
        <v>43</v>
      </c>
      <c r="AI1" s="18" t="s">
        <v>2069</v>
      </c>
      <c r="AJ1" s="18" t="s">
        <v>45</v>
      </c>
      <c r="AK1" s="18" t="s">
        <v>44</v>
      </c>
      <c r="AL1" s="18" t="s">
        <v>43</v>
      </c>
      <c r="AM1" s="18" t="s">
        <v>2069</v>
      </c>
      <c r="AO1" s="18" t="s">
        <v>55</v>
      </c>
      <c r="AP1" s="18" t="s">
        <v>56</v>
      </c>
      <c r="AQ1" s="18" t="s">
        <v>57</v>
      </c>
      <c r="AR1" s="18" t="s">
        <v>42</v>
      </c>
      <c r="AS1" s="18" t="s">
        <v>58</v>
      </c>
      <c r="AT1" s="18" t="s">
        <v>59</v>
      </c>
      <c r="AU1" s="18" t="s">
        <v>61</v>
      </c>
      <c r="AV1" s="18" t="s">
        <v>62</v>
      </c>
    </row>
    <row r="2" spans="1:48" x14ac:dyDescent="0.35">
      <c r="A2" s="56" t="s">
        <v>70</v>
      </c>
      <c r="B2" s="58">
        <v>6000</v>
      </c>
      <c r="C2" s="58" t="s">
        <v>26</v>
      </c>
      <c r="D2" s="58">
        <v>2</v>
      </c>
      <c r="E2" s="58">
        <v>0</v>
      </c>
      <c r="F2" s="58">
        <v>0</v>
      </c>
      <c r="G2" s="58">
        <v>0</v>
      </c>
      <c r="H2" s="58">
        <v>0</v>
      </c>
      <c r="I2" s="58">
        <v>0</v>
      </c>
      <c r="J2" s="58">
        <v>0</v>
      </c>
      <c r="K2" s="58">
        <v>0</v>
      </c>
      <c r="L2" s="58">
        <v>6075</v>
      </c>
      <c r="M2" s="58">
        <v>0</v>
      </c>
      <c r="N2" s="58">
        <v>15136.95</v>
      </c>
      <c r="O2" s="58">
        <v>0</v>
      </c>
      <c r="P2" s="58">
        <v>0</v>
      </c>
      <c r="Q2" s="58">
        <v>0</v>
      </c>
      <c r="R2" s="58">
        <v>0</v>
      </c>
      <c r="S2" s="58">
        <v>0</v>
      </c>
      <c r="T2" s="58">
        <v>0</v>
      </c>
      <c r="U2" s="58">
        <v>0</v>
      </c>
      <c r="V2" s="58">
        <v>0</v>
      </c>
      <c r="W2" s="58">
        <v>0</v>
      </c>
      <c r="X2" s="58">
        <v>0</v>
      </c>
      <c r="Y2" s="58">
        <v>0</v>
      </c>
      <c r="Z2" s="58">
        <v>0</v>
      </c>
      <c r="AA2" s="58">
        <v>0</v>
      </c>
      <c r="AC2" s="18">
        <f>IFERROR(ROUND($AC$1,-2),"")</f>
        <v>15100</v>
      </c>
      <c r="AD2" s="18" t="str">
        <f t="array" ref="AD2">IFERROR(INDEX($A$1:$A$2000, MATCH(0, IF($AD$1*1=$C$1:$C$2090*1, COUNTIF($AD$1:$AD1, $A$1:$A$2000), ""), 0)),"")</f>
        <v>131</v>
      </c>
      <c r="AE2" s="57">
        <f>IFERROR(VLOOKUP(AD2,$A$2:$AA$2000,2,0),"")</f>
        <v>12150</v>
      </c>
      <c r="AF2" s="18">
        <f>IFERROR(VLOOKUP(AD2,$A$2:$AA$2000,22,0),"")</f>
        <v>0</v>
      </c>
      <c r="AG2" s="18">
        <f>IFERROR(VLOOKUP(AD2,$A$2:$AA$2000,18,0),"")</f>
        <v>0</v>
      </c>
      <c r="AH2" s="18">
        <f>IFERROR(VLOOKUP(AD2,$A$2:$AA$2000,17,0),"")</f>
        <v>0</v>
      </c>
      <c r="AI2" s="18">
        <f>IFERROR(VLOOKUP(AD2,$A$2:$AA$2000,20,0),"")</f>
        <v>0</v>
      </c>
      <c r="AJ2" s="18">
        <f>IFERROR(VLOOKUP(AD2,$A$2:$AA$2000,9,0),"")</f>
        <v>0</v>
      </c>
      <c r="AK2" s="18">
        <f>IFERROR(VLOOKUP(AD2,$A$2:$AA$2000,5,0),"")</f>
        <v>0</v>
      </c>
      <c r="AL2" s="18">
        <f>IFERROR(VLOOKUP(AD2,$A$2:$AA$2000,4,0),"")</f>
        <v>0</v>
      </c>
      <c r="AM2" s="18">
        <f>IFERROR(VLOOKUP(AD2,$A$2:$AA$2000,7,0),"")</f>
        <v>0</v>
      </c>
      <c r="AO2" s="18">
        <f>IFERROR($AR2*SUM($AS2:AS$2)-SUMPRODUCT($AR2:AR$2,$AS2:AS$2),"")</f>
        <v>0</v>
      </c>
      <c r="AP2" s="18">
        <f>IFERROR(SUMPRODUCT($AR2:AR$26,$AT2:AT$26)-$AR2*SUM($AT2:AT$26),"")</f>
        <v>54000</v>
      </c>
      <c r="AQ2" s="18">
        <f>IFERROR(($AR2*SUM(AS2:$AS$2)-SUMPRODUCT($AR2:AR$2,$AS2:AS$2))+(SUMPRODUCT($AR2:AR$26,$AT2:AT$26)-$AR2*SUM($AT2:AT$26)),"")</f>
        <v>54000</v>
      </c>
      <c r="AR2" s="18">
        <f t="shared" ref="AR2:AR12" si="0">IFERROR(AR3-50,"")</f>
        <v>14550</v>
      </c>
      <c r="AS2" s="18">
        <f>IFERROR(VLOOKUP(AR2,$AE$2:$AM$200,4,0),"")</f>
        <v>0</v>
      </c>
      <c r="AT2" s="18">
        <f>IFERROR(VLOOKUP(AR2,$AE$2:$AM$200,8,0),"")</f>
        <v>0</v>
      </c>
      <c r="AU2" s="18">
        <f>IFERROR(VLOOKUP(AR2,$AE$2:$AM$200,5,0),"")</f>
        <v>0</v>
      </c>
      <c r="AV2" s="18">
        <f>IFERROR(VLOOKUP(AR2,$AE$2:$AM$200,9,0),"")</f>
        <v>0</v>
      </c>
    </row>
    <row r="3" spans="1:48" x14ac:dyDescent="0.35">
      <c r="A3" s="56" t="s">
        <v>71</v>
      </c>
      <c r="B3" s="58">
        <v>6000</v>
      </c>
      <c r="C3" s="58" t="s">
        <v>27</v>
      </c>
      <c r="D3" s="58">
        <v>4</v>
      </c>
      <c r="E3" s="58">
        <v>0</v>
      </c>
      <c r="F3" s="58">
        <v>0</v>
      </c>
      <c r="G3" s="58">
        <v>0</v>
      </c>
      <c r="H3" s="58">
        <v>0</v>
      </c>
      <c r="I3" s="58">
        <v>0</v>
      </c>
      <c r="J3" s="58">
        <v>0</v>
      </c>
      <c r="K3" s="58">
        <v>0</v>
      </c>
      <c r="L3" s="58">
        <v>6000</v>
      </c>
      <c r="M3" s="58">
        <v>0</v>
      </c>
      <c r="N3" s="58">
        <v>15136.95</v>
      </c>
      <c r="O3" s="58">
        <v>0</v>
      </c>
      <c r="P3" s="58">
        <v>0</v>
      </c>
      <c r="Q3" s="58">
        <v>0</v>
      </c>
      <c r="R3" s="58">
        <v>0</v>
      </c>
      <c r="S3" s="58">
        <v>0</v>
      </c>
      <c r="T3" s="58">
        <v>0</v>
      </c>
      <c r="U3" s="58">
        <v>0</v>
      </c>
      <c r="V3" s="58">
        <v>0</v>
      </c>
      <c r="W3" s="58">
        <v>0</v>
      </c>
      <c r="X3" s="58">
        <v>0</v>
      </c>
      <c r="Y3" s="58">
        <v>0</v>
      </c>
      <c r="Z3" s="58">
        <v>0</v>
      </c>
      <c r="AA3" s="58">
        <v>0</v>
      </c>
      <c r="AC3" s="18">
        <f>IF(OR(AND($AC$1&gt;$AC$2-25,$AC$1&lt;=$AC$2),AND($AC$1&gt;$AC$2,$AC$1&lt;=$AC$2+25)),$AC$2,IF(AND($AC$1&gt;$AC$2-75,$AC$1&lt;=$AC$2-25),$AC$2-50,IF(AND($AC$1&gt;$AC$2+25,$AC$1&lt;=$AC$2+75),$AC$2+50,"")))</f>
        <v>15150</v>
      </c>
      <c r="AD3" s="18" t="str">
        <f t="array" ref="AD3">IFERROR(INDEX($A$1:$A$2000, MATCH(0, IF($AD$1*1=$C$1:$C$2090*1, COUNTIF($AD$1:$AD2, $A$1:$A$2000), ""), 0)),"")</f>
        <v>152</v>
      </c>
      <c r="AE3" s="57">
        <f t="shared" ref="AE3:AE66" si="1">IFERROR(VLOOKUP(AD3,$A$2:$AA$2000,2,0),"")</f>
        <v>12250</v>
      </c>
      <c r="AF3" s="18">
        <f t="shared" ref="AF3:AF66" si="2">IFERROR(VLOOKUP(AD3,$A$2:$AA$2000,22,0),"")</f>
        <v>0</v>
      </c>
      <c r="AG3" s="18">
        <f t="shared" ref="AG3:AG66" si="3">IFERROR(VLOOKUP(AD3,$A$2:$AA$2000,18,0),"")</f>
        <v>0</v>
      </c>
      <c r="AH3" s="18">
        <f t="shared" ref="AH3:AH66" si="4">IFERROR(VLOOKUP(AD3,$A$2:$AA$2000,17,0),"")</f>
        <v>0</v>
      </c>
      <c r="AI3" s="18">
        <f t="shared" ref="AI3:AI66" si="5">IFERROR(VLOOKUP(AD3,$A$2:$AA$2000,20,0),"")</f>
        <v>0</v>
      </c>
      <c r="AJ3" s="18">
        <f t="shared" ref="AJ3:AJ66" si="6">IFERROR(VLOOKUP(AD3,$A$2:$AA$2000,9,0),"")</f>
        <v>0</v>
      </c>
      <c r="AK3" s="18">
        <f t="shared" ref="AK3:AK66" si="7">IFERROR(VLOOKUP(AD3,$A$2:$AA$2000,5,0),"")</f>
        <v>0</v>
      </c>
      <c r="AL3" s="18">
        <f t="shared" ref="AL3:AL66" si="8">IFERROR(VLOOKUP(AD3,$A$2:$AA$2000,4,0),"")</f>
        <v>0</v>
      </c>
      <c r="AM3" s="18">
        <f t="shared" ref="AM3:AM66" si="9">IFERROR(VLOOKUP(AD3,$A$2:$AA$2000,7,0),"")</f>
        <v>0</v>
      </c>
      <c r="AO3" s="18">
        <f>IFERROR($AR3*SUM($AS$2:AS3)-SUMPRODUCT($AR$2:AR3,$AS$2:AS3),"")</f>
        <v>0</v>
      </c>
      <c r="AP3" s="18">
        <f>IFERROR(SUMPRODUCT($AR3:AR$26,$AT3:AT$26)-$AR3*SUM($AT3:AT$26),"")</f>
        <v>48250</v>
      </c>
      <c r="AQ3" s="18">
        <f>IFERROR(($AR3*SUM(AS$2:$AS3)-SUMPRODUCT($AR$2:AR3,$AS$2:AS3))+(SUMPRODUCT($AR3:AR$26,$AT3:AT$26)-$AR3*SUM($AT3:AT$26)),"")</f>
        <v>48250</v>
      </c>
      <c r="AR3" s="18">
        <f t="shared" si="0"/>
        <v>14600</v>
      </c>
      <c r="AS3" s="18">
        <f t="shared" ref="AS3:AS26" si="10">IFERROR(VLOOKUP(AR3,$AE$2:$AM$200,4,0),"")</f>
        <v>0</v>
      </c>
      <c r="AT3" s="18">
        <f t="shared" ref="AT3:AT26" si="11">IFERROR(VLOOKUP(AR3,$AE$2:$AM$200,8,0),"")</f>
        <v>1</v>
      </c>
      <c r="AU3" s="18">
        <f t="shared" ref="AU3:AU26" si="12">IFERROR(VLOOKUP(AR3,$AE$2:$AM$200,5,0),"")</f>
        <v>0</v>
      </c>
      <c r="AV3" s="18">
        <f t="shared" ref="AV3:AV26" si="13">IFERROR(VLOOKUP(AR3,$AE$2:$AM$200,9,0),"")</f>
        <v>0</v>
      </c>
    </row>
    <row r="4" spans="1:48" x14ac:dyDescent="0.35">
      <c r="A4" s="56" t="s">
        <v>72</v>
      </c>
      <c r="B4" s="58">
        <v>7500</v>
      </c>
      <c r="C4" s="58" t="s">
        <v>28</v>
      </c>
      <c r="D4" s="58">
        <v>14</v>
      </c>
      <c r="E4" s="58">
        <v>0</v>
      </c>
      <c r="F4" s="58">
        <v>0</v>
      </c>
      <c r="G4" s="58">
        <v>0</v>
      </c>
      <c r="H4" s="58">
        <v>0</v>
      </c>
      <c r="I4" s="58">
        <v>0</v>
      </c>
      <c r="J4" s="58">
        <v>0</v>
      </c>
      <c r="K4" s="58">
        <v>0</v>
      </c>
      <c r="L4" s="58">
        <v>5250</v>
      </c>
      <c r="M4" s="58">
        <v>0</v>
      </c>
      <c r="N4" s="58">
        <v>15136.95</v>
      </c>
      <c r="O4" s="58">
        <v>0</v>
      </c>
      <c r="P4" s="58">
        <v>0</v>
      </c>
      <c r="Q4" s="58">
        <v>0</v>
      </c>
      <c r="R4" s="58">
        <v>0</v>
      </c>
      <c r="S4" s="58">
        <v>0</v>
      </c>
      <c r="T4" s="58">
        <v>0</v>
      </c>
      <c r="U4" s="58">
        <v>0</v>
      </c>
      <c r="V4" s="58">
        <v>0</v>
      </c>
      <c r="W4" s="58">
        <v>0</v>
      </c>
      <c r="X4" s="58">
        <v>0</v>
      </c>
      <c r="Y4" s="58">
        <v>0</v>
      </c>
      <c r="Z4" s="58">
        <v>0</v>
      </c>
      <c r="AA4" s="58">
        <v>0</v>
      </c>
      <c r="AD4" s="18" t="str">
        <f t="array" ref="AD4">IFERROR(INDEX($A$1:$A$2000, MATCH(0, IF($AD$1*1=$C$1:$C$2090*1, COUNTIF($AD$1:$AD3, $A$1:$A$2000), ""), 0)),"")</f>
        <v>179</v>
      </c>
      <c r="AE4" s="57">
        <f t="shared" si="1"/>
        <v>12400</v>
      </c>
      <c r="AF4" s="18">
        <f t="shared" si="2"/>
        <v>0</v>
      </c>
      <c r="AG4" s="18">
        <f t="shared" si="3"/>
        <v>0</v>
      </c>
      <c r="AH4" s="18">
        <f t="shared" si="4"/>
        <v>0</v>
      </c>
      <c r="AI4" s="18">
        <f t="shared" si="5"/>
        <v>0</v>
      </c>
      <c r="AJ4" s="18">
        <f t="shared" si="6"/>
        <v>0</v>
      </c>
      <c r="AK4" s="18">
        <f t="shared" si="7"/>
        <v>0</v>
      </c>
      <c r="AL4" s="18">
        <f t="shared" si="8"/>
        <v>0</v>
      </c>
      <c r="AM4" s="18">
        <f t="shared" si="9"/>
        <v>0</v>
      </c>
      <c r="AO4" s="18">
        <f>IFERROR($AR4*SUM($AS$2:AS4)-SUMPRODUCT($AR$2:AR4,$AS$2:AS4),"")</f>
        <v>0</v>
      </c>
      <c r="AP4" s="18">
        <f>IFERROR(SUMPRODUCT($AR4:AR$26,$AT4:AT$26)-$AR4*SUM($AT4:AT$26),"")</f>
        <v>42550</v>
      </c>
      <c r="AQ4" s="18">
        <f>IFERROR(($AR4*SUM(AS$2:$AS4)-SUMPRODUCT($AR$2:AR4,$AS$2:AS4))+(SUMPRODUCT($AR4:AR$26,$AT4:AT$26)-$AR4*SUM($AT4:AT$26)),"")</f>
        <v>42550</v>
      </c>
      <c r="AR4" s="18">
        <f t="shared" si="0"/>
        <v>14650</v>
      </c>
      <c r="AS4" s="18">
        <f t="shared" si="10"/>
        <v>0</v>
      </c>
      <c r="AT4" s="18">
        <f t="shared" si="11"/>
        <v>0</v>
      </c>
      <c r="AU4" s="18">
        <f t="shared" si="12"/>
        <v>0</v>
      </c>
      <c r="AV4" s="18">
        <f t="shared" si="13"/>
        <v>0</v>
      </c>
    </row>
    <row r="5" spans="1:48" x14ac:dyDescent="0.35">
      <c r="A5" s="56" t="s">
        <v>73</v>
      </c>
      <c r="B5" s="58">
        <v>7600</v>
      </c>
      <c r="C5" s="58" t="s">
        <v>28</v>
      </c>
      <c r="D5" s="58">
        <v>4001</v>
      </c>
      <c r="E5" s="58">
        <v>0</v>
      </c>
      <c r="F5" s="58">
        <v>0</v>
      </c>
      <c r="G5" s="58">
        <v>0</v>
      </c>
      <c r="H5" s="58">
        <v>0</v>
      </c>
      <c r="I5" s="58">
        <v>0</v>
      </c>
      <c r="J5" s="58">
        <v>0</v>
      </c>
      <c r="K5" s="58">
        <v>0</v>
      </c>
      <c r="L5" s="58">
        <v>750</v>
      </c>
      <c r="M5" s="58">
        <v>0</v>
      </c>
      <c r="N5" s="58">
        <v>15136.95</v>
      </c>
      <c r="O5" s="58">
        <v>0</v>
      </c>
      <c r="P5" s="58">
        <v>0</v>
      </c>
      <c r="Q5" s="58">
        <v>0</v>
      </c>
      <c r="R5" s="58">
        <v>0</v>
      </c>
      <c r="S5" s="58">
        <v>0</v>
      </c>
      <c r="T5" s="58">
        <v>0</v>
      </c>
      <c r="U5" s="58">
        <v>0</v>
      </c>
      <c r="V5" s="58">
        <v>0</v>
      </c>
      <c r="W5" s="58">
        <v>0</v>
      </c>
      <c r="X5" s="58">
        <v>0</v>
      </c>
      <c r="Y5" s="58">
        <v>0</v>
      </c>
      <c r="Z5" s="58">
        <v>0</v>
      </c>
      <c r="AA5" s="58">
        <v>0</v>
      </c>
      <c r="AD5" s="18" t="str">
        <f t="array" ref="AD5">IFERROR(INDEX($A$1:$A$2000, MATCH(0, IF($AD$1*1=$C$1:$C$2090*1, COUNTIF($AD$1:$AD4, $A$1:$A$2000), ""), 0)),"")</f>
        <v>199</v>
      </c>
      <c r="AE5" s="57">
        <f t="shared" si="1"/>
        <v>12500</v>
      </c>
      <c r="AF5" s="18">
        <f t="shared" si="2"/>
        <v>0</v>
      </c>
      <c r="AG5" s="18">
        <f t="shared" si="3"/>
        <v>0</v>
      </c>
      <c r="AH5" s="18">
        <f t="shared" si="4"/>
        <v>0</v>
      </c>
      <c r="AI5" s="18">
        <f t="shared" si="5"/>
        <v>0</v>
      </c>
      <c r="AJ5" s="18">
        <f t="shared" si="6"/>
        <v>0</v>
      </c>
      <c r="AK5" s="18">
        <f t="shared" si="7"/>
        <v>0</v>
      </c>
      <c r="AL5" s="18">
        <f t="shared" si="8"/>
        <v>0</v>
      </c>
      <c r="AM5" s="18">
        <f t="shared" si="9"/>
        <v>0</v>
      </c>
      <c r="AO5" s="18">
        <f>IFERROR($AR5*SUM($AS$2:AS5)-SUMPRODUCT($AR$2:AR5,$AS$2:AS5),"")</f>
        <v>0</v>
      </c>
      <c r="AP5" s="18">
        <f>IFERROR(SUMPRODUCT($AR5:AR$26,$AT5:AT$26)-$AR5*SUM($AT5:AT$26),"")</f>
        <v>36850</v>
      </c>
      <c r="AQ5" s="18">
        <f>IFERROR(($AR5*SUM(AS$2:$AS5)-SUMPRODUCT($AR$2:AR5,$AS$2:AS5))+(SUMPRODUCT($AR5:AR$26,$AT5:AT$26)-$AR5*SUM($AT5:AT$26)),"")</f>
        <v>36850</v>
      </c>
      <c r="AR5" s="18">
        <f t="shared" si="0"/>
        <v>14700</v>
      </c>
      <c r="AS5" s="18">
        <f t="shared" si="10"/>
        <v>0</v>
      </c>
      <c r="AT5" s="18">
        <f t="shared" si="11"/>
        <v>0</v>
      </c>
      <c r="AU5" s="18">
        <f t="shared" si="12"/>
        <v>0</v>
      </c>
      <c r="AV5" s="18">
        <f t="shared" si="13"/>
        <v>0</v>
      </c>
    </row>
    <row r="6" spans="1:48" x14ac:dyDescent="0.35">
      <c r="A6" s="56" t="s">
        <v>74</v>
      </c>
      <c r="B6" s="58">
        <v>8000</v>
      </c>
      <c r="C6" s="58" t="s">
        <v>26</v>
      </c>
      <c r="D6" s="58">
        <v>64</v>
      </c>
      <c r="E6" s="58">
        <v>-1</v>
      </c>
      <c r="F6" s="58">
        <v>-1.5384615384615383</v>
      </c>
      <c r="G6" s="58">
        <v>1</v>
      </c>
      <c r="H6" s="58">
        <v>69</v>
      </c>
      <c r="I6" s="58">
        <v>2.1</v>
      </c>
      <c r="J6" s="58">
        <v>-0.89999999999999991</v>
      </c>
      <c r="K6" s="58">
        <v>-30</v>
      </c>
      <c r="L6" s="58">
        <v>12975</v>
      </c>
      <c r="M6" s="58">
        <v>0</v>
      </c>
      <c r="N6" s="58">
        <v>15136.95</v>
      </c>
      <c r="O6" s="58">
        <v>8000</v>
      </c>
      <c r="P6" s="58" t="s">
        <v>26</v>
      </c>
      <c r="Q6" s="58">
        <v>14</v>
      </c>
      <c r="R6" s="58">
        <v>0</v>
      </c>
      <c r="S6" s="58">
        <v>0</v>
      </c>
      <c r="T6" s="58">
        <v>0</v>
      </c>
      <c r="U6" s="58">
        <v>0</v>
      </c>
      <c r="V6" s="58">
        <v>0</v>
      </c>
      <c r="W6" s="58">
        <v>0</v>
      </c>
      <c r="X6" s="58">
        <v>0</v>
      </c>
      <c r="Y6" s="58">
        <v>10425</v>
      </c>
      <c r="Z6" s="58">
        <v>6075</v>
      </c>
      <c r="AA6" s="58">
        <v>15136.95</v>
      </c>
      <c r="AD6" s="18" t="str">
        <f t="array" ref="AD6">IFERROR(INDEX($A$1:$A$2000, MATCH(0, IF($AD$1*1=$C$1:$C$2090*1, COUNTIF($AD$1:$AD5, $A$1:$A$2000), ""), 0)),"")</f>
        <v>223</v>
      </c>
      <c r="AE6" s="57">
        <f t="shared" si="1"/>
        <v>12600</v>
      </c>
      <c r="AF6" s="18">
        <f t="shared" si="2"/>
        <v>0</v>
      </c>
      <c r="AG6" s="18">
        <f t="shared" si="3"/>
        <v>0</v>
      </c>
      <c r="AH6" s="18">
        <f t="shared" si="4"/>
        <v>0</v>
      </c>
      <c r="AI6" s="18">
        <f t="shared" si="5"/>
        <v>0</v>
      </c>
      <c r="AJ6" s="18">
        <f t="shared" si="6"/>
        <v>0</v>
      </c>
      <c r="AK6" s="18">
        <f t="shared" si="7"/>
        <v>0</v>
      </c>
      <c r="AL6" s="18">
        <f t="shared" si="8"/>
        <v>0</v>
      </c>
      <c r="AM6" s="18">
        <f t="shared" si="9"/>
        <v>0</v>
      </c>
      <c r="AO6" s="18">
        <f>IFERROR($AR6*SUM($AS$2:AS6)-SUMPRODUCT($AR$2:AR6,$AS$2:AS6),"")</f>
        <v>0</v>
      </c>
      <c r="AP6" s="18">
        <f>IFERROR(SUMPRODUCT($AR6:AR$26,$AT6:AT$26)-$AR6*SUM($AT6:AT$26),"")</f>
        <v>31150</v>
      </c>
      <c r="AQ6" s="18">
        <f>IFERROR(($AR6*SUM(AS$2:$AS6)-SUMPRODUCT($AR$2:AR6,$AS$2:AS6))+(SUMPRODUCT($AR6:AR$26,$AT6:AT$26)-$AR6*SUM($AT6:AT$26)),"")</f>
        <v>31150</v>
      </c>
      <c r="AR6" s="18">
        <f t="shared" si="0"/>
        <v>14750</v>
      </c>
      <c r="AS6" s="18">
        <f t="shared" si="10"/>
        <v>1</v>
      </c>
      <c r="AT6" s="18">
        <f t="shared" si="11"/>
        <v>0</v>
      </c>
      <c r="AU6" s="18">
        <f t="shared" si="12"/>
        <v>0</v>
      </c>
      <c r="AV6" s="18">
        <f t="shared" si="13"/>
        <v>0</v>
      </c>
    </row>
    <row r="7" spans="1:48" x14ac:dyDescent="0.35">
      <c r="A7" s="56" t="s">
        <v>75</v>
      </c>
      <c r="B7" s="58">
        <v>8000</v>
      </c>
      <c r="C7" s="58" t="s">
        <v>29</v>
      </c>
      <c r="D7" s="58">
        <v>16</v>
      </c>
      <c r="E7" s="58">
        <v>0</v>
      </c>
      <c r="F7" s="58">
        <v>0</v>
      </c>
      <c r="G7" s="58">
        <v>0</v>
      </c>
      <c r="H7" s="58">
        <v>0</v>
      </c>
      <c r="I7" s="58">
        <v>0</v>
      </c>
      <c r="J7" s="58">
        <v>0</v>
      </c>
      <c r="K7" s="58">
        <v>0</v>
      </c>
      <c r="L7" s="58">
        <v>9000</v>
      </c>
      <c r="M7" s="58">
        <v>0</v>
      </c>
      <c r="N7" s="58">
        <v>15136.95</v>
      </c>
      <c r="O7" s="58">
        <v>0</v>
      </c>
      <c r="P7" s="58">
        <v>0</v>
      </c>
      <c r="Q7" s="58">
        <v>0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8">
        <v>0</v>
      </c>
      <c r="Z7" s="58">
        <v>0</v>
      </c>
      <c r="AA7" s="58">
        <v>0</v>
      </c>
      <c r="AD7" s="18" t="str">
        <f t="array" ref="AD7">IFERROR(INDEX($A$1:$A$2000, MATCH(0, IF($AD$1*1=$C$1:$C$2090*1, COUNTIF($AD$1:$AD6, $A$1:$A$2000), ""), 0)),"")</f>
        <v>241</v>
      </c>
      <c r="AE7" s="57">
        <f t="shared" si="1"/>
        <v>12700</v>
      </c>
      <c r="AF7" s="18">
        <f t="shared" si="2"/>
        <v>0</v>
      </c>
      <c r="AG7" s="18">
        <f t="shared" si="3"/>
        <v>0</v>
      </c>
      <c r="AH7" s="18">
        <f t="shared" si="4"/>
        <v>0</v>
      </c>
      <c r="AI7" s="18">
        <f t="shared" si="5"/>
        <v>0</v>
      </c>
      <c r="AJ7" s="18">
        <f t="shared" si="6"/>
        <v>0</v>
      </c>
      <c r="AK7" s="18">
        <f t="shared" si="7"/>
        <v>0</v>
      </c>
      <c r="AL7" s="18">
        <f t="shared" si="8"/>
        <v>0</v>
      </c>
      <c r="AM7" s="18">
        <f t="shared" si="9"/>
        <v>0</v>
      </c>
      <c r="AO7" s="18">
        <f>IFERROR($AR7*SUM($AS$2:AS7)-SUMPRODUCT($AR$2:AR7,$AS$2:AS7),"")</f>
        <v>50</v>
      </c>
      <c r="AP7" s="18">
        <f>IFERROR(SUMPRODUCT($AR7:AR$26,$AT7:AT$26)-$AR7*SUM($AT7:AT$26),"")</f>
        <v>25450</v>
      </c>
      <c r="AQ7" s="18">
        <f>IFERROR(($AR7*SUM(AS$2:$AS7)-SUMPRODUCT($AR$2:AR7,$AS$2:AS7))+(SUMPRODUCT($AR7:AR$26,$AT7:AT$26)-$AR7*SUM($AT7:AT$26)),"")</f>
        <v>25500</v>
      </c>
      <c r="AR7" s="18">
        <f t="shared" si="0"/>
        <v>14800</v>
      </c>
      <c r="AS7" s="18">
        <f t="shared" si="10"/>
        <v>0</v>
      </c>
      <c r="AT7" s="18">
        <f t="shared" si="11"/>
        <v>4</v>
      </c>
      <c r="AU7" s="18">
        <f t="shared" si="12"/>
        <v>0</v>
      </c>
      <c r="AV7" s="18">
        <f t="shared" si="13"/>
        <v>3</v>
      </c>
    </row>
    <row r="8" spans="1:48" x14ac:dyDescent="0.35">
      <c r="A8" s="56" t="s">
        <v>76</v>
      </c>
      <c r="B8" s="58">
        <v>8100</v>
      </c>
      <c r="C8" s="58" t="s">
        <v>27</v>
      </c>
      <c r="D8" s="58">
        <v>0</v>
      </c>
      <c r="E8" s="58">
        <v>0</v>
      </c>
      <c r="F8" s="58">
        <v>0</v>
      </c>
      <c r="G8" s="58">
        <v>0</v>
      </c>
      <c r="H8" s="58">
        <v>0</v>
      </c>
      <c r="I8" s="58">
        <v>0</v>
      </c>
      <c r="J8" s="58">
        <v>0</v>
      </c>
      <c r="K8" s="58">
        <v>0</v>
      </c>
      <c r="L8" s="58">
        <v>5250</v>
      </c>
      <c r="M8" s="58">
        <v>0</v>
      </c>
      <c r="N8" s="58">
        <v>15136.95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8">
        <v>0</v>
      </c>
      <c r="V8" s="58">
        <v>0</v>
      </c>
      <c r="W8" s="58">
        <v>0</v>
      </c>
      <c r="X8" s="58">
        <v>0</v>
      </c>
      <c r="Y8" s="58">
        <v>0</v>
      </c>
      <c r="Z8" s="58">
        <v>0</v>
      </c>
      <c r="AA8" s="58">
        <v>0</v>
      </c>
      <c r="AD8" s="18" t="str">
        <f t="array" ref="AD8">IFERROR(INDEX($A$1:$A$2000, MATCH(0, IF($AD$1*1=$C$1:$C$2090*1, COUNTIF($AD$1:$AD7, $A$1:$A$2000), ""), 0)),"")</f>
        <v>261</v>
      </c>
      <c r="AE8" s="57">
        <f t="shared" si="1"/>
        <v>12800</v>
      </c>
      <c r="AF8" s="18">
        <f t="shared" si="2"/>
        <v>0</v>
      </c>
      <c r="AG8" s="18">
        <f t="shared" si="3"/>
        <v>0</v>
      </c>
      <c r="AH8" s="18">
        <f t="shared" si="4"/>
        <v>0</v>
      </c>
      <c r="AI8" s="18">
        <f t="shared" si="5"/>
        <v>0</v>
      </c>
      <c r="AJ8" s="18">
        <f t="shared" si="6"/>
        <v>0</v>
      </c>
      <c r="AK8" s="18">
        <f t="shared" si="7"/>
        <v>0</v>
      </c>
      <c r="AL8" s="18">
        <f t="shared" si="8"/>
        <v>0</v>
      </c>
      <c r="AM8" s="18">
        <f t="shared" si="9"/>
        <v>0</v>
      </c>
      <c r="AO8" s="18">
        <f>IFERROR($AR8*SUM($AS$2:AS8)-SUMPRODUCT($AR$2:AR8,$AS$2:AS8),"")</f>
        <v>100</v>
      </c>
      <c r="AP8" s="18">
        <f>IFERROR(SUMPRODUCT($AR8:AR$26,$AT8:AT$26)-$AR8*SUM($AT8:AT$26),"")</f>
        <v>19950</v>
      </c>
      <c r="AQ8" s="18">
        <f>IFERROR(($AR8*SUM(AS$2:$AS8)-SUMPRODUCT($AR$2:AR8,$AS$2:AS8))+(SUMPRODUCT($AR8:AR$26,$AT8:AT$26)-$AR8*SUM($AT8:AT$26)),"")</f>
        <v>20050</v>
      </c>
      <c r="AR8" s="18">
        <f t="shared" si="0"/>
        <v>14850</v>
      </c>
      <c r="AS8" s="18">
        <f t="shared" si="10"/>
        <v>0</v>
      </c>
      <c r="AT8" s="18">
        <f t="shared" si="11"/>
        <v>0</v>
      </c>
      <c r="AU8" s="18">
        <f t="shared" si="12"/>
        <v>0</v>
      </c>
      <c r="AV8" s="18">
        <f t="shared" si="13"/>
        <v>0</v>
      </c>
    </row>
    <row r="9" spans="1:48" x14ac:dyDescent="0.35">
      <c r="A9" s="56" t="s">
        <v>77</v>
      </c>
      <c r="B9" s="58">
        <v>8200</v>
      </c>
      <c r="C9" s="58" t="s">
        <v>27</v>
      </c>
      <c r="D9" s="58">
        <v>8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5250</v>
      </c>
      <c r="M9" s="58">
        <v>0</v>
      </c>
      <c r="N9" s="58">
        <v>15136.95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D9" s="18" t="str">
        <f t="array" ref="AD9">IFERROR(INDEX($A$1:$A$2000, MATCH(0, IF($AD$1*1=$C$1:$C$2090*1, COUNTIF($AD$1:$AD8, $A$1:$A$2000), ""), 0)),"")</f>
        <v>286</v>
      </c>
      <c r="AE9" s="57">
        <f t="shared" si="1"/>
        <v>12900</v>
      </c>
      <c r="AF9" s="18">
        <f t="shared" si="2"/>
        <v>0</v>
      </c>
      <c r="AG9" s="18">
        <f t="shared" si="3"/>
        <v>0</v>
      </c>
      <c r="AH9" s="18">
        <f t="shared" si="4"/>
        <v>0</v>
      </c>
      <c r="AI9" s="18">
        <f t="shared" si="5"/>
        <v>0</v>
      </c>
      <c r="AJ9" s="18">
        <f t="shared" si="6"/>
        <v>0</v>
      </c>
      <c r="AK9" s="18">
        <f t="shared" si="7"/>
        <v>0</v>
      </c>
      <c r="AL9" s="18">
        <f t="shared" si="8"/>
        <v>0</v>
      </c>
      <c r="AM9" s="18">
        <f t="shared" si="9"/>
        <v>0</v>
      </c>
      <c r="AO9" s="18">
        <f>IFERROR($AR9*SUM($AS$2:AS9)-SUMPRODUCT($AR$2:AR9,$AS$2:AS9),"")</f>
        <v>150</v>
      </c>
      <c r="AP9" s="18">
        <f>IFERROR(SUMPRODUCT($AR9:AR$26,$AT9:AT$26)-$AR9*SUM($AT9:AT$26),"")</f>
        <v>14450</v>
      </c>
      <c r="AQ9" s="18">
        <f>IFERROR(($AR9*SUM(AS$2:$AS9)-SUMPRODUCT($AR$2:AR9,$AS$2:AS9))+(SUMPRODUCT($AR9:AR$26,$AT9:AT$26)-$AR9*SUM($AT9:AT$26)),"")</f>
        <v>14600</v>
      </c>
      <c r="AR9" s="18">
        <f t="shared" si="0"/>
        <v>14900</v>
      </c>
      <c r="AS9" s="18">
        <f t="shared" si="10"/>
        <v>2</v>
      </c>
      <c r="AT9" s="18">
        <f t="shared" si="11"/>
        <v>4</v>
      </c>
      <c r="AU9" s="18">
        <f t="shared" si="12"/>
        <v>0</v>
      </c>
      <c r="AV9" s="18">
        <f t="shared" si="13"/>
        <v>4</v>
      </c>
    </row>
    <row r="10" spans="1:48" x14ac:dyDescent="0.35">
      <c r="A10" s="56" t="s">
        <v>78</v>
      </c>
      <c r="B10" s="58">
        <v>8300</v>
      </c>
      <c r="C10" s="58" t="s">
        <v>30</v>
      </c>
      <c r="D10" s="58">
        <v>2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  <c r="L10" s="58">
        <v>5325</v>
      </c>
      <c r="M10" s="58">
        <v>0</v>
      </c>
      <c r="N10" s="58">
        <v>15136.95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D10" s="18" t="str">
        <f t="array" ref="AD10">IFERROR(INDEX($A$1:$A$2000, MATCH(0, IF($AD$1*1=$C$1:$C$2090*1, COUNTIF($AD$1:$AD9, $A$1:$A$2000), ""), 0)),"")</f>
        <v>298</v>
      </c>
      <c r="AE10" s="57">
        <f t="shared" si="1"/>
        <v>13000</v>
      </c>
      <c r="AF10" s="18">
        <f t="shared" si="2"/>
        <v>0</v>
      </c>
      <c r="AG10" s="18">
        <f t="shared" si="3"/>
        <v>0</v>
      </c>
      <c r="AH10" s="18">
        <f t="shared" si="4"/>
        <v>0</v>
      </c>
      <c r="AI10" s="18">
        <f t="shared" si="5"/>
        <v>0</v>
      </c>
      <c r="AJ10" s="18">
        <f t="shared" si="6"/>
        <v>15.5</v>
      </c>
      <c r="AK10" s="18">
        <f t="shared" si="7"/>
        <v>0</v>
      </c>
      <c r="AL10" s="18">
        <f t="shared" si="8"/>
        <v>0</v>
      </c>
      <c r="AM10" s="18">
        <f t="shared" si="9"/>
        <v>1</v>
      </c>
      <c r="AO10" s="18">
        <f>IFERROR($AR10*SUM($AS$2:AS10)-SUMPRODUCT($AR$2:AR10,$AS$2:AS10),"")</f>
        <v>300</v>
      </c>
      <c r="AP10" s="18">
        <f>IFERROR(SUMPRODUCT($AR10:AR$26,$AT10:AT$26)-$AR10*SUM($AT10:AT$26),"")</f>
        <v>9150</v>
      </c>
      <c r="AQ10" s="18">
        <f>IFERROR(($AR10*SUM(AS$2:$AS10)-SUMPRODUCT($AR$2:AR10,$AS$2:AS10))+(SUMPRODUCT($AR10:AR$26,$AT10:AT$26)-$AR10*SUM($AT10:AT$26)),"")</f>
        <v>9450</v>
      </c>
      <c r="AR10" s="18">
        <f t="shared" si="0"/>
        <v>14950</v>
      </c>
      <c r="AS10" s="18">
        <f t="shared" si="10"/>
        <v>0</v>
      </c>
      <c r="AT10" s="18">
        <f t="shared" si="11"/>
        <v>9</v>
      </c>
      <c r="AU10" s="18">
        <f t="shared" si="12"/>
        <v>0</v>
      </c>
      <c r="AV10" s="18">
        <f t="shared" si="13"/>
        <v>0</v>
      </c>
    </row>
    <row r="11" spans="1:48" x14ac:dyDescent="0.35">
      <c r="A11" s="56" t="s">
        <v>79</v>
      </c>
      <c r="B11" s="58">
        <v>8300</v>
      </c>
      <c r="C11" s="58" t="s">
        <v>27</v>
      </c>
      <c r="D11" s="58">
        <v>21</v>
      </c>
      <c r="E11" s="58">
        <v>0</v>
      </c>
      <c r="F11" s="58">
        <v>0</v>
      </c>
      <c r="G11" s="58">
        <v>0</v>
      </c>
      <c r="H11" s="58">
        <v>0</v>
      </c>
      <c r="I11" s="58">
        <v>0</v>
      </c>
      <c r="J11" s="58">
        <v>0</v>
      </c>
      <c r="K11" s="58">
        <v>0</v>
      </c>
      <c r="L11" s="58">
        <v>5250</v>
      </c>
      <c r="M11" s="58">
        <v>0</v>
      </c>
      <c r="N11" s="58">
        <v>15136.95</v>
      </c>
      <c r="O11" s="58">
        <v>0</v>
      </c>
      <c r="P11" s="58">
        <v>0</v>
      </c>
      <c r="Q11" s="58">
        <v>0</v>
      </c>
      <c r="R11" s="58">
        <v>0</v>
      </c>
      <c r="S11" s="58">
        <v>0</v>
      </c>
      <c r="T11" s="58">
        <v>0</v>
      </c>
      <c r="U11" s="58">
        <v>0</v>
      </c>
      <c r="V11" s="58">
        <v>0</v>
      </c>
      <c r="W11" s="58">
        <v>0</v>
      </c>
      <c r="X11" s="58">
        <v>0</v>
      </c>
      <c r="Y11" s="58">
        <v>0</v>
      </c>
      <c r="Z11" s="58">
        <v>0</v>
      </c>
      <c r="AA11" s="58">
        <v>0</v>
      </c>
      <c r="AD11" s="18" t="str">
        <f t="array" ref="AD11">IFERROR(INDEX($A$1:$A$2000, MATCH(0, IF($AD$1*1=$C$1:$C$2090*1, COUNTIF($AD$1:$AD10, $A$1:$A$2000), ""), 0)),"")</f>
        <v>312</v>
      </c>
      <c r="AE11" s="57">
        <f t="shared" si="1"/>
        <v>13050</v>
      </c>
      <c r="AF11" s="18">
        <f t="shared" si="2"/>
        <v>0</v>
      </c>
      <c r="AG11" s="18">
        <f t="shared" si="3"/>
        <v>0</v>
      </c>
      <c r="AH11" s="18">
        <f t="shared" si="4"/>
        <v>0</v>
      </c>
      <c r="AI11" s="18">
        <f t="shared" si="5"/>
        <v>0</v>
      </c>
      <c r="AJ11" s="18">
        <f t="shared" si="6"/>
        <v>0</v>
      </c>
      <c r="AK11" s="18">
        <f t="shared" si="7"/>
        <v>0</v>
      </c>
      <c r="AL11" s="18">
        <f t="shared" si="8"/>
        <v>0</v>
      </c>
      <c r="AM11" s="18">
        <f t="shared" si="9"/>
        <v>0</v>
      </c>
      <c r="AO11" s="18">
        <f>IFERROR($AR11*SUM($AS$2:AS11)-SUMPRODUCT($AR$2:AR11,$AS$2:AS11),"")</f>
        <v>450</v>
      </c>
      <c r="AP11" s="18">
        <f>IFERROR(SUMPRODUCT($AR11:AR$26,$AT11:AT$26)-$AR11*SUM($AT11:AT$26),"")</f>
        <v>4300</v>
      </c>
      <c r="AQ11" s="18">
        <f>IFERROR(($AR11*SUM(AS$2:$AS11)-SUMPRODUCT($AR$2:AR11,$AS$2:AS11))+(SUMPRODUCT($AR11:AR$26,$AT11:AT$26)-$AR11*SUM($AT11:AT$26)),"")</f>
        <v>4750</v>
      </c>
      <c r="AR11" s="18">
        <f t="shared" si="0"/>
        <v>15000</v>
      </c>
      <c r="AS11" s="18">
        <f t="shared" si="10"/>
        <v>34</v>
      </c>
      <c r="AT11" s="18">
        <f t="shared" si="11"/>
        <v>64</v>
      </c>
      <c r="AU11" s="18">
        <f t="shared" si="12"/>
        <v>23</v>
      </c>
      <c r="AV11" s="18">
        <f t="shared" si="13"/>
        <v>22</v>
      </c>
    </row>
    <row r="12" spans="1:48" x14ac:dyDescent="0.35">
      <c r="A12" s="56" t="s">
        <v>80</v>
      </c>
      <c r="B12" s="58">
        <v>8400</v>
      </c>
      <c r="C12" s="58" t="s">
        <v>27</v>
      </c>
      <c r="D12" s="58">
        <v>57</v>
      </c>
      <c r="E12" s="58">
        <v>0</v>
      </c>
      <c r="F12" s="58">
        <v>0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5250</v>
      </c>
      <c r="M12" s="58">
        <v>0</v>
      </c>
      <c r="N12" s="58">
        <v>15136.95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8">
        <v>0</v>
      </c>
      <c r="V12" s="58">
        <v>0</v>
      </c>
      <c r="W12" s="58">
        <v>0</v>
      </c>
      <c r="X12" s="58">
        <v>0</v>
      </c>
      <c r="Y12" s="58">
        <v>0</v>
      </c>
      <c r="Z12" s="58">
        <v>0</v>
      </c>
      <c r="AA12" s="58">
        <v>0</v>
      </c>
      <c r="AD12" s="18" t="str">
        <f t="array" ref="AD12">IFERROR(INDEX($A$1:$A$2000, MATCH(0, IF($AD$1*1=$C$1:$C$2090*1, COUNTIF($AD$1:$AD11, $A$1:$A$2000), ""), 0)),"")</f>
        <v>327</v>
      </c>
      <c r="AE12" s="57">
        <f t="shared" si="1"/>
        <v>13100</v>
      </c>
      <c r="AF12" s="18">
        <f t="shared" si="2"/>
        <v>0</v>
      </c>
      <c r="AG12" s="18">
        <f t="shared" si="3"/>
        <v>0</v>
      </c>
      <c r="AH12" s="18">
        <f t="shared" si="4"/>
        <v>0</v>
      </c>
      <c r="AI12" s="18">
        <f t="shared" si="5"/>
        <v>0</v>
      </c>
      <c r="AJ12" s="18">
        <f t="shared" si="6"/>
        <v>0</v>
      </c>
      <c r="AK12" s="18">
        <f t="shared" si="7"/>
        <v>0</v>
      </c>
      <c r="AL12" s="18">
        <f t="shared" si="8"/>
        <v>0</v>
      </c>
      <c r="AM12" s="18">
        <f t="shared" si="9"/>
        <v>0</v>
      </c>
      <c r="AO12" s="18">
        <f>IFERROR($AR12*SUM($AS$2:AS12)-SUMPRODUCT($AR$2:AR12,$AS$2:AS12),"")</f>
        <v>2300</v>
      </c>
      <c r="AP12" s="18">
        <f>IFERROR(SUMPRODUCT($AR12:AR$26,$AT12:AT$26)-$AR12*SUM($AT12:AT$26),"")</f>
        <v>2650</v>
      </c>
      <c r="AQ12" s="18">
        <f>IFERROR(($AR12*SUM(AS$2:$AS12)-SUMPRODUCT($AR$2:AR12,$AS$2:AS12))+(SUMPRODUCT($AR12:AR$26,$AT12:AT$26)-$AR12*SUM($AT12:AT$26)),"")</f>
        <v>4950</v>
      </c>
      <c r="AR12" s="18">
        <f t="shared" si="0"/>
        <v>15050</v>
      </c>
      <c r="AS12" s="18">
        <f t="shared" si="10"/>
        <v>2</v>
      </c>
      <c r="AT12" s="18">
        <f t="shared" si="11"/>
        <v>0</v>
      </c>
      <c r="AU12" s="18">
        <f t="shared" si="12"/>
        <v>0</v>
      </c>
      <c r="AV12" s="18">
        <f t="shared" si="13"/>
        <v>0</v>
      </c>
    </row>
    <row r="13" spans="1:48" x14ac:dyDescent="0.35">
      <c r="A13" s="56" t="s">
        <v>81</v>
      </c>
      <c r="B13" s="58">
        <v>8500</v>
      </c>
      <c r="C13" s="58" t="s">
        <v>29</v>
      </c>
      <c r="D13" s="58">
        <v>133</v>
      </c>
      <c r="E13" s="58">
        <v>0</v>
      </c>
      <c r="F13" s="58">
        <v>0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7575</v>
      </c>
      <c r="M13" s="58">
        <v>0</v>
      </c>
      <c r="N13" s="58">
        <v>15136.95</v>
      </c>
      <c r="O13" s="58">
        <v>0</v>
      </c>
      <c r="P13" s="58">
        <v>0</v>
      </c>
      <c r="Q13" s="58">
        <v>0</v>
      </c>
      <c r="R13" s="58">
        <v>0</v>
      </c>
      <c r="S13" s="58">
        <v>0</v>
      </c>
      <c r="T13" s="58">
        <v>0</v>
      </c>
      <c r="U13" s="58">
        <v>0</v>
      </c>
      <c r="V13" s="58">
        <v>0</v>
      </c>
      <c r="W13" s="58">
        <v>0</v>
      </c>
      <c r="X13" s="58">
        <v>0</v>
      </c>
      <c r="Y13" s="58">
        <v>0</v>
      </c>
      <c r="Z13" s="58">
        <v>0</v>
      </c>
      <c r="AA13" s="58">
        <v>0</v>
      </c>
      <c r="AD13" s="18" t="str">
        <f t="array" ref="AD13">IFERROR(INDEX($A$1:$A$2000, MATCH(0, IF($AD$1*1=$C$1:$C$2090*1, COUNTIF($AD$1:$AD12, $A$1:$A$2000), ""), 0)),"")</f>
        <v>329</v>
      </c>
      <c r="AE13" s="57">
        <f t="shared" si="1"/>
        <v>13150</v>
      </c>
      <c r="AF13" s="18">
        <f t="shared" si="2"/>
        <v>0</v>
      </c>
      <c r="AG13" s="18">
        <f t="shared" si="3"/>
        <v>0</v>
      </c>
      <c r="AH13" s="18">
        <f t="shared" si="4"/>
        <v>0</v>
      </c>
      <c r="AI13" s="18">
        <f t="shared" si="5"/>
        <v>0</v>
      </c>
      <c r="AJ13" s="18">
        <f t="shared" si="6"/>
        <v>0</v>
      </c>
      <c r="AK13" s="18">
        <f t="shared" si="7"/>
        <v>0</v>
      </c>
      <c r="AL13" s="18">
        <f t="shared" si="8"/>
        <v>0</v>
      </c>
      <c r="AM13" s="18">
        <f t="shared" si="9"/>
        <v>0</v>
      </c>
      <c r="AO13" s="18">
        <f>IFERROR($AR13*SUM($AS$2:AS13)-SUMPRODUCT($AR$2:AR13,$AS$2:AS13),"")</f>
        <v>4250</v>
      </c>
      <c r="AP13" s="18">
        <f>IFERROR(SUMPRODUCT($AR13:AR$26,$AT13:AT$26)-$AR13*SUM($AT13:AT$26),"")</f>
        <v>1000</v>
      </c>
      <c r="AQ13" s="18">
        <f>IFERROR(($AR13*SUM(AS$2:$AS13)-SUMPRODUCT($AR$2:AR13,$AS$2:AS13))+(SUMPRODUCT($AR13:AR$26,$AT13:AT$26)-$AR13*SUM($AT13:AT$26)),"")</f>
        <v>5250</v>
      </c>
      <c r="AR13" s="18">
        <f>IFERROR(AR14-50,"")</f>
        <v>15100</v>
      </c>
      <c r="AS13" s="18">
        <f t="shared" si="10"/>
        <v>27</v>
      </c>
      <c r="AT13" s="18">
        <f t="shared" si="11"/>
        <v>23</v>
      </c>
      <c r="AU13" s="18">
        <f t="shared" si="12"/>
        <v>13</v>
      </c>
      <c r="AV13" s="18">
        <f t="shared" si="13"/>
        <v>10</v>
      </c>
    </row>
    <row r="14" spans="1:48" x14ac:dyDescent="0.35">
      <c r="A14" s="56" t="s">
        <v>82</v>
      </c>
      <c r="B14" s="58">
        <v>8500</v>
      </c>
      <c r="C14" s="58" t="s">
        <v>28</v>
      </c>
      <c r="D14" s="58">
        <v>1557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5775</v>
      </c>
      <c r="M14" s="58">
        <v>0</v>
      </c>
      <c r="N14" s="58">
        <v>15136.95</v>
      </c>
      <c r="O14" s="58">
        <v>0</v>
      </c>
      <c r="P14" s="58">
        <v>0</v>
      </c>
      <c r="Q14" s="58">
        <v>0</v>
      </c>
      <c r="R14" s="58">
        <v>0</v>
      </c>
      <c r="S14" s="58">
        <v>0</v>
      </c>
      <c r="T14" s="58">
        <v>0</v>
      </c>
      <c r="U14" s="58">
        <v>0</v>
      </c>
      <c r="V14" s="58">
        <v>0</v>
      </c>
      <c r="W14" s="58">
        <v>0</v>
      </c>
      <c r="X14" s="58">
        <v>0</v>
      </c>
      <c r="Y14" s="58">
        <v>0</v>
      </c>
      <c r="Z14" s="58">
        <v>0</v>
      </c>
      <c r="AA14" s="58">
        <v>0</v>
      </c>
      <c r="AD14" s="18" t="str">
        <f t="array" ref="AD14">IFERROR(INDEX($A$1:$A$2000, MATCH(0, IF($AD$1*1=$C$1:$C$2090*1, COUNTIF($AD$1:$AD13, $A$1:$A$2000), ""), 0)),"")</f>
        <v>337</v>
      </c>
      <c r="AE14" s="57">
        <f t="shared" si="1"/>
        <v>13200</v>
      </c>
      <c r="AF14" s="18">
        <f t="shared" si="2"/>
        <v>0</v>
      </c>
      <c r="AG14" s="18">
        <f t="shared" si="3"/>
        <v>0</v>
      </c>
      <c r="AH14" s="18">
        <f t="shared" si="4"/>
        <v>0</v>
      </c>
      <c r="AI14" s="18">
        <f t="shared" si="5"/>
        <v>0</v>
      </c>
      <c r="AJ14" s="18">
        <f t="shared" si="6"/>
        <v>0</v>
      </c>
      <c r="AK14" s="18">
        <f t="shared" si="7"/>
        <v>0</v>
      </c>
      <c r="AL14" s="18">
        <f t="shared" si="8"/>
        <v>4</v>
      </c>
      <c r="AM14" s="18">
        <f t="shared" si="9"/>
        <v>0</v>
      </c>
      <c r="AO14" s="18">
        <f>IFERROR($AR14*SUM($AS$2:AS14)-SUMPRODUCT($AR$2:AR14,$AS$2:AS14),"")</f>
        <v>7550</v>
      </c>
      <c r="AP14" s="18">
        <f>IFERROR(SUMPRODUCT($AR14:AR$26,$AT14:AT$26)-$AR14*SUM($AT14:AT$26),"")</f>
        <v>500</v>
      </c>
      <c r="AQ14" s="18">
        <f>IFERROR(($AR14*SUM(AS$2:$AS14)-SUMPRODUCT($AR$2:AR14,$AS$2:AS14))+(SUMPRODUCT($AR14:AR$26,$AT14:AT$26)-$AR14*SUM($AT14:AT$26)),"")</f>
        <v>8050</v>
      </c>
      <c r="AR14" s="18">
        <f>IFERROR($AC$3,"")</f>
        <v>15150</v>
      </c>
      <c r="AS14" s="18">
        <f t="shared" si="10"/>
        <v>0</v>
      </c>
      <c r="AT14" s="18">
        <f t="shared" si="11"/>
        <v>0</v>
      </c>
      <c r="AU14" s="18">
        <f t="shared" si="12"/>
        <v>2</v>
      </c>
      <c r="AV14" s="18">
        <f t="shared" si="13"/>
        <v>0</v>
      </c>
    </row>
    <row r="15" spans="1:48" x14ac:dyDescent="0.35">
      <c r="A15" s="56" t="s">
        <v>83</v>
      </c>
      <c r="B15" s="58">
        <v>8500</v>
      </c>
      <c r="C15" s="58" t="s">
        <v>26</v>
      </c>
      <c r="D15" s="58">
        <v>829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17775</v>
      </c>
      <c r="M15" s="58">
        <v>150</v>
      </c>
      <c r="N15" s="58">
        <v>15136.95</v>
      </c>
      <c r="O15" s="58">
        <v>8500</v>
      </c>
      <c r="P15" s="58" t="s">
        <v>26</v>
      </c>
      <c r="Q15" s="58">
        <v>6203</v>
      </c>
      <c r="R15" s="58">
        <v>0</v>
      </c>
      <c r="S15" s="58">
        <v>0</v>
      </c>
      <c r="T15" s="58">
        <v>0</v>
      </c>
      <c r="U15" s="58">
        <v>0</v>
      </c>
      <c r="V15" s="58">
        <v>0</v>
      </c>
      <c r="W15" s="58">
        <v>0</v>
      </c>
      <c r="X15" s="58">
        <v>0</v>
      </c>
      <c r="Y15" s="58">
        <v>10725</v>
      </c>
      <c r="Z15" s="58">
        <v>5100</v>
      </c>
      <c r="AA15" s="58">
        <v>15136.95</v>
      </c>
      <c r="AD15" s="18" t="str">
        <f t="array" ref="AD15">IFERROR(INDEX($A$1:$A$2000, MATCH(0, IF($AD$1*1=$C$1:$C$2090*1, COUNTIF($AD$1:$AD14, $A$1:$A$2000), ""), 0)),"")</f>
        <v>346</v>
      </c>
      <c r="AE15" s="57">
        <f t="shared" si="1"/>
        <v>13250</v>
      </c>
      <c r="AF15" s="18">
        <f t="shared" si="2"/>
        <v>0</v>
      </c>
      <c r="AG15" s="18">
        <f t="shared" si="3"/>
        <v>0</v>
      </c>
      <c r="AH15" s="18">
        <f t="shared" si="4"/>
        <v>0</v>
      </c>
      <c r="AI15" s="18">
        <f t="shared" si="5"/>
        <v>0</v>
      </c>
      <c r="AJ15" s="18">
        <f t="shared" si="6"/>
        <v>0</v>
      </c>
      <c r="AK15" s="18">
        <f t="shared" si="7"/>
        <v>0</v>
      </c>
      <c r="AL15" s="18">
        <f t="shared" si="8"/>
        <v>0</v>
      </c>
      <c r="AM15" s="18">
        <f t="shared" si="9"/>
        <v>0</v>
      </c>
      <c r="AO15" s="18">
        <f>IFERROR($AR15*SUM($AS$2:AS15)-SUMPRODUCT($AR$2:AR15,$AS$2:AS15),"")</f>
        <v>10850</v>
      </c>
      <c r="AP15" s="18">
        <f>IFERROR(SUMPRODUCT($AR15:AR$26,$AT15:AT$26)-$AR15*SUM($AT15:AT$26),"")</f>
        <v>0</v>
      </c>
      <c r="AQ15" s="18">
        <f>IFERROR(($AR15*SUM(AS$2:$AS15)-SUMPRODUCT($AR$2:AR15,$AS$2:AS15))+(SUMPRODUCT($AR15:AR$26,$AT15:AT$26)-$AR15*SUM($AT15:AT$26)),"")</f>
        <v>10850</v>
      </c>
      <c r="AR15" s="18">
        <f>IFERROR(AR14+50,"")</f>
        <v>15200</v>
      </c>
      <c r="AS15" s="18">
        <f t="shared" si="10"/>
        <v>32</v>
      </c>
      <c r="AT15" s="18">
        <f t="shared" si="11"/>
        <v>10</v>
      </c>
      <c r="AU15" s="18">
        <f t="shared" si="12"/>
        <v>7</v>
      </c>
      <c r="AV15" s="18">
        <f t="shared" si="13"/>
        <v>27</v>
      </c>
    </row>
    <row r="16" spans="1:48" x14ac:dyDescent="0.35">
      <c r="A16" s="56" t="s">
        <v>84</v>
      </c>
      <c r="B16" s="58">
        <v>8500</v>
      </c>
      <c r="C16" s="58" t="s">
        <v>27</v>
      </c>
      <c r="D16" s="58">
        <v>26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5250</v>
      </c>
      <c r="M16" s="58">
        <v>0</v>
      </c>
      <c r="N16" s="58">
        <v>15136.95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D16" s="18" t="str">
        <f t="array" ref="AD16">IFERROR(INDEX($A$1:$A$2000, MATCH(0, IF($AD$1*1=$C$1:$C$2090*1, COUNTIF($AD$1:$AD15, $A$1:$A$2000), ""), 0)),"")</f>
        <v>355</v>
      </c>
      <c r="AE16" s="57">
        <f t="shared" si="1"/>
        <v>13300</v>
      </c>
      <c r="AF16" s="18">
        <f t="shared" si="2"/>
        <v>0</v>
      </c>
      <c r="AG16" s="18">
        <f t="shared" si="3"/>
        <v>0</v>
      </c>
      <c r="AH16" s="18">
        <f t="shared" si="4"/>
        <v>0</v>
      </c>
      <c r="AI16" s="18">
        <f t="shared" si="5"/>
        <v>0</v>
      </c>
      <c r="AJ16" s="18">
        <f t="shared" si="6"/>
        <v>0</v>
      </c>
      <c r="AK16" s="18">
        <f t="shared" si="7"/>
        <v>0</v>
      </c>
      <c r="AL16" s="18">
        <f t="shared" si="8"/>
        <v>0</v>
      </c>
      <c r="AM16" s="18">
        <f t="shared" si="9"/>
        <v>0</v>
      </c>
      <c r="AO16" s="18">
        <f>IFERROR($AR16*SUM($AS$2:AS16)-SUMPRODUCT($AR$2:AR16,$AS$2:AS16),"")</f>
        <v>15750</v>
      </c>
      <c r="AP16" s="18">
        <f>IFERROR(SUMPRODUCT($AR16:AR$26,$AT16:AT$26)-$AR16*SUM($AT16:AT$26),"")</f>
        <v>0</v>
      </c>
      <c r="AQ16" s="18">
        <f>IFERROR(($AR16*SUM(AS$2:$AS16)-SUMPRODUCT($AR$2:AR16,$AS$2:AS16))+(SUMPRODUCT($AR16:AR$26,$AT16:AT$26)-$AR16*SUM($AT16:AT$26)),"")</f>
        <v>15750</v>
      </c>
      <c r="AR16" s="18">
        <f t="shared" ref="AR16:AR26" si="14">IFERROR(AR15+50,"")</f>
        <v>15250</v>
      </c>
      <c r="AS16" s="18">
        <f t="shared" si="10"/>
        <v>0</v>
      </c>
      <c r="AT16" s="18">
        <f t="shared" si="11"/>
        <v>0</v>
      </c>
      <c r="AU16" s="18">
        <f t="shared" si="12"/>
        <v>0</v>
      </c>
      <c r="AV16" s="18">
        <f t="shared" si="13"/>
        <v>0</v>
      </c>
    </row>
    <row r="17" spans="1:48" x14ac:dyDescent="0.35">
      <c r="A17" s="56" t="s">
        <v>85</v>
      </c>
      <c r="B17" s="58">
        <v>8600</v>
      </c>
      <c r="C17" s="58" t="s">
        <v>27</v>
      </c>
      <c r="D17" s="58">
        <v>36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5250</v>
      </c>
      <c r="M17" s="58">
        <v>0</v>
      </c>
      <c r="N17" s="58">
        <v>15136.95</v>
      </c>
      <c r="O17" s="58">
        <v>0</v>
      </c>
      <c r="P17" s="58">
        <v>0</v>
      </c>
      <c r="Q17" s="58">
        <v>0</v>
      </c>
      <c r="R17" s="58">
        <v>0</v>
      </c>
      <c r="S17" s="58">
        <v>0</v>
      </c>
      <c r="T17" s="58">
        <v>0</v>
      </c>
      <c r="U17" s="58">
        <v>0</v>
      </c>
      <c r="V17" s="58">
        <v>0</v>
      </c>
      <c r="W17" s="58">
        <v>0</v>
      </c>
      <c r="X17" s="58">
        <v>0</v>
      </c>
      <c r="Y17" s="58">
        <v>0</v>
      </c>
      <c r="Z17" s="58">
        <v>0</v>
      </c>
      <c r="AA17" s="58">
        <v>0</v>
      </c>
      <c r="AD17" s="18" t="str">
        <f t="array" ref="AD17">IFERROR(INDEX($A$1:$A$2000, MATCH(0, IF($AD$1*1=$C$1:$C$2090*1, COUNTIF($AD$1:$AD16, $A$1:$A$2000), ""), 0)),"")</f>
        <v>372</v>
      </c>
      <c r="AE17" s="57">
        <f t="shared" si="1"/>
        <v>13350</v>
      </c>
      <c r="AF17" s="18">
        <f t="shared" si="2"/>
        <v>0</v>
      </c>
      <c r="AG17" s="18">
        <f t="shared" si="3"/>
        <v>0</v>
      </c>
      <c r="AH17" s="18">
        <f t="shared" si="4"/>
        <v>0</v>
      </c>
      <c r="AI17" s="18">
        <f t="shared" si="5"/>
        <v>0</v>
      </c>
      <c r="AJ17" s="18">
        <f t="shared" si="6"/>
        <v>0</v>
      </c>
      <c r="AK17" s="18">
        <f t="shared" si="7"/>
        <v>0</v>
      </c>
      <c r="AL17" s="18">
        <f t="shared" si="8"/>
        <v>0</v>
      </c>
      <c r="AM17" s="18">
        <f t="shared" si="9"/>
        <v>0</v>
      </c>
      <c r="AO17" s="18">
        <f>IFERROR($AR17*SUM($AS$2:AS17)-SUMPRODUCT($AR$2:AR17,$AS$2:AS17),"")</f>
        <v>20650</v>
      </c>
      <c r="AP17" s="18">
        <f>IFERROR(SUMPRODUCT($AR17:AR$26,$AT17:AT$26)-$AR17*SUM($AT17:AT$26),"")</f>
        <v>0</v>
      </c>
      <c r="AQ17" s="18">
        <f>IFERROR(($AR17*SUM(AS$2:$AS17)-SUMPRODUCT($AR$2:AR17,$AS$2:AS17))+(SUMPRODUCT($AR17:AR$26,$AT17:AT$26)-$AR17*SUM($AT17:AT$26)),"")</f>
        <v>20650</v>
      </c>
      <c r="AR17" s="18">
        <f t="shared" si="14"/>
        <v>15300</v>
      </c>
      <c r="AS17" s="18">
        <f t="shared" si="10"/>
        <v>16</v>
      </c>
      <c r="AT17" s="18">
        <f t="shared" si="11"/>
        <v>0</v>
      </c>
      <c r="AU17" s="18">
        <f t="shared" si="12"/>
        <v>2</v>
      </c>
      <c r="AV17" s="18">
        <f t="shared" si="13"/>
        <v>0</v>
      </c>
    </row>
    <row r="18" spans="1:48" x14ac:dyDescent="0.35">
      <c r="A18" s="56" t="s">
        <v>86</v>
      </c>
      <c r="B18" s="58">
        <v>8700</v>
      </c>
      <c r="C18" s="58" t="s">
        <v>28</v>
      </c>
      <c r="D18" s="58">
        <v>1508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5475</v>
      </c>
      <c r="M18" s="58">
        <v>0</v>
      </c>
      <c r="N18" s="58">
        <v>15136.95</v>
      </c>
      <c r="O18" s="58">
        <v>0</v>
      </c>
      <c r="P18" s="58">
        <v>0</v>
      </c>
      <c r="Q18" s="58">
        <v>0</v>
      </c>
      <c r="R18" s="58">
        <v>0</v>
      </c>
      <c r="S18" s="58">
        <v>0</v>
      </c>
      <c r="T18" s="58">
        <v>0</v>
      </c>
      <c r="U18" s="58">
        <v>0</v>
      </c>
      <c r="V18" s="58">
        <v>0</v>
      </c>
      <c r="W18" s="58">
        <v>0</v>
      </c>
      <c r="X18" s="58">
        <v>0</v>
      </c>
      <c r="Y18" s="58">
        <v>0</v>
      </c>
      <c r="Z18" s="58">
        <v>0</v>
      </c>
      <c r="AA18" s="58">
        <v>0</v>
      </c>
      <c r="AD18" s="18" t="str">
        <f t="array" ref="AD18">IFERROR(INDEX($A$1:$A$2000, MATCH(0, IF($AD$1*1=$C$1:$C$2090*1, COUNTIF($AD$1:$AD17, $A$1:$A$2000), ""), 0)),"")</f>
        <v>382</v>
      </c>
      <c r="AE18" s="57">
        <f t="shared" si="1"/>
        <v>13400</v>
      </c>
      <c r="AF18" s="18">
        <f t="shared" si="2"/>
        <v>0</v>
      </c>
      <c r="AG18" s="18">
        <f t="shared" si="3"/>
        <v>0</v>
      </c>
      <c r="AH18" s="18">
        <f t="shared" si="4"/>
        <v>0</v>
      </c>
      <c r="AI18" s="18">
        <f t="shared" si="5"/>
        <v>0</v>
      </c>
      <c r="AJ18" s="18">
        <f t="shared" si="6"/>
        <v>0</v>
      </c>
      <c r="AK18" s="18">
        <f t="shared" si="7"/>
        <v>0</v>
      </c>
      <c r="AL18" s="18">
        <f t="shared" si="8"/>
        <v>0</v>
      </c>
      <c r="AM18" s="18">
        <f t="shared" si="9"/>
        <v>0</v>
      </c>
      <c r="AO18" s="18">
        <f>IFERROR($AR18*SUM($AS$2:AS18)-SUMPRODUCT($AR$2:AR18,$AS$2:AS18),"")</f>
        <v>26350</v>
      </c>
      <c r="AP18" s="18">
        <f>IFERROR(SUMPRODUCT($AR18:AR$26,$AT18:AT$26)-$AR18*SUM($AT18:AT$26),"")</f>
        <v>0</v>
      </c>
      <c r="AQ18" s="18">
        <f>IFERROR(($AR18*SUM(AS$2:$AS18)-SUMPRODUCT($AR$2:AR18,$AS$2:AS18))+(SUMPRODUCT($AR18:AR$26,$AT18:AT$26)-$AR18*SUM($AT18:AT$26)),"")</f>
        <v>26350</v>
      </c>
      <c r="AR18" s="18">
        <f t="shared" si="14"/>
        <v>15350</v>
      </c>
      <c r="AS18" s="18">
        <f t="shared" si="10"/>
        <v>2</v>
      </c>
      <c r="AT18" s="18">
        <f t="shared" si="11"/>
        <v>0</v>
      </c>
      <c r="AU18" s="18">
        <f t="shared" si="12"/>
        <v>0</v>
      </c>
      <c r="AV18" s="18">
        <f t="shared" si="13"/>
        <v>0</v>
      </c>
    </row>
    <row r="19" spans="1:48" x14ac:dyDescent="0.35">
      <c r="A19" s="56" t="s">
        <v>87</v>
      </c>
      <c r="B19" s="58">
        <v>8700</v>
      </c>
      <c r="C19" s="58" t="s">
        <v>27</v>
      </c>
      <c r="D19" s="58">
        <v>24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5250</v>
      </c>
      <c r="M19" s="58">
        <v>0</v>
      </c>
      <c r="N19" s="58">
        <v>15136.95</v>
      </c>
      <c r="O19" s="58">
        <v>0</v>
      </c>
      <c r="P19" s="58">
        <v>0</v>
      </c>
      <c r="Q19" s="58">
        <v>0</v>
      </c>
      <c r="R19" s="58">
        <v>0</v>
      </c>
      <c r="S19" s="58">
        <v>0</v>
      </c>
      <c r="T19" s="58">
        <v>0</v>
      </c>
      <c r="U19" s="58">
        <v>0</v>
      </c>
      <c r="V19" s="58">
        <v>0</v>
      </c>
      <c r="W19" s="58">
        <v>0</v>
      </c>
      <c r="X19" s="58">
        <v>0</v>
      </c>
      <c r="Y19" s="58">
        <v>0</v>
      </c>
      <c r="Z19" s="58">
        <v>0</v>
      </c>
      <c r="AA19" s="58">
        <v>0</v>
      </c>
      <c r="AD19" s="18" t="str">
        <f t="array" ref="AD19">IFERROR(INDEX($A$1:$A$2000, MATCH(0, IF($AD$1*1=$C$1:$C$2090*1, COUNTIF($AD$1:$AD18, $A$1:$A$2000), ""), 0)),"")</f>
        <v>384</v>
      </c>
      <c r="AE19" s="57">
        <f t="shared" si="1"/>
        <v>13450</v>
      </c>
      <c r="AF19" s="18">
        <f t="shared" si="2"/>
        <v>0</v>
      </c>
      <c r="AG19" s="18">
        <f t="shared" si="3"/>
        <v>0</v>
      </c>
      <c r="AH19" s="18">
        <f t="shared" si="4"/>
        <v>0</v>
      </c>
      <c r="AI19" s="18">
        <f t="shared" si="5"/>
        <v>0</v>
      </c>
      <c r="AJ19" s="18">
        <f t="shared" si="6"/>
        <v>0</v>
      </c>
      <c r="AK19" s="18">
        <f t="shared" si="7"/>
        <v>0</v>
      </c>
      <c r="AL19" s="18">
        <f t="shared" si="8"/>
        <v>0</v>
      </c>
      <c r="AM19" s="18">
        <f t="shared" si="9"/>
        <v>0</v>
      </c>
      <c r="AO19" s="18">
        <f>IFERROR($AR19*SUM($AS$2:AS19)-SUMPRODUCT($AR$2:AR19,$AS$2:AS19),"")</f>
        <v>32150</v>
      </c>
      <c r="AP19" s="18">
        <f>IFERROR(SUMPRODUCT($AR19:AR$26,$AT19:AT$26)-$AR19*SUM($AT19:AT$26),"")</f>
        <v>0</v>
      </c>
      <c r="AQ19" s="18">
        <f>IFERROR(($AR19*SUM(AS$2:$AS19)-SUMPRODUCT($AR$2:AR19,$AS$2:AS19))+(SUMPRODUCT($AR19:AR$26,$AT19:AT$26)-$AR19*SUM($AT19:AT$26)),"")</f>
        <v>32150</v>
      </c>
      <c r="AR19" s="18">
        <f t="shared" si="14"/>
        <v>15400</v>
      </c>
      <c r="AS19" s="18">
        <f t="shared" si="10"/>
        <v>5</v>
      </c>
      <c r="AT19" s="18">
        <f t="shared" si="11"/>
        <v>0</v>
      </c>
      <c r="AU19" s="18">
        <f t="shared" si="12"/>
        <v>13</v>
      </c>
      <c r="AV19" s="18">
        <f t="shared" si="13"/>
        <v>0</v>
      </c>
    </row>
    <row r="20" spans="1:48" x14ac:dyDescent="0.35">
      <c r="A20" s="56" t="s">
        <v>88</v>
      </c>
      <c r="B20" s="58">
        <v>8800</v>
      </c>
      <c r="C20" s="58" t="s">
        <v>27</v>
      </c>
      <c r="D20" s="58">
        <v>40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5250</v>
      </c>
      <c r="M20" s="58">
        <v>0</v>
      </c>
      <c r="N20" s="58">
        <v>15136.95</v>
      </c>
      <c r="O20" s="58">
        <v>0</v>
      </c>
      <c r="P20" s="58">
        <v>0</v>
      </c>
      <c r="Q20" s="58">
        <v>0</v>
      </c>
      <c r="R20" s="58">
        <v>0</v>
      </c>
      <c r="S20" s="58">
        <v>0</v>
      </c>
      <c r="T20" s="58">
        <v>0</v>
      </c>
      <c r="U20" s="58">
        <v>0</v>
      </c>
      <c r="V20" s="58">
        <v>0</v>
      </c>
      <c r="W20" s="58">
        <v>0</v>
      </c>
      <c r="X20" s="58">
        <v>0</v>
      </c>
      <c r="Y20" s="58">
        <v>0</v>
      </c>
      <c r="Z20" s="58">
        <v>0</v>
      </c>
      <c r="AA20" s="58">
        <v>0</v>
      </c>
      <c r="AD20" s="18" t="str">
        <f t="array" ref="AD20">IFERROR(INDEX($A$1:$A$2000, MATCH(0, IF($AD$1*1=$C$1:$C$2090*1, COUNTIF($AD$1:$AD19, $A$1:$A$2000), ""), 0)),"")</f>
        <v>407</v>
      </c>
      <c r="AE20" s="57">
        <f t="shared" si="1"/>
        <v>13500</v>
      </c>
      <c r="AF20" s="18">
        <f t="shared" si="2"/>
        <v>0</v>
      </c>
      <c r="AG20" s="18">
        <f t="shared" si="3"/>
        <v>0</v>
      </c>
      <c r="AH20" s="18">
        <f t="shared" si="4"/>
        <v>0</v>
      </c>
      <c r="AI20" s="18">
        <f t="shared" si="5"/>
        <v>0</v>
      </c>
      <c r="AJ20" s="18">
        <f t="shared" si="6"/>
        <v>26.3</v>
      </c>
      <c r="AK20" s="18">
        <f t="shared" si="7"/>
        <v>2</v>
      </c>
      <c r="AL20" s="18">
        <f t="shared" si="8"/>
        <v>45</v>
      </c>
      <c r="AM20" s="18">
        <f t="shared" si="9"/>
        <v>4</v>
      </c>
      <c r="AO20" s="18">
        <f>IFERROR($AR20*SUM($AS$2:AS20)-SUMPRODUCT($AR$2:AR20,$AS$2:AS20),"")</f>
        <v>38200</v>
      </c>
      <c r="AP20" s="18">
        <f>IFERROR(SUMPRODUCT($AR20:AR$26,$AT20:AT$26)-$AR20*SUM($AT20:AT$26),"")</f>
        <v>0</v>
      </c>
      <c r="AQ20" s="18">
        <f>IFERROR(($AR20*SUM(AS$2:$AS20)-SUMPRODUCT($AR$2:AR20,$AS$2:AS20))+(SUMPRODUCT($AR20:AR$26,$AT20:AT$26)-$AR20*SUM($AT20:AT$26)),"")</f>
        <v>38200</v>
      </c>
      <c r="AR20" s="18">
        <f t="shared" si="14"/>
        <v>15450</v>
      </c>
      <c r="AS20" s="18">
        <f t="shared" si="10"/>
        <v>0</v>
      </c>
      <c r="AT20" s="18">
        <f t="shared" si="11"/>
        <v>0</v>
      </c>
      <c r="AU20" s="18">
        <f t="shared" si="12"/>
        <v>0</v>
      </c>
      <c r="AV20" s="18">
        <f t="shared" si="13"/>
        <v>0</v>
      </c>
    </row>
    <row r="21" spans="1:48" x14ac:dyDescent="0.35">
      <c r="A21" s="56" t="s">
        <v>89</v>
      </c>
      <c r="B21" s="58">
        <v>9000</v>
      </c>
      <c r="C21" s="58" t="s">
        <v>28</v>
      </c>
      <c r="D21" s="58">
        <v>5216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5400</v>
      </c>
      <c r="M21" s="58">
        <v>0</v>
      </c>
      <c r="N21" s="58">
        <v>15136.95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58">
        <v>0</v>
      </c>
      <c r="W21" s="58">
        <v>0</v>
      </c>
      <c r="X21" s="58">
        <v>0</v>
      </c>
      <c r="Y21" s="58">
        <v>0</v>
      </c>
      <c r="Z21" s="58">
        <v>0</v>
      </c>
      <c r="AA21" s="58">
        <v>0</v>
      </c>
      <c r="AD21" s="18" t="str">
        <f t="array" ref="AD21">IFERROR(INDEX($A$1:$A$2000, MATCH(0, IF($AD$1*1=$C$1:$C$2090*1, COUNTIF($AD$1:$AD20, $A$1:$A$2000), ""), 0)),"")</f>
        <v>417</v>
      </c>
      <c r="AE21" s="57">
        <f t="shared" si="1"/>
        <v>13550</v>
      </c>
      <c r="AF21" s="18">
        <f t="shared" si="2"/>
        <v>0</v>
      </c>
      <c r="AG21" s="18">
        <f t="shared" si="3"/>
        <v>0</v>
      </c>
      <c r="AH21" s="18">
        <f t="shared" si="4"/>
        <v>0</v>
      </c>
      <c r="AI21" s="18">
        <f t="shared" si="5"/>
        <v>0</v>
      </c>
      <c r="AJ21" s="18">
        <f t="shared" si="6"/>
        <v>0</v>
      </c>
      <c r="AK21" s="18">
        <f t="shared" si="7"/>
        <v>0</v>
      </c>
      <c r="AL21" s="18">
        <f t="shared" si="8"/>
        <v>0</v>
      </c>
      <c r="AM21" s="18">
        <f t="shared" si="9"/>
        <v>0</v>
      </c>
      <c r="AO21" s="18">
        <f>IFERROR($AR21*SUM($AS$2:AS21)-SUMPRODUCT($AR$2:AR21,$AS$2:AS21),"")</f>
        <v>44250</v>
      </c>
      <c r="AP21" s="18">
        <f>IFERROR(SUMPRODUCT($AR21:AR$26,$AT21:AT$26)-$AR21*SUM($AT21:AT$26),"")</f>
        <v>0</v>
      </c>
      <c r="AQ21" s="18">
        <f>IFERROR(($AR21*SUM(AS$2:$AS21)-SUMPRODUCT($AR$2:AR21,$AS$2:AS21))+(SUMPRODUCT($AR21:AR$26,$AT21:AT$26)-$AR21*SUM($AT21:AT$26)),"")</f>
        <v>44250</v>
      </c>
      <c r="AR21" s="18">
        <f t="shared" si="14"/>
        <v>15500</v>
      </c>
      <c r="AS21" s="18">
        <f t="shared" si="10"/>
        <v>71</v>
      </c>
      <c r="AT21" s="18">
        <f t="shared" si="11"/>
        <v>0</v>
      </c>
      <c r="AU21" s="18">
        <f t="shared" si="12"/>
        <v>43</v>
      </c>
      <c r="AV21" s="18">
        <f t="shared" si="13"/>
        <v>0</v>
      </c>
    </row>
    <row r="22" spans="1:48" x14ac:dyDescent="0.35">
      <c r="A22" s="56" t="s">
        <v>90</v>
      </c>
      <c r="B22" s="58">
        <v>9000</v>
      </c>
      <c r="C22" s="58" t="s">
        <v>27</v>
      </c>
      <c r="D22" s="58">
        <v>56</v>
      </c>
      <c r="E22" s="58">
        <v>0</v>
      </c>
      <c r="F22" s="58">
        <v>0</v>
      </c>
      <c r="G22" s="58">
        <v>0</v>
      </c>
      <c r="H22" s="58">
        <v>0</v>
      </c>
      <c r="I22" s="58">
        <v>0</v>
      </c>
      <c r="J22" s="58">
        <v>0</v>
      </c>
      <c r="K22" s="58">
        <v>0</v>
      </c>
      <c r="L22" s="58">
        <v>10425</v>
      </c>
      <c r="M22" s="58">
        <v>0</v>
      </c>
      <c r="N22" s="58">
        <v>15136.95</v>
      </c>
      <c r="O22" s="58">
        <v>0</v>
      </c>
      <c r="P22" s="58">
        <v>0</v>
      </c>
      <c r="Q22" s="58">
        <v>0</v>
      </c>
      <c r="R22" s="58">
        <v>0</v>
      </c>
      <c r="S22" s="58">
        <v>0</v>
      </c>
      <c r="T22" s="58">
        <v>0</v>
      </c>
      <c r="U22" s="58">
        <v>0</v>
      </c>
      <c r="V22" s="58">
        <v>0</v>
      </c>
      <c r="W22" s="58">
        <v>0</v>
      </c>
      <c r="X22" s="58">
        <v>0</v>
      </c>
      <c r="Y22" s="58">
        <v>0</v>
      </c>
      <c r="Z22" s="58">
        <v>0</v>
      </c>
      <c r="AA22" s="58">
        <v>0</v>
      </c>
      <c r="AD22" s="18" t="str">
        <f t="array" ref="AD22">IFERROR(INDEX($A$1:$A$2000, MATCH(0, IF($AD$1*1=$C$1:$C$2090*1, COUNTIF($AD$1:$AD21, $A$1:$A$2000), ""), 0)),"")</f>
        <v>419</v>
      </c>
      <c r="AE22" s="57">
        <f t="shared" si="1"/>
        <v>13600</v>
      </c>
      <c r="AF22" s="18">
        <f t="shared" si="2"/>
        <v>0</v>
      </c>
      <c r="AG22" s="18">
        <f t="shared" si="3"/>
        <v>0</v>
      </c>
      <c r="AH22" s="18">
        <f t="shared" si="4"/>
        <v>0</v>
      </c>
      <c r="AI22" s="18">
        <f t="shared" si="5"/>
        <v>0</v>
      </c>
      <c r="AJ22" s="18">
        <f t="shared" si="6"/>
        <v>0</v>
      </c>
      <c r="AK22" s="18">
        <f t="shared" si="7"/>
        <v>0</v>
      </c>
      <c r="AL22" s="18">
        <f t="shared" si="8"/>
        <v>0</v>
      </c>
      <c r="AM22" s="18">
        <f t="shared" si="9"/>
        <v>0</v>
      </c>
      <c r="AO22" s="18">
        <f>IFERROR($AR22*SUM($AS$2:AS22)-SUMPRODUCT($AR$2:AR22,$AS$2:AS22),"")</f>
        <v>53850</v>
      </c>
      <c r="AP22" s="18">
        <f>IFERROR(SUMPRODUCT($AR22:AR$26,$AT22:AT$26)-$AR22*SUM($AT22:AT$26),"")</f>
        <v>0</v>
      </c>
      <c r="AQ22" s="18">
        <f>IFERROR(($AR22*SUM(AS$2:$AS22)-SUMPRODUCT($AR$2:AR22,$AS$2:AS22))+(SUMPRODUCT($AR22:AR$26,$AT22:AT$26)-$AR22*SUM($AT22:AT$26)),"")</f>
        <v>53850</v>
      </c>
      <c r="AR22" s="18">
        <f t="shared" si="14"/>
        <v>15550</v>
      </c>
      <c r="AS22" s="18">
        <f t="shared" si="10"/>
        <v>0</v>
      </c>
      <c r="AT22" s="18">
        <f t="shared" si="11"/>
        <v>0</v>
      </c>
      <c r="AU22" s="18">
        <f t="shared" si="12"/>
        <v>0</v>
      </c>
      <c r="AV22" s="18">
        <f t="shared" si="13"/>
        <v>0</v>
      </c>
    </row>
    <row r="23" spans="1:48" x14ac:dyDescent="0.35">
      <c r="A23" s="56" t="s">
        <v>91</v>
      </c>
      <c r="B23" s="58">
        <v>9000</v>
      </c>
      <c r="C23" s="58" t="s">
        <v>26</v>
      </c>
      <c r="D23" s="58">
        <v>2536</v>
      </c>
      <c r="E23" s="58">
        <v>0</v>
      </c>
      <c r="F23" s="58">
        <v>0</v>
      </c>
      <c r="G23" s="58">
        <v>47</v>
      </c>
      <c r="H23" s="58">
        <v>62.62</v>
      </c>
      <c r="I23" s="58">
        <v>4.8499999999999996</v>
      </c>
      <c r="J23" s="58">
        <v>0.64999999999999947</v>
      </c>
      <c r="K23" s="58">
        <v>15.476190476190462</v>
      </c>
      <c r="L23" s="58">
        <v>17325</v>
      </c>
      <c r="M23" s="58">
        <v>4500</v>
      </c>
      <c r="N23" s="58">
        <v>15136.95</v>
      </c>
      <c r="O23" s="58">
        <v>9000</v>
      </c>
      <c r="P23" s="58" t="s">
        <v>26</v>
      </c>
      <c r="Q23" s="58">
        <v>91</v>
      </c>
      <c r="R23" s="58">
        <v>0</v>
      </c>
      <c r="S23" s="58">
        <v>0</v>
      </c>
      <c r="T23" s="58">
        <v>0</v>
      </c>
      <c r="U23" s="58">
        <v>0</v>
      </c>
      <c r="V23" s="58">
        <v>0</v>
      </c>
      <c r="W23" s="58">
        <v>0</v>
      </c>
      <c r="X23" s="58">
        <v>0</v>
      </c>
      <c r="Y23" s="58">
        <v>10500</v>
      </c>
      <c r="Z23" s="58">
        <v>10050</v>
      </c>
      <c r="AA23" s="58">
        <v>15136.95</v>
      </c>
      <c r="AD23" s="18" t="str">
        <f t="array" ref="AD23">IFERROR(INDEX($A$1:$A$2000, MATCH(0, IF($AD$1*1=$C$1:$C$2090*1, COUNTIF($AD$1:$AD22, $A$1:$A$2000), ""), 0)),"")</f>
        <v>437</v>
      </c>
      <c r="AE23" s="57">
        <f t="shared" si="1"/>
        <v>13650</v>
      </c>
      <c r="AF23" s="18">
        <f t="shared" si="2"/>
        <v>0</v>
      </c>
      <c r="AG23" s="18">
        <f t="shared" si="3"/>
        <v>0</v>
      </c>
      <c r="AH23" s="18">
        <f t="shared" si="4"/>
        <v>0</v>
      </c>
      <c r="AI23" s="18">
        <f t="shared" si="5"/>
        <v>0</v>
      </c>
      <c r="AJ23" s="18">
        <f t="shared" si="6"/>
        <v>0</v>
      </c>
      <c r="AK23" s="18">
        <f t="shared" si="7"/>
        <v>0</v>
      </c>
      <c r="AL23" s="18">
        <f t="shared" si="8"/>
        <v>0</v>
      </c>
      <c r="AM23" s="18">
        <f t="shared" si="9"/>
        <v>0</v>
      </c>
      <c r="AO23" s="18">
        <f>IFERROR($AR23*SUM($AS$2:AS23)-SUMPRODUCT($AR$2:AR23,$AS$2:AS23),"")</f>
        <v>63450</v>
      </c>
      <c r="AP23" s="18">
        <f>IFERROR(SUMPRODUCT($AR23:AR$26,$AT23:AT$26)-$AR23*SUM($AT23:AT$26),"")</f>
        <v>0</v>
      </c>
      <c r="AQ23" s="18">
        <f>IFERROR(($AR23*SUM(AS$2:$AS23)-SUMPRODUCT($AR$2:AR23,$AS$2:AS23))+(SUMPRODUCT($AR23:AR$26,$AT23:AT$26)-$AR23*SUM($AT23:AT$26)),"")</f>
        <v>63450</v>
      </c>
      <c r="AR23" s="18">
        <f t="shared" si="14"/>
        <v>15600</v>
      </c>
      <c r="AS23" s="18">
        <f t="shared" si="10"/>
        <v>1</v>
      </c>
      <c r="AT23" s="18">
        <f t="shared" si="11"/>
        <v>0</v>
      </c>
      <c r="AU23" s="18">
        <f t="shared" si="12"/>
        <v>0</v>
      </c>
      <c r="AV23" s="18">
        <f t="shared" si="13"/>
        <v>0</v>
      </c>
    </row>
    <row r="24" spans="1:48" x14ac:dyDescent="0.35">
      <c r="A24" s="56" t="s">
        <v>92</v>
      </c>
      <c r="B24" s="58">
        <v>9000</v>
      </c>
      <c r="C24" s="58" t="s">
        <v>29</v>
      </c>
      <c r="D24" s="58">
        <v>69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8250</v>
      </c>
      <c r="M24" s="58">
        <v>0</v>
      </c>
      <c r="N24" s="58">
        <v>15136.95</v>
      </c>
      <c r="O24" s="58">
        <v>9000</v>
      </c>
      <c r="P24" s="58" t="s">
        <v>29</v>
      </c>
      <c r="Q24" s="58">
        <v>131</v>
      </c>
      <c r="R24" s="58">
        <v>0</v>
      </c>
      <c r="S24" s="58">
        <v>0</v>
      </c>
      <c r="T24" s="58">
        <v>0</v>
      </c>
      <c r="U24" s="58">
        <v>0</v>
      </c>
      <c r="V24" s="58">
        <v>0</v>
      </c>
      <c r="W24" s="58">
        <v>0</v>
      </c>
      <c r="X24" s="58">
        <v>0</v>
      </c>
      <c r="Y24" s="58">
        <v>1125</v>
      </c>
      <c r="Z24" s="58">
        <v>300</v>
      </c>
      <c r="AA24" s="58">
        <v>15136.95</v>
      </c>
      <c r="AD24" s="18" t="str">
        <f t="array" ref="AD24">IFERROR(INDEX($A$1:$A$2000, MATCH(0, IF($AD$1*1=$C$1:$C$2090*1, COUNTIF($AD$1:$AD23, $A$1:$A$2000), ""), 0)),"")</f>
        <v>447</v>
      </c>
      <c r="AE24" s="57">
        <f t="shared" si="1"/>
        <v>13700</v>
      </c>
      <c r="AF24" s="18">
        <f t="shared" si="2"/>
        <v>0</v>
      </c>
      <c r="AG24" s="18">
        <f t="shared" si="3"/>
        <v>0</v>
      </c>
      <c r="AH24" s="18">
        <f t="shared" si="4"/>
        <v>0</v>
      </c>
      <c r="AI24" s="18">
        <f t="shared" si="5"/>
        <v>0</v>
      </c>
      <c r="AJ24" s="18">
        <f t="shared" si="6"/>
        <v>0</v>
      </c>
      <c r="AK24" s="18">
        <f t="shared" si="7"/>
        <v>0</v>
      </c>
      <c r="AL24" s="18">
        <f t="shared" si="8"/>
        <v>0</v>
      </c>
      <c r="AM24" s="18">
        <f t="shared" si="9"/>
        <v>0</v>
      </c>
      <c r="AO24" s="18">
        <f>IFERROR($AR24*SUM($AS$2:AS24)-SUMPRODUCT($AR$2:AR24,$AS$2:AS24),"")</f>
        <v>73100</v>
      </c>
      <c r="AP24" s="18">
        <f>IFERROR(SUMPRODUCT($AR24:AR$26,$AT24:AT$26)-$AR24*SUM($AT24:AT$26),"")</f>
        <v>0</v>
      </c>
      <c r="AQ24" s="18">
        <f>IFERROR(($AR24*SUM(AS$2:$AS24)-SUMPRODUCT($AR$2:AR24,$AS$2:AS24))+(SUMPRODUCT($AR24:AR$26,$AT24:AT$26)-$AR24*SUM($AT24:AT$26)),"")</f>
        <v>73100</v>
      </c>
      <c r="AR24" s="18">
        <f t="shared" si="14"/>
        <v>15650</v>
      </c>
      <c r="AS24" s="18">
        <f t="shared" si="10"/>
        <v>0</v>
      </c>
      <c r="AT24" s="18">
        <f t="shared" si="11"/>
        <v>0</v>
      </c>
      <c r="AU24" s="18">
        <f t="shared" si="12"/>
        <v>0</v>
      </c>
      <c r="AV24" s="18">
        <f t="shared" si="13"/>
        <v>0</v>
      </c>
    </row>
    <row r="25" spans="1:48" x14ac:dyDescent="0.35">
      <c r="A25" s="56" t="s">
        <v>93</v>
      </c>
      <c r="B25" s="58">
        <v>9100</v>
      </c>
      <c r="C25" s="58" t="s">
        <v>29</v>
      </c>
      <c r="D25" s="58">
        <v>187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15375</v>
      </c>
      <c r="M25" s="58">
        <v>0</v>
      </c>
      <c r="N25" s="58">
        <v>15136.95</v>
      </c>
      <c r="O25" s="58">
        <v>0</v>
      </c>
      <c r="P25" s="58">
        <v>0</v>
      </c>
      <c r="Q25" s="58">
        <v>0</v>
      </c>
      <c r="R25" s="58">
        <v>0</v>
      </c>
      <c r="S25" s="58">
        <v>0</v>
      </c>
      <c r="T25" s="58">
        <v>0</v>
      </c>
      <c r="U25" s="58">
        <v>0</v>
      </c>
      <c r="V25" s="58">
        <v>0</v>
      </c>
      <c r="W25" s="58">
        <v>0</v>
      </c>
      <c r="X25" s="58">
        <v>0</v>
      </c>
      <c r="Y25" s="58">
        <v>0</v>
      </c>
      <c r="Z25" s="58">
        <v>0</v>
      </c>
      <c r="AA25" s="58">
        <v>0</v>
      </c>
      <c r="AD25" s="18" t="str">
        <f t="array" ref="AD25">IFERROR(INDEX($A$1:$A$2000, MATCH(0, IF($AD$1*1=$C$1:$C$2090*1, COUNTIF($AD$1:$AD24, $A$1:$A$2000), ""), 0)),"")</f>
        <v>449</v>
      </c>
      <c r="AE25" s="57">
        <f t="shared" si="1"/>
        <v>13750</v>
      </c>
      <c r="AF25" s="18">
        <f t="shared" si="2"/>
        <v>0</v>
      </c>
      <c r="AG25" s="18">
        <f t="shared" si="3"/>
        <v>0</v>
      </c>
      <c r="AH25" s="18">
        <f t="shared" si="4"/>
        <v>0</v>
      </c>
      <c r="AI25" s="18">
        <f t="shared" si="5"/>
        <v>0</v>
      </c>
      <c r="AJ25" s="18">
        <f t="shared" si="6"/>
        <v>0</v>
      </c>
      <c r="AK25" s="18">
        <f t="shared" si="7"/>
        <v>0</v>
      </c>
      <c r="AL25" s="18">
        <f t="shared" si="8"/>
        <v>0</v>
      </c>
      <c r="AM25" s="18">
        <f t="shared" si="9"/>
        <v>0</v>
      </c>
      <c r="AO25" s="18">
        <f>IFERROR($AR25*SUM($AS$2:AS25)-SUMPRODUCT($AR$2:AR25,$AS$2:AS25),"")</f>
        <v>82750</v>
      </c>
      <c r="AP25" s="18">
        <f>IFERROR(SUMPRODUCT($AR25:AR$26,$AT25:AT$26)-$AR25*SUM($AT25:AT$26),"")</f>
        <v>0</v>
      </c>
      <c r="AQ25" s="18">
        <f>IFERROR(($AR25*SUM(AS$2:$AS25)-SUMPRODUCT($AR$2:AR25,$AS$2:AS25))+(SUMPRODUCT($AR25:AR$26,$AT25:AT$26)-$AR25*SUM($AT25:AT$26)),"")</f>
        <v>82750</v>
      </c>
      <c r="AR25" s="18">
        <f t="shared" si="14"/>
        <v>15700</v>
      </c>
      <c r="AS25" s="18">
        <f t="shared" si="10"/>
        <v>12</v>
      </c>
      <c r="AT25" s="18">
        <f t="shared" si="11"/>
        <v>0</v>
      </c>
      <c r="AU25" s="18">
        <f t="shared" si="12"/>
        <v>13</v>
      </c>
      <c r="AV25" s="18">
        <f t="shared" si="13"/>
        <v>0</v>
      </c>
    </row>
    <row r="26" spans="1:48" x14ac:dyDescent="0.35">
      <c r="A26" s="56" t="s">
        <v>94</v>
      </c>
      <c r="B26" s="58">
        <v>9100</v>
      </c>
      <c r="C26" s="58" t="s">
        <v>27</v>
      </c>
      <c r="D26" s="58">
        <v>181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6000</v>
      </c>
      <c r="M26" s="58">
        <v>0</v>
      </c>
      <c r="N26" s="58">
        <v>15136.95</v>
      </c>
      <c r="O26" s="58">
        <v>0</v>
      </c>
      <c r="P26" s="58">
        <v>0</v>
      </c>
      <c r="Q26" s="58">
        <v>0</v>
      </c>
      <c r="R26" s="58">
        <v>0</v>
      </c>
      <c r="S26" s="58">
        <v>0</v>
      </c>
      <c r="T26" s="58">
        <v>0</v>
      </c>
      <c r="U26" s="58">
        <v>0</v>
      </c>
      <c r="V26" s="58">
        <v>0</v>
      </c>
      <c r="W26" s="58">
        <v>0</v>
      </c>
      <c r="X26" s="58">
        <v>0</v>
      </c>
      <c r="Y26" s="58">
        <v>0</v>
      </c>
      <c r="Z26" s="58">
        <v>0</v>
      </c>
      <c r="AA26" s="58">
        <v>0</v>
      </c>
      <c r="AD26" s="18" t="str">
        <f t="array" ref="AD26">IFERROR(INDEX($A$1:$A$2000, MATCH(0, IF($AD$1*1=$C$1:$C$2090*1, COUNTIF($AD$1:$AD25, $A$1:$A$2000), ""), 0)),"")</f>
        <v>460</v>
      </c>
      <c r="AE26" s="57">
        <f t="shared" si="1"/>
        <v>13800</v>
      </c>
      <c r="AF26" s="18">
        <f t="shared" si="2"/>
        <v>0</v>
      </c>
      <c r="AG26" s="18">
        <f t="shared" si="3"/>
        <v>0</v>
      </c>
      <c r="AH26" s="18">
        <f t="shared" si="4"/>
        <v>1</v>
      </c>
      <c r="AI26" s="18">
        <f t="shared" si="5"/>
        <v>0</v>
      </c>
      <c r="AJ26" s="18">
        <f t="shared" si="6"/>
        <v>0</v>
      </c>
      <c r="AK26" s="18">
        <f t="shared" si="7"/>
        <v>0</v>
      </c>
      <c r="AL26" s="18">
        <f t="shared" si="8"/>
        <v>0</v>
      </c>
      <c r="AM26" s="18">
        <f t="shared" si="9"/>
        <v>0</v>
      </c>
      <c r="AO26" s="18">
        <f>IFERROR($AR26*SUM($AS$2:AS26)-SUMPRODUCT($AR$2:AR26,$AS$2:AS26),"")</f>
        <v>93000</v>
      </c>
      <c r="AP26" s="18">
        <f>IFERROR(SUMPRODUCT($AR26:AR$26,$AT26:AT$26)-$AR26*SUM($AT26:AT$26),"")</f>
        <v>0</v>
      </c>
      <c r="AQ26" s="18">
        <f>IFERROR(($AR26*SUM(AS$2:$AS26)-SUMPRODUCT($AR$2:AR26,$AS$2:AS26))+(SUMPRODUCT($AR26:AR$26,$AT26:AT$26)-$AR26*SUM($AT26:AT$26)),"")</f>
        <v>93000</v>
      </c>
      <c r="AR26" s="18">
        <f t="shared" si="14"/>
        <v>15750</v>
      </c>
      <c r="AS26" s="18">
        <f t="shared" si="10"/>
        <v>0</v>
      </c>
      <c r="AT26" s="18">
        <f t="shared" si="11"/>
        <v>0</v>
      </c>
      <c r="AU26" s="18">
        <f t="shared" si="12"/>
        <v>0</v>
      </c>
      <c r="AV26" s="18">
        <f t="shared" si="13"/>
        <v>0</v>
      </c>
    </row>
    <row r="27" spans="1:48" x14ac:dyDescent="0.35">
      <c r="A27" s="56" t="s">
        <v>95</v>
      </c>
      <c r="B27" s="58">
        <v>9200</v>
      </c>
      <c r="C27" s="58" t="s">
        <v>29</v>
      </c>
      <c r="D27" s="58">
        <v>75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5325</v>
      </c>
      <c r="M27" s="58">
        <v>0</v>
      </c>
      <c r="N27" s="58">
        <v>15136.95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D27" s="18" t="str">
        <f t="array" ref="AD27">IFERROR(INDEX($A$1:$A$2000, MATCH(0, IF($AD$1*1=$C$1:$C$2090*1, COUNTIF($AD$1:$AD26, $A$1:$A$2000), ""), 0)),"")</f>
        <v>470</v>
      </c>
      <c r="AE27" s="57">
        <f t="shared" si="1"/>
        <v>13850</v>
      </c>
      <c r="AF27" s="18">
        <f t="shared" si="2"/>
        <v>0</v>
      </c>
      <c r="AG27" s="18">
        <f t="shared" si="3"/>
        <v>0</v>
      </c>
      <c r="AH27" s="18">
        <f t="shared" si="4"/>
        <v>1</v>
      </c>
      <c r="AI27" s="18">
        <f t="shared" si="5"/>
        <v>0</v>
      </c>
      <c r="AJ27" s="18">
        <f t="shared" si="6"/>
        <v>0</v>
      </c>
      <c r="AK27" s="18">
        <f t="shared" si="7"/>
        <v>0</v>
      </c>
      <c r="AL27" s="18">
        <f t="shared" si="8"/>
        <v>1</v>
      </c>
      <c r="AM27" s="18">
        <f t="shared" si="9"/>
        <v>0</v>
      </c>
      <c r="AS27" s="19">
        <f>IFERROR(SUM($AS$2:$AS$26),"")</f>
        <v>205</v>
      </c>
      <c r="AT27" s="19">
        <f>IFERROR(SUM($AT$2:$AT$26),"")</f>
        <v>115</v>
      </c>
      <c r="AU27" s="19">
        <f>IFERROR(SUM($AU$2:$AU$26),"")</f>
        <v>116</v>
      </c>
      <c r="AV27" s="19">
        <f>IFERROR(SUM($AV$2:$AV$26),"")</f>
        <v>66</v>
      </c>
    </row>
    <row r="28" spans="1:48" x14ac:dyDescent="0.35">
      <c r="A28" s="56" t="s">
        <v>96</v>
      </c>
      <c r="B28" s="58">
        <v>9200</v>
      </c>
      <c r="C28" s="58" t="s">
        <v>27</v>
      </c>
      <c r="D28" s="58">
        <v>72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5250</v>
      </c>
      <c r="M28" s="58">
        <v>0</v>
      </c>
      <c r="N28" s="58">
        <v>15136.95</v>
      </c>
      <c r="O28" s="58">
        <v>0</v>
      </c>
      <c r="P28" s="58">
        <v>0</v>
      </c>
      <c r="Q28" s="58">
        <v>0</v>
      </c>
      <c r="R28" s="58">
        <v>0</v>
      </c>
      <c r="S28" s="58">
        <v>0</v>
      </c>
      <c r="T28" s="58">
        <v>0</v>
      </c>
      <c r="U28" s="58">
        <v>0</v>
      </c>
      <c r="V28" s="58">
        <v>0</v>
      </c>
      <c r="W28" s="58">
        <v>0</v>
      </c>
      <c r="X28" s="58">
        <v>0</v>
      </c>
      <c r="Y28" s="58">
        <v>0</v>
      </c>
      <c r="Z28" s="58">
        <v>0</v>
      </c>
      <c r="AA28" s="58">
        <v>0</v>
      </c>
      <c r="AD28" s="18" t="str">
        <f t="array" ref="AD28">IFERROR(INDEX($A$1:$A$2000, MATCH(0, IF($AD$1*1=$C$1:$C$2090*1, COUNTIF($AD$1:$AD27, $A$1:$A$2000), ""), 0)),"")</f>
        <v>487</v>
      </c>
      <c r="AE28" s="57">
        <f t="shared" si="1"/>
        <v>13900</v>
      </c>
      <c r="AF28" s="18">
        <f t="shared" si="2"/>
        <v>0</v>
      </c>
      <c r="AG28" s="18">
        <f t="shared" si="3"/>
        <v>0</v>
      </c>
      <c r="AH28" s="18">
        <f t="shared" si="4"/>
        <v>0</v>
      </c>
      <c r="AI28" s="18">
        <f t="shared" si="5"/>
        <v>0</v>
      </c>
      <c r="AJ28" s="18">
        <f t="shared" si="6"/>
        <v>0</v>
      </c>
      <c r="AK28" s="18">
        <f t="shared" si="7"/>
        <v>0</v>
      </c>
      <c r="AL28" s="18">
        <f t="shared" si="8"/>
        <v>0</v>
      </c>
      <c r="AM28" s="18">
        <f t="shared" si="9"/>
        <v>0</v>
      </c>
      <c r="AS28" s="18" t="s">
        <v>60</v>
      </c>
      <c r="AT28" s="20">
        <f>IFERROR($AT$27/$AS$27,"")</f>
        <v>0.56097560975609762</v>
      </c>
      <c r="AU28" s="18" t="s">
        <v>63</v>
      </c>
      <c r="AV28" s="20">
        <f>IFERROR($AV$27/$AU$27,"")</f>
        <v>0.56896551724137934</v>
      </c>
    </row>
    <row r="29" spans="1:48" x14ac:dyDescent="0.35">
      <c r="A29" s="56" t="s">
        <v>97</v>
      </c>
      <c r="B29" s="58">
        <v>9500</v>
      </c>
      <c r="C29" s="58" t="s">
        <v>27</v>
      </c>
      <c r="D29" s="58">
        <v>24</v>
      </c>
      <c r="E29" s="58">
        <v>0</v>
      </c>
      <c r="F29" s="58">
        <v>0</v>
      </c>
      <c r="G29" s="58">
        <v>0</v>
      </c>
      <c r="H29" s="58">
        <v>0</v>
      </c>
      <c r="I29" s="58">
        <v>0</v>
      </c>
      <c r="J29" s="58">
        <v>0</v>
      </c>
      <c r="K29" s="58">
        <v>0</v>
      </c>
      <c r="L29" s="58">
        <v>15000</v>
      </c>
      <c r="M29" s="58">
        <v>0</v>
      </c>
      <c r="N29" s="58">
        <v>15136.95</v>
      </c>
      <c r="O29" s="58">
        <v>0</v>
      </c>
      <c r="P29" s="58">
        <v>0</v>
      </c>
      <c r="Q29" s="58">
        <v>0</v>
      </c>
      <c r="R29" s="58">
        <v>0</v>
      </c>
      <c r="S29" s="58">
        <v>0</v>
      </c>
      <c r="T29" s="58">
        <v>0</v>
      </c>
      <c r="U29" s="58">
        <v>0</v>
      </c>
      <c r="V29" s="58">
        <v>0</v>
      </c>
      <c r="W29" s="58">
        <v>0</v>
      </c>
      <c r="X29" s="58">
        <v>0</v>
      </c>
      <c r="Y29" s="58">
        <v>0</v>
      </c>
      <c r="Z29" s="58">
        <v>0</v>
      </c>
      <c r="AA29" s="58">
        <v>0</v>
      </c>
      <c r="AD29" s="18" t="str">
        <f t="array" ref="AD29">IFERROR(INDEX($A$1:$A$2000, MATCH(0, IF($AD$1*1=$C$1:$C$2090*1, COUNTIF($AD$1:$AD28, $A$1:$A$2000), ""), 0)),"")</f>
        <v>496</v>
      </c>
      <c r="AE29" s="57">
        <f t="shared" si="1"/>
        <v>13950</v>
      </c>
      <c r="AF29" s="18">
        <f t="shared" si="2"/>
        <v>0</v>
      </c>
      <c r="AG29" s="18">
        <f t="shared" si="3"/>
        <v>0</v>
      </c>
      <c r="AH29" s="18">
        <f t="shared" si="4"/>
        <v>0</v>
      </c>
      <c r="AI29" s="18">
        <f t="shared" si="5"/>
        <v>0</v>
      </c>
      <c r="AJ29" s="18">
        <f t="shared" si="6"/>
        <v>0</v>
      </c>
      <c r="AK29" s="18">
        <f t="shared" si="7"/>
        <v>0</v>
      </c>
      <c r="AL29" s="18">
        <f t="shared" si="8"/>
        <v>4</v>
      </c>
      <c r="AM29" s="18">
        <f t="shared" si="9"/>
        <v>0</v>
      </c>
    </row>
    <row r="30" spans="1:48" x14ac:dyDescent="0.35">
      <c r="A30" s="56" t="s">
        <v>98</v>
      </c>
      <c r="B30" s="58">
        <v>9500</v>
      </c>
      <c r="C30" s="58" t="s">
        <v>28</v>
      </c>
      <c r="D30" s="58">
        <v>1569</v>
      </c>
      <c r="E30" s="58">
        <v>0</v>
      </c>
      <c r="F30" s="58">
        <v>0</v>
      </c>
      <c r="G30" s="58">
        <v>0</v>
      </c>
      <c r="H30" s="58">
        <v>0</v>
      </c>
      <c r="I30" s="58">
        <v>0</v>
      </c>
      <c r="J30" s="58">
        <v>0</v>
      </c>
      <c r="K30" s="58">
        <v>0</v>
      </c>
      <c r="L30" s="58">
        <v>5475</v>
      </c>
      <c r="M30" s="58">
        <v>0</v>
      </c>
      <c r="N30" s="58">
        <v>15136.95</v>
      </c>
      <c r="O30" s="58">
        <v>0</v>
      </c>
      <c r="P30" s="58">
        <v>0</v>
      </c>
      <c r="Q30" s="58">
        <v>0</v>
      </c>
      <c r="R30" s="58">
        <v>0</v>
      </c>
      <c r="S30" s="58">
        <v>0</v>
      </c>
      <c r="T30" s="58">
        <v>0</v>
      </c>
      <c r="U30" s="58">
        <v>0</v>
      </c>
      <c r="V30" s="58">
        <v>0</v>
      </c>
      <c r="W30" s="58">
        <v>0</v>
      </c>
      <c r="X30" s="58">
        <v>0</v>
      </c>
      <c r="Y30" s="58">
        <v>0</v>
      </c>
      <c r="Z30" s="58">
        <v>0</v>
      </c>
      <c r="AA30" s="58">
        <v>0</v>
      </c>
      <c r="AD30" s="18" t="str">
        <f t="array" ref="AD30">IFERROR(INDEX($A$1:$A$2000, MATCH(0, IF($AD$1*1=$C$1:$C$2090*1, COUNTIF($AD$1:$AD29, $A$1:$A$2000), ""), 0)),"")</f>
        <v>499</v>
      </c>
      <c r="AE30" s="57">
        <f t="shared" si="1"/>
        <v>14000</v>
      </c>
      <c r="AF30" s="18">
        <f t="shared" si="2"/>
        <v>0</v>
      </c>
      <c r="AG30" s="18">
        <f t="shared" si="3"/>
        <v>0</v>
      </c>
      <c r="AH30" s="18">
        <f t="shared" si="4"/>
        <v>0</v>
      </c>
      <c r="AI30" s="18">
        <f t="shared" si="5"/>
        <v>0</v>
      </c>
      <c r="AJ30" s="18">
        <f t="shared" si="6"/>
        <v>50.8</v>
      </c>
      <c r="AK30" s="18">
        <f t="shared" si="7"/>
        <v>12</v>
      </c>
      <c r="AL30" s="18">
        <f t="shared" si="8"/>
        <v>159</v>
      </c>
      <c r="AM30" s="18">
        <f t="shared" si="9"/>
        <v>77</v>
      </c>
    </row>
    <row r="31" spans="1:48" x14ac:dyDescent="0.35">
      <c r="A31" s="56" t="s">
        <v>99</v>
      </c>
      <c r="B31" s="58">
        <v>9500</v>
      </c>
      <c r="C31" s="58" t="s">
        <v>26</v>
      </c>
      <c r="D31" s="58">
        <v>328</v>
      </c>
      <c r="E31" s="58">
        <v>0</v>
      </c>
      <c r="F31" s="58">
        <v>0</v>
      </c>
      <c r="G31" s="58">
        <v>0</v>
      </c>
      <c r="H31" s="58">
        <v>0</v>
      </c>
      <c r="I31" s="58">
        <v>0</v>
      </c>
      <c r="J31" s="58">
        <v>0</v>
      </c>
      <c r="K31" s="58">
        <v>0</v>
      </c>
      <c r="L31" s="58">
        <v>30525</v>
      </c>
      <c r="M31" s="58">
        <v>0</v>
      </c>
      <c r="N31" s="58">
        <v>15136.95</v>
      </c>
      <c r="O31" s="58">
        <v>9500</v>
      </c>
      <c r="P31" s="58" t="s">
        <v>26</v>
      </c>
      <c r="Q31" s="58">
        <v>20</v>
      </c>
      <c r="R31" s="58">
        <v>0</v>
      </c>
      <c r="S31" s="58">
        <v>0</v>
      </c>
      <c r="T31" s="58">
        <v>0</v>
      </c>
      <c r="U31" s="58">
        <v>0</v>
      </c>
      <c r="V31" s="58">
        <v>0</v>
      </c>
      <c r="W31" s="58">
        <v>0</v>
      </c>
      <c r="X31" s="58">
        <v>0</v>
      </c>
      <c r="Y31" s="58">
        <v>10425</v>
      </c>
      <c r="Z31" s="58">
        <v>5100</v>
      </c>
      <c r="AA31" s="58">
        <v>15136.95</v>
      </c>
      <c r="AD31" s="18" t="str">
        <f t="array" ref="AD31">IFERROR(INDEX($A$1:$A$2000, MATCH(0, IF($AD$1*1=$C$1:$C$2090*1, COUNTIF($AD$1:$AD30, $A$1:$A$2000), ""), 0)),"")</f>
        <v>515</v>
      </c>
      <c r="AE31" s="57">
        <f t="shared" si="1"/>
        <v>14050</v>
      </c>
      <c r="AF31" s="18">
        <f t="shared" si="2"/>
        <v>0</v>
      </c>
      <c r="AG31" s="18">
        <f t="shared" si="3"/>
        <v>0</v>
      </c>
      <c r="AH31" s="18">
        <f t="shared" si="4"/>
        <v>0</v>
      </c>
      <c r="AI31" s="18">
        <f t="shared" si="5"/>
        <v>0</v>
      </c>
      <c r="AJ31" s="18">
        <f t="shared" si="6"/>
        <v>0</v>
      </c>
      <c r="AK31" s="18">
        <f t="shared" si="7"/>
        <v>0</v>
      </c>
      <c r="AL31" s="18">
        <f t="shared" si="8"/>
        <v>0</v>
      </c>
      <c r="AM31" s="18">
        <f t="shared" si="9"/>
        <v>0</v>
      </c>
    </row>
    <row r="32" spans="1:48" x14ac:dyDescent="0.35">
      <c r="A32" s="56" t="s">
        <v>100</v>
      </c>
      <c r="B32" s="58">
        <v>9700</v>
      </c>
      <c r="C32" s="58" t="s">
        <v>27</v>
      </c>
      <c r="D32" s="58">
        <v>44</v>
      </c>
      <c r="E32" s="58">
        <v>0</v>
      </c>
      <c r="F32" s="58">
        <v>0</v>
      </c>
      <c r="G32" s="58">
        <v>0</v>
      </c>
      <c r="H32" s="58">
        <v>0</v>
      </c>
      <c r="I32" s="58">
        <v>0</v>
      </c>
      <c r="J32" s="58">
        <v>0</v>
      </c>
      <c r="K32" s="58">
        <v>0</v>
      </c>
      <c r="L32" s="58">
        <v>3750</v>
      </c>
      <c r="M32" s="58">
        <v>0</v>
      </c>
      <c r="N32" s="58">
        <v>15136.95</v>
      </c>
      <c r="O32" s="58">
        <v>0</v>
      </c>
      <c r="P32" s="58">
        <v>0</v>
      </c>
      <c r="Q32" s="58">
        <v>0</v>
      </c>
      <c r="R32" s="58">
        <v>0</v>
      </c>
      <c r="S32" s="58">
        <v>0</v>
      </c>
      <c r="T32" s="58">
        <v>0</v>
      </c>
      <c r="U32" s="58">
        <v>0</v>
      </c>
      <c r="V32" s="58">
        <v>0</v>
      </c>
      <c r="W32" s="58">
        <v>0</v>
      </c>
      <c r="X32" s="58">
        <v>0</v>
      </c>
      <c r="Y32" s="58">
        <v>0</v>
      </c>
      <c r="Z32" s="58">
        <v>0</v>
      </c>
      <c r="AA32" s="58">
        <v>0</v>
      </c>
      <c r="AD32" s="18" t="str">
        <f t="array" ref="AD32">IFERROR(INDEX($A$1:$A$2000, MATCH(0, IF($AD$1*1=$C$1:$C$2090*1, COUNTIF($AD$1:$AD31, $A$1:$A$2000), ""), 0)),"")</f>
        <v>525</v>
      </c>
      <c r="AE32" s="57">
        <f t="shared" si="1"/>
        <v>14100</v>
      </c>
      <c r="AF32" s="18">
        <f t="shared" si="2"/>
        <v>0</v>
      </c>
      <c r="AG32" s="18">
        <f t="shared" si="3"/>
        <v>0</v>
      </c>
      <c r="AH32" s="18">
        <f t="shared" si="4"/>
        <v>0</v>
      </c>
      <c r="AI32" s="18">
        <f t="shared" si="5"/>
        <v>0</v>
      </c>
      <c r="AJ32" s="18">
        <f t="shared" si="6"/>
        <v>0</v>
      </c>
      <c r="AK32" s="18">
        <f t="shared" si="7"/>
        <v>0</v>
      </c>
      <c r="AL32" s="18">
        <f t="shared" si="8"/>
        <v>0</v>
      </c>
      <c r="AM32" s="18">
        <f t="shared" si="9"/>
        <v>0</v>
      </c>
    </row>
    <row r="33" spans="1:39" x14ac:dyDescent="0.35">
      <c r="A33" s="56" t="s">
        <v>101</v>
      </c>
      <c r="B33" s="58">
        <v>9700</v>
      </c>
      <c r="C33" s="58" t="s">
        <v>28</v>
      </c>
      <c r="D33" s="58">
        <v>41</v>
      </c>
      <c r="E33" s="58">
        <v>0</v>
      </c>
      <c r="F33" s="58">
        <v>0</v>
      </c>
      <c r="G33" s="58">
        <v>0</v>
      </c>
      <c r="H33" s="58">
        <v>0</v>
      </c>
      <c r="I33" s="58">
        <v>0</v>
      </c>
      <c r="J33" s="58">
        <v>0</v>
      </c>
      <c r="K33" s="58">
        <v>0</v>
      </c>
      <c r="L33" s="58">
        <v>5325</v>
      </c>
      <c r="M33" s="58">
        <v>0</v>
      </c>
      <c r="N33" s="58">
        <v>15136.95</v>
      </c>
      <c r="O33" s="58">
        <v>0</v>
      </c>
      <c r="P33" s="58">
        <v>0</v>
      </c>
      <c r="Q33" s="58">
        <v>0</v>
      </c>
      <c r="R33" s="58">
        <v>0</v>
      </c>
      <c r="S33" s="58">
        <v>0</v>
      </c>
      <c r="T33" s="58">
        <v>0</v>
      </c>
      <c r="U33" s="58">
        <v>0</v>
      </c>
      <c r="V33" s="58">
        <v>0</v>
      </c>
      <c r="W33" s="58">
        <v>0</v>
      </c>
      <c r="X33" s="58">
        <v>0</v>
      </c>
      <c r="Y33" s="58">
        <v>0</v>
      </c>
      <c r="Z33" s="58">
        <v>0</v>
      </c>
      <c r="AA33" s="58">
        <v>0</v>
      </c>
      <c r="AD33" s="18" t="str">
        <f t="array" ref="AD33">IFERROR(INDEX($A$1:$A$2000, MATCH(0, IF($AD$1*1=$C$1:$C$2090*1, COUNTIF($AD$1:$AD32, $A$1:$A$2000), ""), 0)),"")</f>
        <v>536</v>
      </c>
      <c r="AE33" s="57">
        <f t="shared" si="1"/>
        <v>14150</v>
      </c>
      <c r="AF33" s="18">
        <f t="shared" si="2"/>
        <v>0</v>
      </c>
      <c r="AG33" s="18">
        <f t="shared" si="3"/>
        <v>0</v>
      </c>
      <c r="AH33" s="18">
        <f t="shared" si="4"/>
        <v>0</v>
      </c>
      <c r="AI33" s="18">
        <f t="shared" si="5"/>
        <v>0</v>
      </c>
      <c r="AJ33" s="18">
        <f t="shared" si="6"/>
        <v>0</v>
      </c>
      <c r="AK33" s="18">
        <f t="shared" si="7"/>
        <v>0</v>
      </c>
      <c r="AL33" s="18">
        <f t="shared" si="8"/>
        <v>0</v>
      </c>
      <c r="AM33" s="18">
        <f t="shared" si="9"/>
        <v>0</v>
      </c>
    </row>
    <row r="34" spans="1:39" x14ac:dyDescent="0.35">
      <c r="A34" s="56" t="s">
        <v>102</v>
      </c>
      <c r="B34" s="58">
        <v>9700</v>
      </c>
      <c r="C34" s="58" t="s">
        <v>29</v>
      </c>
      <c r="D34" s="58">
        <v>45</v>
      </c>
      <c r="E34" s="58">
        <v>0</v>
      </c>
      <c r="F34" s="58">
        <v>0</v>
      </c>
      <c r="G34" s="58">
        <v>0</v>
      </c>
      <c r="H34" s="58">
        <v>0</v>
      </c>
      <c r="I34" s="58">
        <v>0</v>
      </c>
      <c r="J34" s="58">
        <v>0</v>
      </c>
      <c r="K34" s="58">
        <v>0</v>
      </c>
      <c r="L34" s="58">
        <v>825</v>
      </c>
      <c r="M34" s="58">
        <v>0</v>
      </c>
      <c r="N34" s="58">
        <v>15136.95</v>
      </c>
      <c r="O34" s="58">
        <v>0</v>
      </c>
      <c r="P34" s="58">
        <v>0</v>
      </c>
      <c r="Q34" s="58">
        <v>0</v>
      </c>
      <c r="R34" s="58">
        <v>0</v>
      </c>
      <c r="S34" s="58">
        <v>0</v>
      </c>
      <c r="T34" s="58">
        <v>0</v>
      </c>
      <c r="U34" s="58">
        <v>0</v>
      </c>
      <c r="V34" s="58">
        <v>0</v>
      </c>
      <c r="W34" s="58">
        <v>0</v>
      </c>
      <c r="X34" s="58">
        <v>0</v>
      </c>
      <c r="Y34" s="58">
        <v>0</v>
      </c>
      <c r="Z34" s="58">
        <v>0</v>
      </c>
      <c r="AA34" s="58">
        <v>0</v>
      </c>
      <c r="AD34" s="18" t="str">
        <f t="array" ref="AD34">IFERROR(INDEX($A$1:$A$2000, MATCH(0, IF($AD$1*1=$C$1:$C$2090*1, COUNTIF($AD$1:$AD33, $A$1:$A$2000), ""), 0)),"")</f>
        <v>546</v>
      </c>
      <c r="AE34" s="57">
        <f t="shared" si="1"/>
        <v>14200</v>
      </c>
      <c r="AF34" s="18">
        <f t="shared" si="2"/>
        <v>0</v>
      </c>
      <c r="AG34" s="18">
        <f t="shared" si="3"/>
        <v>0</v>
      </c>
      <c r="AH34" s="18">
        <f t="shared" si="4"/>
        <v>0</v>
      </c>
      <c r="AI34" s="18">
        <f t="shared" si="5"/>
        <v>0</v>
      </c>
      <c r="AJ34" s="18">
        <f t="shared" si="6"/>
        <v>0</v>
      </c>
      <c r="AK34" s="18">
        <f t="shared" si="7"/>
        <v>0</v>
      </c>
      <c r="AL34" s="18">
        <f t="shared" si="8"/>
        <v>0</v>
      </c>
      <c r="AM34" s="18">
        <f t="shared" si="9"/>
        <v>0</v>
      </c>
    </row>
    <row r="35" spans="1:39" x14ac:dyDescent="0.35">
      <c r="A35" s="56" t="s">
        <v>103</v>
      </c>
      <c r="B35" s="58">
        <v>9900</v>
      </c>
      <c r="C35" s="58" t="s">
        <v>28</v>
      </c>
      <c r="D35" s="58">
        <v>1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5325</v>
      </c>
      <c r="M35" s="58">
        <v>0</v>
      </c>
      <c r="N35" s="58">
        <v>15136.95</v>
      </c>
      <c r="O35" s="58">
        <v>0</v>
      </c>
      <c r="P35" s="58">
        <v>0</v>
      </c>
      <c r="Q35" s="58">
        <v>0</v>
      </c>
      <c r="R35" s="58">
        <v>0</v>
      </c>
      <c r="S35" s="58">
        <v>0</v>
      </c>
      <c r="T35" s="58">
        <v>0</v>
      </c>
      <c r="U35" s="58">
        <v>0</v>
      </c>
      <c r="V35" s="58">
        <v>0</v>
      </c>
      <c r="W35" s="58">
        <v>0</v>
      </c>
      <c r="X35" s="58">
        <v>0</v>
      </c>
      <c r="Y35" s="58">
        <v>0</v>
      </c>
      <c r="Z35" s="58">
        <v>0</v>
      </c>
      <c r="AA35" s="58">
        <v>0</v>
      </c>
      <c r="AD35" s="18" t="str">
        <f t="array" ref="AD35">IFERROR(INDEX($A$1:$A$2000, MATCH(0, IF($AD$1*1=$C$1:$C$2090*1, COUNTIF($AD$1:$AD34, $A$1:$A$2000), ""), 0)),"")</f>
        <v>563</v>
      </c>
      <c r="AE35" s="57">
        <f t="shared" si="1"/>
        <v>14250</v>
      </c>
      <c r="AF35" s="18">
        <f t="shared" si="2"/>
        <v>0</v>
      </c>
      <c r="AG35" s="18">
        <f t="shared" si="3"/>
        <v>0</v>
      </c>
      <c r="AH35" s="18">
        <f t="shared" si="4"/>
        <v>0</v>
      </c>
      <c r="AI35" s="18">
        <f t="shared" si="5"/>
        <v>0</v>
      </c>
      <c r="AJ35" s="18">
        <f t="shared" si="6"/>
        <v>0</v>
      </c>
      <c r="AK35" s="18">
        <f t="shared" si="7"/>
        <v>0</v>
      </c>
      <c r="AL35" s="18">
        <f t="shared" si="8"/>
        <v>0</v>
      </c>
      <c r="AM35" s="18">
        <f t="shared" si="9"/>
        <v>0</v>
      </c>
    </row>
    <row r="36" spans="1:39" x14ac:dyDescent="0.35">
      <c r="A36" s="56" t="s">
        <v>104</v>
      </c>
      <c r="B36" s="58">
        <v>9900</v>
      </c>
      <c r="C36" s="58" t="s">
        <v>30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5250</v>
      </c>
      <c r="M36" s="58">
        <v>0</v>
      </c>
      <c r="N36" s="58">
        <v>15136.95</v>
      </c>
      <c r="O36" s="58">
        <v>0</v>
      </c>
      <c r="P36" s="58">
        <v>0</v>
      </c>
      <c r="Q36" s="58">
        <v>0</v>
      </c>
      <c r="R36" s="58">
        <v>0</v>
      </c>
      <c r="S36" s="58">
        <v>0</v>
      </c>
      <c r="T36" s="58">
        <v>0</v>
      </c>
      <c r="U36" s="58">
        <v>0</v>
      </c>
      <c r="V36" s="58">
        <v>0</v>
      </c>
      <c r="W36" s="58">
        <v>0</v>
      </c>
      <c r="X36" s="58">
        <v>0</v>
      </c>
      <c r="Y36" s="58">
        <v>0</v>
      </c>
      <c r="Z36" s="58">
        <v>0</v>
      </c>
      <c r="AA36" s="58">
        <v>0</v>
      </c>
      <c r="AD36" s="18" t="str">
        <f t="array" ref="AD36">IFERROR(INDEX($A$1:$A$2000, MATCH(0, IF($AD$1*1=$C$1:$C$2090*1, COUNTIF($AD$1:$AD35, $A$1:$A$2000), ""), 0)),"")</f>
        <v>569</v>
      </c>
      <c r="AE36" s="57">
        <f t="shared" si="1"/>
        <v>14300</v>
      </c>
      <c r="AF36" s="18">
        <f t="shared" si="2"/>
        <v>0</v>
      </c>
      <c r="AG36" s="18">
        <f t="shared" si="3"/>
        <v>0</v>
      </c>
      <c r="AH36" s="18">
        <f t="shared" si="4"/>
        <v>0</v>
      </c>
      <c r="AI36" s="18">
        <f t="shared" si="5"/>
        <v>0</v>
      </c>
      <c r="AJ36" s="18">
        <f t="shared" si="6"/>
        <v>0</v>
      </c>
      <c r="AK36" s="18">
        <f t="shared" si="7"/>
        <v>0</v>
      </c>
      <c r="AL36" s="18">
        <f t="shared" si="8"/>
        <v>0</v>
      </c>
      <c r="AM36" s="18">
        <f t="shared" si="9"/>
        <v>0</v>
      </c>
    </row>
    <row r="37" spans="1:39" x14ac:dyDescent="0.35">
      <c r="A37" s="56" t="s">
        <v>105</v>
      </c>
      <c r="B37" s="58">
        <v>10000</v>
      </c>
      <c r="C37" s="58" t="s">
        <v>32</v>
      </c>
      <c r="D37" s="58">
        <v>1358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4725</v>
      </c>
      <c r="M37" s="58">
        <v>0</v>
      </c>
      <c r="N37" s="58">
        <v>15136.95</v>
      </c>
      <c r="O37" s="58">
        <v>0</v>
      </c>
      <c r="P37" s="58">
        <v>0</v>
      </c>
      <c r="Q37" s="58">
        <v>0</v>
      </c>
      <c r="R37" s="58">
        <v>0</v>
      </c>
      <c r="S37" s="58">
        <v>0</v>
      </c>
      <c r="T37" s="58">
        <v>0</v>
      </c>
      <c r="U37" s="58">
        <v>0</v>
      </c>
      <c r="V37" s="58">
        <v>0</v>
      </c>
      <c r="W37" s="58">
        <v>0</v>
      </c>
      <c r="X37" s="58">
        <v>0</v>
      </c>
      <c r="Y37" s="58">
        <v>0</v>
      </c>
      <c r="Z37" s="58">
        <v>0</v>
      </c>
      <c r="AA37" s="58">
        <v>0</v>
      </c>
      <c r="AD37" s="18" t="str">
        <f t="array" ref="AD37">IFERROR(INDEX($A$1:$A$2000, MATCH(0, IF($AD$1*1=$C$1:$C$2090*1, COUNTIF($AD$1:$AD36, $A$1:$A$2000), ""), 0)),"")</f>
        <v>577</v>
      </c>
      <c r="AE37" s="57">
        <f t="shared" si="1"/>
        <v>14350</v>
      </c>
      <c r="AF37" s="18">
        <f t="shared" si="2"/>
        <v>0</v>
      </c>
      <c r="AG37" s="18">
        <f t="shared" si="3"/>
        <v>0</v>
      </c>
      <c r="AH37" s="18">
        <f t="shared" si="4"/>
        <v>0</v>
      </c>
      <c r="AI37" s="18">
        <f t="shared" si="5"/>
        <v>0</v>
      </c>
      <c r="AJ37" s="18">
        <f t="shared" si="6"/>
        <v>0</v>
      </c>
      <c r="AK37" s="18">
        <f t="shared" si="7"/>
        <v>0</v>
      </c>
      <c r="AL37" s="18">
        <f t="shared" si="8"/>
        <v>0</v>
      </c>
      <c r="AM37" s="18">
        <f t="shared" si="9"/>
        <v>0</v>
      </c>
    </row>
    <row r="38" spans="1:39" x14ac:dyDescent="0.35">
      <c r="A38" s="56" t="s">
        <v>106</v>
      </c>
      <c r="B38" s="58">
        <v>10000</v>
      </c>
      <c r="C38" s="58" t="s">
        <v>26</v>
      </c>
      <c r="D38" s="58">
        <v>4236</v>
      </c>
      <c r="E38" s="58">
        <v>12</v>
      </c>
      <c r="F38" s="58">
        <v>0.28409090909090912</v>
      </c>
      <c r="G38" s="58">
        <v>60</v>
      </c>
      <c r="H38" s="58">
        <v>53.9</v>
      </c>
      <c r="I38" s="58">
        <v>7.4</v>
      </c>
      <c r="J38" s="58">
        <v>-0.59999999999999964</v>
      </c>
      <c r="K38" s="58">
        <v>-7.4999999999999956</v>
      </c>
      <c r="L38" s="58">
        <v>13125</v>
      </c>
      <c r="M38" s="58">
        <v>9300</v>
      </c>
      <c r="N38" s="58">
        <v>15136.95</v>
      </c>
      <c r="O38" s="58">
        <v>10000</v>
      </c>
      <c r="P38" s="58" t="s">
        <v>26</v>
      </c>
      <c r="Q38" s="58">
        <v>626</v>
      </c>
      <c r="R38" s="58">
        <v>0</v>
      </c>
      <c r="S38" s="58">
        <v>0</v>
      </c>
      <c r="T38" s="58">
        <v>2</v>
      </c>
      <c r="U38" s="58">
        <v>0</v>
      </c>
      <c r="V38" s="58">
        <v>5170</v>
      </c>
      <c r="W38" s="58">
        <v>118.05000000000018</v>
      </c>
      <c r="X38" s="58">
        <v>2.3367214639891563</v>
      </c>
      <c r="Y38" s="58">
        <v>10950</v>
      </c>
      <c r="Z38" s="58">
        <v>10350</v>
      </c>
      <c r="AA38" s="58">
        <v>15136.95</v>
      </c>
      <c r="AD38" s="18" t="str">
        <f t="array" ref="AD38">IFERROR(INDEX($A$1:$A$2000, MATCH(0, IF($AD$1*1=$C$1:$C$2090*1, COUNTIF($AD$1:$AD37, $A$1:$A$2000), ""), 0)),"")</f>
        <v>587</v>
      </c>
      <c r="AE38" s="57">
        <f t="shared" si="1"/>
        <v>14400</v>
      </c>
      <c r="AF38" s="18">
        <f t="shared" si="2"/>
        <v>0</v>
      </c>
      <c r="AG38" s="18">
        <f t="shared" si="3"/>
        <v>0</v>
      </c>
      <c r="AH38" s="18">
        <f t="shared" si="4"/>
        <v>0</v>
      </c>
      <c r="AI38" s="18">
        <f t="shared" si="5"/>
        <v>0</v>
      </c>
      <c r="AJ38" s="18">
        <f t="shared" si="6"/>
        <v>85.45</v>
      </c>
      <c r="AK38" s="18">
        <f t="shared" si="7"/>
        <v>2</v>
      </c>
      <c r="AL38" s="18">
        <f t="shared" si="8"/>
        <v>2</v>
      </c>
      <c r="AM38" s="18">
        <f t="shared" si="9"/>
        <v>3</v>
      </c>
    </row>
    <row r="39" spans="1:39" x14ac:dyDescent="0.35">
      <c r="A39" s="56" t="s">
        <v>107</v>
      </c>
      <c r="B39" s="58">
        <v>10000</v>
      </c>
      <c r="C39" s="58" t="s">
        <v>27</v>
      </c>
      <c r="D39" s="58">
        <v>147</v>
      </c>
      <c r="E39" s="58">
        <v>0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12975</v>
      </c>
      <c r="M39" s="58">
        <v>0</v>
      </c>
      <c r="N39" s="58">
        <v>15136.95</v>
      </c>
      <c r="O39" s="58">
        <v>10000</v>
      </c>
      <c r="P39" s="58" t="s">
        <v>27</v>
      </c>
      <c r="Q39" s="58">
        <v>1</v>
      </c>
      <c r="R39" s="58">
        <v>0</v>
      </c>
      <c r="S39" s="58">
        <v>0</v>
      </c>
      <c r="T39" s="58">
        <v>0</v>
      </c>
      <c r="U39" s="58">
        <v>0</v>
      </c>
      <c r="V39" s="58">
        <v>0</v>
      </c>
      <c r="W39" s="58">
        <v>0</v>
      </c>
      <c r="X39" s="58">
        <v>0</v>
      </c>
      <c r="Y39" s="58">
        <v>2100</v>
      </c>
      <c r="Z39" s="58">
        <v>0</v>
      </c>
      <c r="AA39" s="58">
        <v>15136.95</v>
      </c>
      <c r="AD39" s="18" t="str">
        <f t="array" ref="AD39">IFERROR(INDEX($A$1:$A$2000, MATCH(0, IF($AD$1*1=$C$1:$C$2090*1, COUNTIF($AD$1:$AD38, $A$1:$A$2000), ""), 0)),"")</f>
        <v>597</v>
      </c>
      <c r="AE39" s="57">
        <f t="shared" si="1"/>
        <v>14450</v>
      </c>
      <c r="AF39" s="18">
        <f t="shared" si="2"/>
        <v>0</v>
      </c>
      <c r="AG39" s="18">
        <f t="shared" si="3"/>
        <v>0</v>
      </c>
      <c r="AH39" s="18">
        <f t="shared" si="4"/>
        <v>0</v>
      </c>
      <c r="AI39" s="18">
        <f t="shared" si="5"/>
        <v>0</v>
      </c>
      <c r="AJ39" s="18">
        <f t="shared" si="6"/>
        <v>0</v>
      </c>
      <c r="AK39" s="18">
        <f t="shared" si="7"/>
        <v>0</v>
      </c>
      <c r="AL39" s="18">
        <f t="shared" si="8"/>
        <v>0</v>
      </c>
      <c r="AM39" s="18">
        <f t="shared" si="9"/>
        <v>0</v>
      </c>
    </row>
    <row r="40" spans="1:39" x14ac:dyDescent="0.35">
      <c r="A40" s="56" t="s">
        <v>108</v>
      </c>
      <c r="B40" s="58">
        <v>10000</v>
      </c>
      <c r="C40" s="58" t="s">
        <v>29</v>
      </c>
      <c r="D40" s="58">
        <v>2249</v>
      </c>
      <c r="E40" s="58">
        <v>0</v>
      </c>
      <c r="F40" s="58">
        <v>0</v>
      </c>
      <c r="G40" s="58">
        <v>4</v>
      </c>
      <c r="H40" s="58">
        <v>34.270000000000003</v>
      </c>
      <c r="I40" s="58">
        <v>95</v>
      </c>
      <c r="J40" s="58">
        <v>6.0499999999999972</v>
      </c>
      <c r="K40" s="58">
        <v>6.8015739179314192</v>
      </c>
      <c r="L40" s="58">
        <v>6525</v>
      </c>
      <c r="M40" s="58">
        <v>5325</v>
      </c>
      <c r="N40" s="58">
        <v>15136.95</v>
      </c>
      <c r="O40" s="58">
        <v>10000</v>
      </c>
      <c r="P40" s="58" t="s">
        <v>29</v>
      </c>
      <c r="Q40" s="58">
        <v>20</v>
      </c>
      <c r="R40" s="58">
        <v>0</v>
      </c>
      <c r="S40" s="58">
        <v>0</v>
      </c>
      <c r="T40" s="58">
        <v>0</v>
      </c>
      <c r="U40" s="58">
        <v>0</v>
      </c>
      <c r="V40" s="58">
        <v>0</v>
      </c>
      <c r="W40" s="58">
        <v>0</v>
      </c>
      <c r="X40" s="58">
        <v>0</v>
      </c>
      <c r="Y40" s="58">
        <v>1500</v>
      </c>
      <c r="Z40" s="58">
        <v>0</v>
      </c>
      <c r="AA40" s="58">
        <v>15136.95</v>
      </c>
      <c r="AD40" s="18" t="str">
        <f t="array" ref="AD40">IFERROR(INDEX($A$1:$A$2000, MATCH(0, IF($AD$1*1=$C$1:$C$2090*1, COUNTIF($AD$1:$AD39, $A$1:$A$2000), ""), 0)),"")</f>
        <v>608</v>
      </c>
      <c r="AE40" s="57">
        <f t="shared" si="1"/>
        <v>14500</v>
      </c>
      <c r="AF40" s="18">
        <f t="shared" si="2"/>
        <v>0</v>
      </c>
      <c r="AG40" s="18">
        <f t="shared" si="3"/>
        <v>0</v>
      </c>
      <c r="AH40" s="18">
        <f t="shared" si="4"/>
        <v>2</v>
      </c>
      <c r="AI40" s="18">
        <f t="shared" si="5"/>
        <v>0</v>
      </c>
      <c r="AJ40" s="18">
        <f t="shared" si="6"/>
        <v>107</v>
      </c>
      <c r="AK40" s="18">
        <f t="shared" si="7"/>
        <v>1</v>
      </c>
      <c r="AL40" s="18">
        <f t="shared" si="8"/>
        <v>93</v>
      </c>
      <c r="AM40" s="18">
        <f t="shared" si="9"/>
        <v>31</v>
      </c>
    </row>
    <row r="41" spans="1:39" x14ac:dyDescent="0.35">
      <c r="A41" s="56" t="s">
        <v>109</v>
      </c>
      <c r="B41" s="58">
        <v>10000</v>
      </c>
      <c r="C41" s="58" t="s">
        <v>30</v>
      </c>
      <c r="D41" s="58">
        <v>517</v>
      </c>
      <c r="E41" s="58">
        <v>0</v>
      </c>
      <c r="F41" s="58">
        <v>0</v>
      </c>
      <c r="G41" s="58">
        <v>0</v>
      </c>
      <c r="H41" s="58">
        <v>0</v>
      </c>
      <c r="I41" s="58">
        <v>0</v>
      </c>
      <c r="J41" s="58">
        <v>0</v>
      </c>
      <c r="K41" s="58">
        <v>0</v>
      </c>
      <c r="L41" s="58">
        <v>5250</v>
      </c>
      <c r="M41" s="58">
        <v>0</v>
      </c>
      <c r="N41" s="58">
        <v>15136.95</v>
      </c>
      <c r="O41" s="58">
        <v>0</v>
      </c>
      <c r="P41" s="58">
        <v>0</v>
      </c>
      <c r="Q41" s="58">
        <v>0</v>
      </c>
      <c r="R41" s="58">
        <v>0</v>
      </c>
      <c r="S41" s="58">
        <v>0</v>
      </c>
      <c r="T41" s="58">
        <v>0</v>
      </c>
      <c r="U41" s="58">
        <v>0</v>
      </c>
      <c r="V41" s="58">
        <v>0</v>
      </c>
      <c r="W41" s="58">
        <v>0</v>
      </c>
      <c r="X41" s="58">
        <v>0</v>
      </c>
      <c r="Y41" s="58">
        <v>0</v>
      </c>
      <c r="Z41" s="58">
        <v>0</v>
      </c>
      <c r="AA41" s="58">
        <v>0</v>
      </c>
      <c r="AD41" s="18" t="str">
        <f t="array" ref="AD41">IFERROR(INDEX($A$1:$A$2000, MATCH(0, IF($AD$1*1=$C$1:$C$2090*1, COUNTIF($AD$1:$AD40, $A$1:$A$2000), ""), 0)),"")</f>
        <v>621</v>
      </c>
      <c r="AE41" s="57">
        <f t="shared" si="1"/>
        <v>14550</v>
      </c>
      <c r="AF41" s="18">
        <f t="shared" si="2"/>
        <v>0</v>
      </c>
      <c r="AG41" s="18">
        <f t="shared" si="3"/>
        <v>0</v>
      </c>
      <c r="AH41" s="18">
        <f t="shared" si="4"/>
        <v>0</v>
      </c>
      <c r="AI41" s="18">
        <f t="shared" si="5"/>
        <v>0</v>
      </c>
      <c r="AJ41" s="18">
        <f t="shared" si="6"/>
        <v>0</v>
      </c>
      <c r="AK41" s="18">
        <f t="shared" si="7"/>
        <v>0</v>
      </c>
      <c r="AL41" s="18">
        <f t="shared" si="8"/>
        <v>0</v>
      </c>
      <c r="AM41" s="18">
        <f t="shared" si="9"/>
        <v>0</v>
      </c>
    </row>
    <row r="42" spans="1:39" x14ac:dyDescent="0.35">
      <c r="A42" s="56" t="s">
        <v>110</v>
      </c>
      <c r="B42" s="58">
        <v>10000</v>
      </c>
      <c r="C42" s="58" t="s">
        <v>28</v>
      </c>
      <c r="D42" s="58">
        <v>2987</v>
      </c>
      <c r="E42" s="58">
        <v>0</v>
      </c>
      <c r="F42" s="58">
        <v>0</v>
      </c>
      <c r="G42" s="58">
        <v>2</v>
      </c>
      <c r="H42" s="58">
        <v>31.46</v>
      </c>
      <c r="I42" s="58">
        <v>175</v>
      </c>
      <c r="J42" s="58">
        <v>14.75</v>
      </c>
      <c r="K42" s="58">
        <v>9.2043681747269872</v>
      </c>
      <c r="L42" s="58">
        <v>5550</v>
      </c>
      <c r="M42" s="58">
        <v>2100</v>
      </c>
      <c r="N42" s="58">
        <v>15136.95</v>
      </c>
      <c r="O42" s="58">
        <v>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0</v>
      </c>
      <c r="Z42" s="58">
        <v>0</v>
      </c>
      <c r="AA42" s="58">
        <v>0</v>
      </c>
      <c r="AD42" s="18" t="str">
        <f t="array" ref="AD42">IFERROR(INDEX($A$1:$A$2000, MATCH(0, IF($AD$1*1=$C$1:$C$2090*1, COUNTIF($AD$1:$AD41, $A$1:$A$2000), ""), 0)),"")</f>
        <v>638</v>
      </c>
      <c r="AE42" s="57">
        <f t="shared" si="1"/>
        <v>14600</v>
      </c>
      <c r="AF42" s="18">
        <f t="shared" si="2"/>
        <v>0</v>
      </c>
      <c r="AG42" s="18">
        <f t="shared" si="3"/>
        <v>0</v>
      </c>
      <c r="AH42" s="18">
        <f t="shared" si="4"/>
        <v>0</v>
      </c>
      <c r="AI42" s="18">
        <f t="shared" si="5"/>
        <v>0</v>
      </c>
      <c r="AJ42" s="18">
        <f t="shared" si="6"/>
        <v>0</v>
      </c>
      <c r="AK42" s="18">
        <f t="shared" si="7"/>
        <v>0</v>
      </c>
      <c r="AL42" s="18">
        <f t="shared" si="8"/>
        <v>1</v>
      </c>
      <c r="AM42" s="18">
        <f t="shared" si="9"/>
        <v>0</v>
      </c>
    </row>
    <row r="43" spans="1:39" x14ac:dyDescent="0.35">
      <c r="A43" s="56" t="s">
        <v>111</v>
      </c>
      <c r="B43" s="58">
        <v>10100</v>
      </c>
      <c r="C43" s="58" t="s">
        <v>29</v>
      </c>
      <c r="D43" s="58">
        <v>11</v>
      </c>
      <c r="E43" s="58">
        <v>0</v>
      </c>
      <c r="F43" s="58">
        <v>0</v>
      </c>
      <c r="G43" s="58">
        <v>0</v>
      </c>
      <c r="H43" s="58">
        <v>0</v>
      </c>
      <c r="I43" s="58">
        <v>0</v>
      </c>
      <c r="J43" s="58">
        <v>0</v>
      </c>
      <c r="K43" s="58">
        <v>0</v>
      </c>
      <c r="L43" s="58">
        <v>5250</v>
      </c>
      <c r="M43" s="58">
        <v>0</v>
      </c>
      <c r="N43" s="58">
        <v>15136.95</v>
      </c>
      <c r="O43" s="58">
        <v>0</v>
      </c>
      <c r="P43" s="58">
        <v>0</v>
      </c>
      <c r="Q43" s="58">
        <v>0</v>
      </c>
      <c r="R43" s="58">
        <v>0</v>
      </c>
      <c r="S43" s="58">
        <v>0</v>
      </c>
      <c r="T43" s="58">
        <v>0</v>
      </c>
      <c r="U43" s="58">
        <v>0</v>
      </c>
      <c r="V43" s="58">
        <v>0</v>
      </c>
      <c r="W43" s="58">
        <v>0</v>
      </c>
      <c r="X43" s="58">
        <v>0</v>
      </c>
      <c r="Y43" s="58">
        <v>0</v>
      </c>
      <c r="Z43" s="58">
        <v>0</v>
      </c>
      <c r="AA43" s="58">
        <v>0</v>
      </c>
      <c r="AD43" s="18" t="str">
        <f t="array" ref="AD43">IFERROR(INDEX($A$1:$A$2000, MATCH(0, IF($AD$1*1=$C$1:$C$2090*1, COUNTIF($AD$1:$AD42, $A$1:$A$2000), ""), 0)),"")</f>
        <v>640</v>
      </c>
      <c r="AE43" s="57">
        <f t="shared" si="1"/>
        <v>14650</v>
      </c>
      <c r="AF43" s="18">
        <f t="shared" si="2"/>
        <v>0</v>
      </c>
      <c r="AG43" s="18">
        <f t="shared" si="3"/>
        <v>0</v>
      </c>
      <c r="AH43" s="18">
        <f t="shared" si="4"/>
        <v>0</v>
      </c>
      <c r="AI43" s="18">
        <f t="shared" si="5"/>
        <v>0</v>
      </c>
      <c r="AJ43" s="18">
        <f t="shared" si="6"/>
        <v>0</v>
      </c>
      <c r="AK43" s="18">
        <f t="shared" si="7"/>
        <v>0</v>
      </c>
      <c r="AL43" s="18">
        <f t="shared" si="8"/>
        <v>0</v>
      </c>
      <c r="AM43" s="18">
        <f t="shared" si="9"/>
        <v>0</v>
      </c>
    </row>
    <row r="44" spans="1:39" x14ac:dyDescent="0.35">
      <c r="A44" s="56" t="s">
        <v>112</v>
      </c>
      <c r="B44" s="58">
        <v>10100</v>
      </c>
      <c r="C44" s="58" t="s">
        <v>27</v>
      </c>
      <c r="D44" s="58">
        <v>6</v>
      </c>
      <c r="E44" s="58">
        <v>0</v>
      </c>
      <c r="F44" s="58">
        <v>0</v>
      </c>
      <c r="G44" s="58">
        <v>0</v>
      </c>
      <c r="H44" s="58">
        <v>0</v>
      </c>
      <c r="I44" s="58">
        <v>0</v>
      </c>
      <c r="J44" s="58">
        <v>0</v>
      </c>
      <c r="K44" s="58">
        <v>0</v>
      </c>
      <c r="L44" s="58">
        <v>5325</v>
      </c>
      <c r="M44" s="58">
        <v>0</v>
      </c>
      <c r="N44" s="58">
        <v>15136.95</v>
      </c>
      <c r="O44" s="58">
        <v>10100</v>
      </c>
      <c r="P44" s="58" t="s">
        <v>27</v>
      </c>
      <c r="Q44" s="58">
        <v>0</v>
      </c>
      <c r="R44" s="58">
        <v>0</v>
      </c>
      <c r="S44" s="58">
        <v>0</v>
      </c>
      <c r="T44" s="58">
        <v>0</v>
      </c>
      <c r="U44" s="58">
        <v>0</v>
      </c>
      <c r="V44" s="58">
        <v>0</v>
      </c>
      <c r="W44" s="58">
        <v>0</v>
      </c>
      <c r="X44" s="58">
        <v>0</v>
      </c>
      <c r="Y44" s="58">
        <v>0</v>
      </c>
      <c r="Z44" s="58">
        <v>450</v>
      </c>
      <c r="AA44" s="58">
        <v>15136.95</v>
      </c>
      <c r="AD44" s="18" t="str">
        <f t="array" ref="AD44">IFERROR(INDEX($A$1:$A$2000, MATCH(0, IF($AD$1*1=$C$1:$C$2090*1, COUNTIF($AD$1:$AD43, $A$1:$A$2000), ""), 0)),"")</f>
        <v>649</v>
      </c>
      <c r="AE44" s="57">
        <f t="shared" si="1"/>
        <v>14700</v>
      </c>
      <c r="AF44" s="18">
        <f t="shared" si="2"/>
        <v>0</v>
      </c>
      <c r="AG44" s="18">
        <f t="shared" si="3"/>
        <v>0</v>
      </c>
      <c r="AH44" s="18">
        <f t="shared" si="4"/>
        <v>0</v>
      </c>
      <c r="AI44" s="18">
        <f t="shared" si="5"/>
        <v>0</v>
      </c>
      <c r="AJ44" s="18">
        <f t="shared" si="6"/>
        <v>0</v>
      </c>
      <c r="AK44" s="18">
        <f t="shared" si="7"/>
        <v>0</v>
      </c>
      <c r="AL44" s="18">
        <f t="shared" si="8"/>
        <v>0</v>
      </c>
      <c r="AM44" s="18">
        <f t="shared" si="9"/>
        <v>0</v>
      </c>
    </row>
    <row r="45" spans="1:39" x14ac:dyDescent="0.35">
      <c r="A45" s="56" t="s">
        <v>113</v>
      </c>
      <c r="B45" s="58">
        <v>10200</v>
      </c>
      <c r="C45" s="58" t="s">
        <v>29</v>
      </c>
      <c r="D45" s="58">
        <v>3</v>
      </c>
      <c r="E45" s="58">
        <v>0</v>
      </c>
      <c r="F45" s="58">
        <v>0</v>
      </c>
      <c r="G45" s="58">
        <v>0</v>
      </c>
      <c r="H45" s="58">
        <v>0</v>
      </c>
      <c r="I45" s="58">
        <v>0</v>
      </c>
      <c r="J45" s="58">
        <v>0</v>
      </c>
      <c r="K45" s="58">
        <v>0</v>
      </c>
      <c r="L45" s="58">
        <v>5250</v>
      </c>
      <c r="M45" s="58">
        <v>0</v>
      </c>
      <c r="N45" s="58">
        <v>15136.95</v>
      </c>
      <c r="O45" s="58">
        <v>0</v>
      </c>
      <c r="P45" s="58">
        <v>0</v>
      </c>
      <c r="Q45" s="58">
        <v>0</v>
      </c>
      <c r="R45" s="58">
        <v>0</v>
      </c>
      <c r="S45" s="58">
        <v>0</v>
      </c>
      <c r="T45" s="58">
        <v>0</v>
      </c>
      <c r="U45" s="58">
        <v>0</v>
      </c>
      <c r="V45" s="58">
        <v>0</v>
      </c>
      <c r="W45" s="58">
        <v>0</v>
      </c>
      <c r="X45" s="58">
        <v>0</v>
      </c>
      <c r="Y45" s="58">
        <v>0</v>
      </c>
      <c r="Z45" s="58">
        <v>0</v>
      </c>
      <c r="AA45" s="58">
        <v>0</v>
      </c>
      <c r="AD45" s="18" t="str">
        <f t="array" ref="AD45">IFERROR(INDEX($A$1:$A$2000, MATCH(0, IF($AD$1*1=$C$1:$C$2090*1, COUNTIF($AD$1:$AD44, $A$1:$A$2000), ""), 0)),"")</f>
        <v>668</v>
      </c>
      <c r="AE45" s="57">
        <f t="shared" si="1"/>
        <v>14750</v>
      </c>
      <c r="AF45" s="18">
        <f t="shared" si="2"/>
        <v>0</v>
      </c>
      <c r="AG45" s="18">
        <f t="shared" si="3"/>
        <v>0</v>
      </c>
      <c r="AH45" s="18">
        <f t="shared" si="4"/>
        <v>1</v>
      </c>
      <c r="AI45" s="18">
        <f t="shared" si="5"/>
        <v>0</v>
      </c>
      <c r="AJ45" s="18">
        <f t="shared" si="6"/>
        <v>0</v>
      </c>
      <c r="AK45" s="18">
        <f t="shared" si="7"/>
        <v>0</v>
      </c>
      <c r="AL45" s="18">
        <f t="shared" si="8"/>
        <v>0</v>
      </c>
      <c r="AM45" s="18">
        <f t="shared" si="9"/>
        <v>0</v>
      </c>
    </row>
    <row r="46" spans="1:39" x14ac:dyDescent="0.35">
      <c r="A46" s="56" t="s">
        <v>114</v>
      </c>
      <c r="B46" s="58">
        <v>10200</v>
      </c>
      <c r="C46" s="58" t="s">
        <v>27</v>
      </c>
      <c r="D46" s="58">
        <v>1065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15000</v>
      </c>
      <c r="M46" s="58">
        <v>0</v>
      </c>
      <c r="N46" s="58">
        <v>15136.95</v>
      </c>
      <c r="O46" s="58">
        <v>0</v>
      </c>
      <c r="P46" s="58">
        <v>0</v>
      </c>
      <c r="Q46" s="58">
        <v>0</v>
      </c>
      <c r="R46" s="58">
        <v>0</v>
      </c>
      <c r="S46" s="58">
        <v>0</v>
      </c>
      <c r="T46" s="58">
        <v>0</v>
      </c>
      <c r="U46" s="58">
        <v>0</v>
      </c>
      <c r="V46" s="58">
        <v>0</v>
      </c>
      <c r="W46" s="58">
        <v>0</v>
      </c>
      <c r="X46" s="58">
        <v>0</v>
      </c>
      <c r="Y46" s="58">
        <v>0</v>
      </c>
      <c r="Z46" s="58">
        <v>0</v>
      </c>
      <c r="AA46" s="58">
        <v>0</v>
      </c>
      <c r="AD46" s="18" t="str">
        <f t="array" ref="AD46">IFERROR(INDEX($A$1:$A$2000, MATCH(0, IF($AD$1*1=$C$1:$C$2090*1, COUNTIF($AD$1:$AD45, $A$1:$A$2000), ""), 0)),"")</f>
        <v>670</v>
      </c>
      <c r="AE46" s="57">
        <f t="shared" si="1"/>
        <v>14800</v>
      </c>
      <c r="AF46" s="18">
        <f t="shared" si="2"/>
        <v>0</v>
      </c>
      <c r="AG46" s="18">
        <f t="shared" si="3"/>
        <v>0</v>
      </c>
      <c r="AH46" s="18">
        <f t="shared" si="4"/>
        <v>0</v>
      </c>
      <c r="AI46" s="18">
        <f t="shared" si="5"/>
        <v>0</v>
      </c>
      <c r="AJ46" s="18">
        <f t="shared" si="6"/>
        <v>170</v>
      </c>
      <c r="AK46" s="18">
        <f t="shared" si="7"/>
        <v>0</v>
      </c>
      <c r="AL46" s="18">
        <f t="shared" si="8"/>
        <v>4</v>
      </c>
      <c r="AM46" s="18">
        <f t="shared" si="9"/>
        <v>3</v>
      </c>
    </row>
    <row r="47" spans="1:39" x14ac:dyDescent="0.35">
      <c r="A47" s="56" t="s">
        <v>115</v>
      </c>
      <c r="B47" s="58">
        <v>10300</v>
      </c>
      <c r="C47" s="58" t="s">
        <v>29</v>
      </c>
      <c r="D47" s="58">
        <v>8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5250</v>
      </c>
      <c r="M47" s="58">
        <v>0</v>
      </c>
      <c r="N47" s="58">
        <v>15136.95</v>
      </c>
      <c r="O47" s="58">
        <v>0</v>
      </c>
      <c r="P47" s="58">
        <v>0</v>
      </c>
      <c r="Q47" s="58">
        <v>0</v>
      </c>
      <c r="R47" s="58">
        <v>0</v>
      </c>
      <c r="S47" s="58">
        <v>0</v>
      </c>
      <c r="T47" s="58">
        <v>0</v>
      </c>
      <c r="U47" s="58">
        <v>0</v>
      </c>
      <c r="V47" s="58">
        <v>0</v>
      </c>
      <c r="W47" s="58">
        <v>0</v>
      </c>
      <c r="X47" s="58">
        <v>0</v>
      </c>
      <c r="Y47" s="58">
        <v>0</v>
      </c>
      <c r="Z47" s="58">
        <v>0</v>
      </c>
      <c r="AA47" s="58">
        <v>0</v>
      </c>
      <c r="AD47" s="18" t="str">
        <f t="array" ref="AD47">IFERROR(INDEX($A$1:$A$2000, MATCH(0, IF($AD$1*1=$C$1:$C$2090*1, COUNTIF($AD$1:$AD46, $A$1:$A$2000), ""), 0)),"")</f>
        <v>688</v>
      </c>
      <c r="AE47" s="57">
        <f t="shared" si="1"/>
        <v>14850</v>
      </c>
      <c r="AF47" s="18">
        <f t="shared" si="2"/>
        <v>0</v>
      </c>
      <c r="AG47" s="18">
        <f t="shared" si="3"/>
        <v>0</v>
      </c>
      <c r="AH47" s="18">
        <f t="shared" si="4"/>
        <v>0</v>
      </c>
      <c r="AI47" s="18">
        <f t="shared" si="5"/>
        <v>0</v>
      </c>
      <c r="AJ47" s="18">
        <f t="shared" si="6"/>
        <v>0</v>
      </c>
      <c r="AK47" s="18">
        <f t="shared" si="7"/>
        <v>0</v>
      </c>
      <c r="AL47" s="18">
        <f t="shared" si="8"/>
        <v>0</v>
      </c>
      <c r="AM47" s="18">
        <f t="shared" si="9"/>
        <v>0</v>
      </c>
    </row>
    <row r="48" spans="1:39" x14ac:dyDescent="0.35">
      <c r="A48" s="56" t="s">
        <v>116</v>
      </c>
      <c r="B48" s="58">
        <v>10300</v>
      </c>
      <c r="C48" s="58" t="s">
        <v>27</v>
      </c>
      <c r="D48" s="58">
        <v>104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10200</v>
      </c>
      <c r="M48" s="58">
        <v>0</v>
      </c>
      <c r="N48" s="58">
        <v>15136.95</v>
      </c>
      <c r="O48" s="58">
        <v>10300</v>
      </c>
      <c r="P48" s="58" t="s">
        <v>27</v>
      </c>
      <c r="Q48" s="58">
        <v>2</v>
      </c>
      <c r="R48" s="58">
        <v>0</v>
      </c>
      <c r="S48" s="58">
        <v>0</v>
      </c>
      <c r="T48" s="58">
        <v>0</v>
      </c>
      <c r="U48" s="58">
        <v>0</v>
      </c>
      <c r="V48" s="58">
        <v>0</v>
      </c>
      <c r="W48" s="58">
        <v>0</v>
      </c>
      <c r="X48" s="58">
        <v>0</v>
      </c>
      <c r="Y48" s="58">
        <v>0</v>
      </c>
      <c r="Z48" s="58">
        <v>525</v>
      </c>
      <c r="AA48" s="58">
        <v>15136.95</v>
      </c>
      <c r="AD48" s="18" t="str">
        <f t="array" ref="AD48">IFERROR(INDEX($A$1:$A$2000, MATCH(0, IF($AD$1*1=$C$1:$C$2090*1, COUNTIF($AD$1:$AD47, $A$1:$A$2000), ""), 0)),"")</f>
        <v>697</v>
      </c>
      <c r="AE48" s="57">
        <f t="shared" si="1"/>
        <v>14900</v>
      </c>
      <c r="AF48" s="18">
        <f t="shared" si="2"/>
        <v>0</v>
      </c>
      <c r="AG48" s="18">
        <f t="shared" si="3"/>
        <v>0</v>
      </c>
      <c r="AH48" s="18">
        <f t="shared" si="4"/>
        <v>2</v>
      </c>
      <c r="AI48" s="18">
        <f t="shared" si="5"/>
        <v>0</v>
      </c>
      <c r="AJ48" s="18">
        <f t="shared" si="6"/>
        <v>193</v>
      </c>
      <c r="AK48" s="18">
        <f t="shared" si="7"/>
        <v>0</v>
      </c>
      <c r="AL48" s="18">
        <f t="shared" si="8"/>
        <v>4</v>
      </c>
      <c r="AM48" s="18">
        <f t="shared" si="9"/>
        <v>4</v>
      </c>
    </row>
    <row r="49" spans="1:39" x14ac:dyDescent="0.35">
      <c r="A49" s="56" t="s">
        <v>117</v>
      </c>
      <c r="B49" s="58">
        <v>10400</v>
      </c>
      <c r="C49" s="58" t="s">
        <v>27</v>
      </c>
      <c r="D49" s="58">
        <v>63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10200</v>
      </c>
      <c r="M49" s="58">
        <v>0</v>
      </c>
      <c r="N49" s="58">
        <v>15136.95</v>
      </c>
      <c r="O49" s="58">
        <v>10400</v>
      </c>
      <c r="P49" s="58" t="s">
        <v>27</v>
      </c>
      <c r="Q49" s="58">
        <v>5</v>
      </c>
      <c r="R49" s="58">
        <v>0</v>
      </c>
      <c r="S49" s="58">
        <v>0</v>
      </c>
      <c r="T49" s="58">
        <v>0</v>
      </c>
      <c r="U49" s="58">
        <v>0</v>
      </c>
      <c r="V49" s="58">
        <v>0</v>
      </c>
      <c r="W49" s="58">
        <v>0</v>
      </c>
      <c r="X49" s="58">
        <v>0</v>
      </c>
      <c r="Y49" s="58">
        <v>0</v>
      </c>
      <c r="Z49" s="58">
        <v>525</v>
      </c>
      <c r="AA49" s="58">
        <v>15136.95</v>
      </c>
      <c r="AD49" s="18" t="str">
        <f t="array" ref="AD49">IFERROR(INDEX($A$1:$A$2000, MATCH(0, IF($AD$1*1=$C$1:$C$2090*1, COUNTIF($AD$1:$AD48, $A$1:$A$2000), ""), 0)),"")</f>
        <v>700</v>
      </c>
      <c r="AE49" s="57">
        <f t="shared" si="1"/>
        <v>14950</v>
      </c>
      <c r="AF49" s="18">
        <f t="shared" si="2"/>
        <v>0</v>
      </c>
      <c r="AG49" s="18">
        <f t="shared" si="3"/>
        <v>0</v>
      </c>
      <c r="AH49" s="18">
        <f t="shared" si="4"/>
        <v>0</v>
      </c>
      <c r="AI49" s="18">
        <f t="shared" si="5"/>
        <v>0</v>
      </c>
      <c r="AJ49" s="18">
        <f t="shared" si="6"/>
        <v>0</v>
      </c>
      <c r="AK49" s="18">
        <f t="shared" si="7"/>
        <v>0</v>
      </c>
      <c r="AL49" s="18">
        <f t="shared" si="8"/>
        <v>9</v>
      </c>
      <c r="AM49" s="18">
        <f t="shared" si="9"/>
        <v>0</v>
      </c>
    </row>
    <row r="50" spans="1:39" x14ac:dyDescent="0.35">
      <c r="A50" s="56" t="s">
        <v>118</v>
      </c>
      <c r="B50" s="58">
        <v>10400</v>
      </c>
      <c r="C50" s="58" t="s">
        <v>29</v>
      </c>
      <c r="D50" s="58">
        <v>39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5250</v>
      </c>
      <c r="M50" s="58">
        <v>0</v>
      </c>
      <c r="N50" s="58">
        <v>15136.95</v>
      </c>
      <c r="O50" s="58">
        <v>0</v>
      </c>
      <c r="P50" s="58">
        <v>0</v>
      </c>
      <c r="Q50" s="58">
        <v>0</v>
      </c>
      <c r="R50" s="58">
        <v>0</v>
      </c>
      <c r="S50" s="58">
        <v>0</v>
      </c>
      <c r="T50" s="58">
        <v>0</v>
      </c>
      <c r="U50" s="58">
        <v>0</v>
      </c>
      <c r="V50" s="58">
        <v>0</v>
      </c>
      <c r="W50" s="58">
        <v>0</v>
      </c>
      <c r="X50" s="58">
        <v>0</v>
      </c>
      <c r="Y50" s="58">
        <v>0</v>
      </c>
      <c r="Z50" s="58">
        <v>0</v>
      </c>
      <c r="AA50" s="58">
        <v>0</v>
      </c>
      <c r="AD50" s="18" t="str">
        <f t="array" ref="AD50">IFERROR(INDEX($A$1:$A$2000, MATCH(0, IF($AD$1*1=$C$1:$C$2090*1, COUNTIF($AD$1:$AD49, $A$1:$A$2000), ""), 0)),"")</f>
        <v>710</v>
      </c>
      <c r="AE50" s="57">
        <f t="shared" si="1"/>
        <v>15000</v>
      </c>
      <c r="AF50" s="18">
        <f t="shared" si="2"/>
        <v>383</v>
      </c>
      <c r="AG50" s="18">
        <f t="shared" si="3"/>
        <v>-2</v>
      </c>
      <c r="AH50" s="18">
        <f t="shared" si="4"/>
        <v>34</v>
      </c>
      <c r="AI50" s="18">
        <f t="shared" si="5"/>
        <v>23</v>
      </c>
      <c r="AJ50" s="18">
        <f t="shared" si="6"/>
        <v>228.3</v>
      </c>
      <c r="AK50" s="18">
        <f t="shared" si="7"/>
        <v>7</v>
      </c>
      <c r="AL50" s="18">
        <f t="shared" si="8"/>
        <v>64</v>
      </c>
      <c r="AM50" s="18">
        <f t="shared" si="9"/>
        <v>22</v>
      </c>
    </row>
    <row r="51" spans="1:39" x14ac:dyDescent="0.35">
      <c r="A51" s="56" t="s">
        <v>119</v>
      </c>
      <c r="B51" s="58">
        <v>10500</v>
      </c>
      <c r="C51" s="58" t="s">
        <v>30</v>
      </c>
      <c r="D51" s="58">
        <v>2114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5325</v>
      </c>
      <c r="M51" s="58">
        <v>0</v>
      </c>
      <c r="N51" s="58">
        <v>15136.95</v>
      </c>
      <c r="O51" s="58">
        <v>0</v>
      </c>
      <c r="P51" s="58">
        <v>0</v>
      </c>
      <c r="Q51" s="58">
        <v>0</v>
      </c>
      <c r="R51" s="58">
        <v>0</v>
      </c>
      <c r="S51" s="58">
        <v>0</v>
      </c>
      <c r="T51" s="58">
        <v>0</v>
      </c>
      <c r="U51" s="58">
        <v>0</v>
      </c>
      <c r="V51" s="58">
        <v>0</v>
      </c>
      <c r="W51" s="58">
        <v>0</v>
      </c>
      <c r="X51" s="58">
        <v>0</v>
      </c>
      <c r="Y51" s="58">
        <v>0</v>
      </c>
      <c r="Z51" s="58">
        <v>0</v>
      </c>
      <c r="AA51" s="58">
        <v>0</v>
      </c>
      <c r="AD51" s="18" t="str">
        <f t="array" ref="AD51">IFERROR(INDEX($A$1:$A$2000, MATCH(0, IF($AD$1*1=$C$1:$C$2090*1, COUNTIF($AD$1:$AD50, $A$1:$A$2000), ""), 0)),"")</f>
        <v>726</v>
      </c>
      <c r="AE51" s="57">
        <f t="shared" si="1"/>
        <v>15050</v>
      </c>
      <c r="AF51" s="18">
        <f t="shared" si="2"/>
        <v>0</v>
      </c>
      <c r="AG51" s="18">
        <f t="shared" si="3"/>
        <v>0</v>
      </c>
      <c r="AH51" s="18">
        <f t="shared" si="4"/>
        <v>2</v>
      </c>
      <c r="AI51" s="18">
        <f t="shared" si="5"/>
        <v>0</v>
      </c>
      <c r="AJ51" s="18">
        <f t="shared" si="6"/>
        <v>0</v>
      </c>
      <c r="AK51" s="18">
        <f t="shared" si="7"/>
        <v>0</v>
      </c>
      <c r="AL51" s="18">
        <f t="shared" si="8"/>
        <v>0</v>
      </c>
      <c r="AM51" s="18">
        <f t="shared" si="9"/>
        <v>0</v>
      </c>
    </row>
    <row r="52" spans="1:39" x14ac:dyDescent="0.35">
      <c r="A52" s="56" t="s">
        <v>120</v>
      </c>
      <c r="B52" s="58">
        <v>10500</v>
      </c>
      <c r="C52" s="58" t="s">
        <v>28</v>
      </c>
      <c r="D52" s="58">
        <v>4239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5475</v>
      </c>
      <c r="M52" s="58">
        <v>0</v>
      </c>
      <c r="N52" s="58">
        <v>15136.95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0</v>
      </c>
      <c r="AD52" s="18" t="str">
        <f t="array" ref="AD52">IFERROR(INDEX($A$1:$A$2000, MATCH(0, IF($AD$1*1=$C$1:$C$2090*1, COUNTIF($AD$1:$AD51, $A$1:$A$2000), ""), 0)),"")</f>
        <v>736</v>
      </c>
      <c r="AE52" s="57">
        <f t="shared" si="1"/>
        <v>15100</v>
      </c>
      <c r="AF52" s="18">
        <f t="shared" si="2"/>
        <v>323.8</v>
      </c>
      <c r="AG52" s="18">
        <f t="shared" si="3"/>
        <v>1</v>
      </c>
      <c r="AH52" s="18">
        <f t="shared" si="4"/>
        <v>27</v>
      </c>
      <c r="AI52" s="18">
        <f t="shared" si="5"/>
        <v>13</v>
      </c>
      <c r="AJ52" s="18">
        <f t="shared" si="6"/>
        <v>268.7</v>
      </c>
      <c r="AK52" s="18">
        <f t="shared" si="7"/>
        <v>-1</v>
      </c>
      <c r="AL52" s="18">
        <f t="shared" si="8"/>
        <v>23</v>
      </c>
      <c r="AM52" s="18">
        <f t="shared" si="9"/>
        <v>10</v>
      </c>
    </row>
    <row r="53" spans="1:39" x14ac:dyDescent="0.35">
      <c r="A53" s="56" t="s">
        <v>121</v>
      </c>
      <c r="B53" s="58">
        <v>10500</v>
      </c>
      <c r="C53" s="58" t="s">
        <v>32</v>
      </c>
      <c r="D53" s="58">
        <v>2013</v>
      </c>
      <c r="E53" s="58">
        <v>0</v>
      </c>
      <c r="F53" s="58">
        <v>0</v>
      </c>
      <c r="G53" s="58">
        <v>0</v>
      </c>
      <c r="H53" s="58">
        <v>0</v>
      </c>
      <c r="I53" s="58">
        <v>0</v>
      </c>
      <c r="J53" s="58">
        <v>0</v>
      </c>
      <c r="K53" s="58">
        <v>0</v>
      </c>
      <c r="L53" s="58">
        <v>3825</v>
      </c>
      <c r="M53" s="58">
        <v>225</v>
      </c>
      <c r="N53" s="58">
        <v>15136.95</v>
      </c>
      <c r="O53" s="58">
        <v>0</v>
      </c>
      <c r="P53" s="58">
        <v>0</v>
      </c>
      <c r="Q53" s="58">
        <v>0</v>
      </c>
      <c r="R53" s="58">
        <v>0</v>
      </c>
      <c r="S53" s="58">
        <v>0</v>
      </c>
      <c r="T53" s="58">
        <v>0</v>
      </c>
      <c r="U53" s="58">
        <v>0</v>
      </c>
      <c r="V53" s="58">
        <v>0</v>
      </c>
      <c r="W53" s="58">
        <v>0</v>
      </c>
      <c r="X53" s="58">
        <v>0</v>
      </c>
      <c r="Y53" s="58">
        <v>0</v>
      </c>
      <c r="Z53" s="58">
        <v>0</v>
      </c>
      <c r="AA53" s="58">
        <v>0</v>
      </c>
      <c r="AD53" s="18" t="str">
        <f t="array" ref="AD53">IFERROR(INDEX($A$1:$A$2000, MATCH(0, IF($AD$1*1=$C$1:$C$2090*1, COUNTIF($AD$1:$AD52, $A$1:$A$2000), ""), 0)),"")</f>
        <v>753</v>
      </c>
      <c r="AE53" s="57">
        <f t="shared" si="1"/>
        <v>15150</v>
      </c>
      <c r="AF53" s="18">
        <f t="shared" si="2"/>
        <v>264.85000000000002</v>
      </c>
      <c r="AG53" s="18">
        <f t="shared" si="3"/>
        <v>0</v>
      </c>
      <c r="AH53" s="18">
        <f t="shared" si="4"/>
        <v>0</v>
      </c>
      <c r="AI53" s="18">
        <f t="shared" si="5"/>
        <v>2</v>
      </c>
      <c r="AJ53" s="18">
        <f t="shared" si="6"/>
        <v>0</v>
      </c>
      <c r="AK53" s="18">
        <f t="shared" si="7"/>
        <v>0</v>
      </c>
      <c r="AL53" s="18">
        <f t="shared" si="8"/>
        <v>0</v>
      </c>
      <c r="AM53" s="18">
        <f t="shared" si="9"/>
        <v>0</v>
      </c>
    </row>
    <row r="54" spans="1:39" x14ac:dyDescent="0.35">
      <c r="A54" s="56" t="s">
        <v>122</v>
      </c>
      <c r="B54" s="58">
        <v>10500</v>
      </c>
      <c r="C54" s="58" t="s">
        <v>27</v>
      </c>
      <c r="D54" s="58">
        <v>7427</v>
      </c>
      <c r="E54" s="58">
        <v>0</v>
      </c>
      <c r="F54" s="58">
        <v>0</v>
      </c>
      <c r="G54" s="58">
        <v>0</v>
      </c>
      <c r="H54" s="58">
        <v>0</v>
      </c>
      <c r="I54" s="58">
        <v>0</v>
      </c>
      <c r="J54" s="58">
        <v>0</v>
      </c>
      <c r="K54" s="58">
        <v>0</v>
      </c>
      <c r="L54" s="58">
        <v>6975</v>
      </c>
      <c r="M54" s="58">
        <v>0</v>
      </c>
      <c r="N54" s="58">
        <v>15136.95</v>
      </c>
      <c r="O54" s="58">
        <v>10500</v>
      </c>
      <c r="P54" s="58" t="s">
        <v>27</v>
      </c>
      <c r="Q54" s="58">
        <v>9</v>
      </c>
      <c r="R54" s="58">
        <v>0</v>
      </c>
      <c r="S54" s="58">
        <v>0</v>
      </c>
      <c r="T54" s="58">
        <v>0</v>
      </c>
      <c r="U54" s="58">
        <v>0</v>
      </c>
      <c r="V54" s="58">
        <v>0</v>
      </c>
      <c r="W54" s="58">
        <v>0</v>
      </c>
      <c r="X54" s="58">
        <v>0</v>
      </c>
      <c r="Y54" s="58">
        <v>3675</v>
      </c>
      <c r="Z54" s="58">
        <v>0</v>
      </c>
      <c r="AA54" s="58">
        <v>15136.95</v>
      </c>
      <c r="AD54" s="18" t="str">
        <f t="array" ref="AD54">IFERROR(INDEX($A$1:$A$2000, MATCH(0, IF($AD$1*1=$C$1:$C$2090*1, COUNTIF($AD$1:$AD53, $A$1:$A$2000), ""), 0)),"")</f>
        <v>762</v>
      </c>
      <c r="AE54" s="57">
        <f t="shared" si="1"/>
        <v>15200</v>
      </c>
      <c r="AF54" s="18">
        <f t="shared" si="2"/>
        <v>268.10000000000002</v>
      </c>
      <c r="AG54" s="18">
        <f t="shared" si="3"/>
        <v>1</v>
      </c>
      <c r="AH54" s="18">
        <f t="shared" si="4"/>
        <v>32</v>
      </c>
      <c r="AI54" s="18">
        <f t="shared" si="5"/>
        <v>7</v>
      </c>
      <c r="AJ54" s="18">
        <f t="shared" si="6"/>
        <v>306.95</v>
      </c>
      <c r="AK54" s="18">
        <f t="shared" si="7"/>
        <v>5</v>
      </c>
      <c r="AL54" s="18">
        <f t="shared" si="8"/>
        <v>10</v>
      </c>
      <c r="AM54" s="18">
        <f t="shared" si="9"/>
        <v>27</v>
      </c>
    </row>
    <row r="55" spans="1:39" x14ac:dyDescent="0.35">
      <c r="A55" s="56" t="s">
        <v>123</v>
      </c>
      <c r="B55" s="58">
        <v>10500</v>
      </c>
      <c r="C55" s="58" t="s">
        <v>31</v>
      </c>
      <c r="D55" s="58">
        <v>2</v>
      </c>
      <c r="E55" s="58">
        <v>0</v>
      </c>
      <c r="F55" s="58">
        <v>0</v>
      </c>
      <c r="G55" s="58">
        <v>0</v>
      </c>
      <c r="H55" s="58">
        <v>0</v>
      </c>
      <c r="I55" s="58">
        <v>0</v>
      </c>
      <c r="J55" s="58">
        <v>0</v>
      </c>
      <c r="K55" s="58">
        <v>0</v>
      </c>
      <c r="L55" s="58">
        <v>5400</v>
      </c>
      <c r="M55" s="58">
        <v>0</v>
      </c>
      <c r="N55" s="58">
        <v>15136.95</v>
      </c>
      <c r="O55" s="58">
        <v>0</v>
      </c>
      <c r="P55" s="58">
        <v>0</v>
      </c>
      <c r="Q55" s="58">
        <v>0</v>
      </c>
      <c r="R55" s="58">
        <v>0</v>
      </c>
      <c r="S55" s="58">
        <v>0</v>
      </c>
      <c r="T55" s="58">
        <v>0</v>
      </c>
      <c r="U55" s="58">
        <v>0</v>
      </c>
      <c r="V55" s="58">
        <v>0</v>
      </c>
      <c r="W55" s="58">
        <v>0</v>
      </c>
      <c r="X55" s="58">
        <v>0</v>
      </c>
      <c r="Y55" s="58">
        <v>0</v>
      </c>
      <c r="Z55" s="58">
        <v>0</v>
      </c>
      <c r="AA55" s="58">
        <v>0</v>
      </c>
      <c r="AD55" s="18" t="str">
        <f t="array" ref="AD55">IFERROR(INDEX($A$1:$A$2000, MATCH(0, IF($AD$1*1=$C$1:$C$2090*1, COUNTIF($AD$1:$AD54, $A$1:$A$2000), ""), 0)),"")</f>
        <v>765</v>
      </c>
      <c r="AE55" s="57">
        <f t="shared" si="1"/>
        <v>15250</v>
      </c>
      <c r="AF55" s="18">
        <f t="shared" si="2"/>
        <v>0</v>
      </c>
      <c r="AG55" s="18">
        <f t="shared" si="3"/>
        <v>0</v>
      </c>
      <c r="AH55" s="18">
        <f t="shared" si="4"/>
        <v>0</v>
      </c>
      <c r="AI55" s="18">
        <f t="shared" si="5"/>
        <v>0</v>
      </c>
      <c r="AJ55" s="18">
        <f t="shared" si="6"/>
        <v>0</v>
      </c>
      <c r="AK55" s="18">
        <f t="shared" si="7"/>
        <v>0</v>
      </c>
      <c r="AL55" s="18">
        <f t="shared" si="8"/>
        <v>0</v>
      </c>
      <c r="AM55" s="18">
        <f t="shared" si="9"/>
        <v>0</v>
      </c>
    </row>
    <row r="56" spans="1:39" x14ac:dyDescent="0.35">
      <c r="A56" s="56" t="s">
        <v>124</v>
      </c>
      <c r="B56" s="58">
        <v>10500</v>
      </c>
      <c r="C56" s="58" t="s">
        <v>26</v>
      </c>
      <c r="D56" s="58">
        <v>4866</v>
      </c>
      <c r="E56" s="58">
        <v>-1</v>
      </c>
      <c r="F56" s="58">
        <v>-2.0546537908362441E-2</v>
      </c>
      <c r="G56" s="58">
        <v>4</v>
      </c>
      <c r="H56" s="58">
        <v>49.58</v>
      </c>
      <c r="I56" s="58">
        <v>9</v>
      </c>
      <c r="J56" s="58">
        <v>-0.44999999999999929</v>
      </c>
      <c r="K56" s="58">
        <v>-4.7619047619047548</v>
      </c>
      <c r="L56" s="58">
        <v>8325</v>
      </c>
      <c r="M56" s="58">
        <v>1575</v>
      </c>
      <c r="N56" s="58">
        <v>15136.95</v>
      </c>
      <c r="O56" s="58">
        <v>10500</v>
      </c>
      <c r="P56" s="58" t="s">
        <v>26</v>
      </c>
      <c r="Q56" s="58">
        <v>316</v>
      </c>
      <c r="R56" s="58">
        <v>0</v>
      </c>
      <c r="S56" s="58">
        <v>0</v>
      </c>
      <c r="T56" s="58">
        <v>0</v>
      </c>
      <c r="U56" s="58">
        <v>0</v>
      </c>
      <c r="V56" s="58">
        <v>0</v>
      </c>
      <c r="W56" s="58">
        <v>0</v>
      </c>
      <c r="X56" s="58">
        <v>0</v>
      </c>
      <c r="Y56" s="58">
        <v>10650</v>
      </c>
      <c r="Z56" s="58">
        <v>10125</v>
      </c>
      <c r="AA56" s="58">
        <v>15136.95</v>
      </c>
      <c r="AD56" s="18" t="str">
        <f t="array" ref="AD56">IFERROR(INDEX($A$1:$A$2000, MATCH(0, IF($AD$1*1=$C$1:$C$2090*1, COUNTIF($AD$1:$AD55, $A$1:$A$2000), ""), 0)),"")</f>
        <v>775</v>
      </c>
      <c r="AE56" s="57">
        <f t="shared" si="1"/>
        <v>15300</v>
      </c>
      <c r="AF56" s="18">
        <f t="shared" si="2"/>
        <v>213.5</v>
      </c>
      <c r="AG56" s="18">
        <f t="shared" si="3"/>
        <v>0</v>
      </c>
      <c r="AH56" s="18">
        <f t="shared" si="4"/>
        <v>16</v>
      </c>
      <c r="AI56" s="18">
        <f t="shared" si="5"/>
        <v>2</v>
      </c>
      <c r="AJ56" s="18">
        <f t="shared" si="6"/>
        <v>0</v>
      </c>
      <c r="AK56" s="18">
        <f t="shared" si="7"/>
        <v>0</v>
      </c>
      <c r="AL56" s="18">
        <f t="shared" si="8"/>
        <v>0</v>
      </c>
      <c r="AM56" s="18">
        <f t="shared" si="9"/>
        <v>0</v>
      </c>
    </row>
    <row r="57" spans="1:39" x14ac:dyDescent="0.35">
      <c r="A57" s="56" t="s">
        <v>125</v>
      </c>
      <c r="B57" s="58">
        <v>10500</v>
      </c>
      <c r="C57" s="58" t="s">
        <v>29</v>
      </c>
      <c r="D57" s="58">
        <v>6282</v>
      </c>
      <c r="E57" s="58">
        <v>0</v>
      </c>
      <c r="F57" s="58">
        <v>0</v>
      </c>
      <c r="G57" s="58">
        <v>0</v>
      </c>
      <c r="H57" s="58">
        <v>0</v>
      </c>
      <c r="I57" s="58">
        <v>0</v>
      </c>
      <c r="J57" s="58">
        <v>0</v>
      </c>
      <c r="K57" s="58">
        <v>0</v>
      </c>
      <c r="L57" s="58">
        <v>8850</v>
      </c>
      <c r="M57" s="58">
        <v>0</v>
      </c>
      <c r="N57" s="58">
        <v>15136.95</v>
      </c>
      <c r="O57" s="58">
        <v>10500</v>
      </c>
      <c r="P57" s="58" t="s">
        <v>29</v>
      </c>
      <c r="Q57" s="58">
        <v>9</v>
      </c>
      <c r="R57" s="58">
        <v>0</v>
      </c>
      <c r="S57" s="58">
        <v>0</v>
      </c>
      <c r="T57" s="58">
        <v>0</v>
      </c>
      <c r="U57" s="58">
        <v>0</v>
      </c>
      <c r="V57" s="58">
        <v>0</v>
      </c>
      <c r="W57" s="58">
        <v>0</v>
      </c>
      <c r="X57" s="58">
        <v>0</v>
      </c>
      <c r="Y57" s="58">
        <v>2850</v>
      </c>
      <c r="Z57" s="58">
        <v>0</v>
      </c>
      <c r="AA57" s="58">
        <v>15136.95</v>
      </c>
      <c r="AD57" s="18" t="str">
        <f t="array" ref="AD57">IFERROR(INDEX($A$1:$A$2000, MATCH(0, IF($AD$1*1=$C$1:$C$2090*1, COUNTIF($AD$1:$AD56, $A$1:$A$2000), ""), 0)),"")</f>
        <v>786</v>
      </c>
      <c r="AE57" s="57">
        <f t="shared" si="1"/>
        <v>15350</v>
      </c>
      <c r="AF57" s="18">
        <f t="shared" si="2"/>
        <v>0</v>
      </c>
      <c r="AG57" s="18">
        <f t="shared" si="3"/>
        <v>0</v>
      </c>
      <c r="AH57" s="18">
        <f t="shared" si="4"/>
        <v>2</v>
      </c>
      <c r="AI57" s="18">
        <f t="shared" si="5"/>
        <v>0</v>
      </c>
      <c r="AJ57" s="18">
        <f t="shared" si="6"/>
        <v>0</v>
      </c>
      <c r="AK57" s="18">
        <f t="shared" si="7"/>
        <v>0</v>
      </c>
      <c r="AL57" s="18">
        <f t="shared" si="8"/>
        <v>0</v>
      </c>
      <c r="AM57" s="18">
        <f t="shared" si="9"/>
        <v>0</v>
      </c>
    </row>
    <row r="58" spans="1:39" x14ac:dyDescent="0.35">
      <c r="A58" s="56" t="s">
        <v>126</v>
      </c>
      <c r="B58" s="58">
        <v>10600</v>
      </c>
      <c r="C58" s="58" t="s">
        <v>27</v>
      </c>
      <c r="D58" s="58">
        <v>91</v>
      </c>
      <c r="E58" s="58">
        <v>0</v>
      </c>
      <c r="F58" s="58">
        <v>0</v>
      </c>
      <c r="G58" s="58">
        <v>0</v>
      </c>
      <c r="H58" s="58">
        <v>0</v>
      </c>
      <c r="I58" s="58">
        <v>0</v>
      </c>
      <c r="J58" s="58">
        <v>0</v>
      </c>
      <c r="K58" s="58">
        <v>0</v>
      </c>
      <c r="L58" s="58">
        <v>5250</v>
      </c>
      <c r="M58" s="58">
        <v>0</v>
      </c>
      <c r="N58" s="58">
        <v>15136.95</v>
      </c>
      <c r="O58" s="58">
        <v>10600</v>
      </c>
      <c r="P58" s="58" t="s">
        <v>27</v>
      </c>
      <c r="Q58" s="58">
        <v>746</v>
      </c>
      <c r="R58" s="58">
        <v>0</v>
      </c>
      <c r="S58" s="58">
        <v>0</v>
      </c>
      <c r="T58" s="58">
        <v>0</v>
      </c>
      <c r="U58" s="58">
        <v>0</v>
      </c>
      <c r="V58" s="58">
        <v>0</v>
      </c>
      <c r="W58" s="58">
        <v>0</v>
      </c>
      <c r="X58" s="58">
        <v>0</v>
      </c>
      <c r="Y58" s="58">
        <v>2175</v>
      </c>
      <c r="Z58" s="58">
        <v>0</v>
      </c>
      <c r="AA58" s="58">
        <v>15136.95</v>
      </c>
      <c r="AD58" s="18" t="str">
        <f t="array" ref="AD58">IFERROR(INDEX($A$1:$A$2000, MATCH(0, IF($AD$1*1=$C$1:$C$2090*1, COUNTIF($AD$1:$AD57, $A$1:$A$2000), ""), 0)),"")</f>
        <v>796</v>
      </c>
      <c r="AE58" s="57">
        <f t="shared" si="1"/>
        <v>15400</v>
      </c>
      <c r="AF58" s="18">
        <f t="shared" si="2"/>
        <v>169</v>
      </c>
      <c r="AG58" s="18">
        <f t="shared" si="3"/>
        <v>1</v>
      </c>
      <c r="AH58" s="18">
        <f t="shared" si="4"/>
        <v>5</v>
      </c>
      <c r="AI58" s="18">
        <f t="shared" si="5"/>
        <v>13</v>
      </c>
      <c r="AJ58" s="18">
        <f t="shared" si="6"/>
        <v>0</v>
      </c>
      <c r="AK58" s="18">
        <f t="shared" si="7"/>
        <v>0</v>
      </c>
      <c r="AL58" s="18">
        <f t="shared" si="8"/>
        <v>0</v>
      </c>
      <c r="AM58" s="18">
        <f t="shared" si="9"/>
        <v>0</v>
      </c>
    </row>
    <row r="59" spans="1:39" x14ac:dyDescent="0.35">
      <c r="A59" s="56" t="s">
        <v>127</v>
      </c>
      <c r="B59" s="58">
        <v>10600</v>
      </c>
      <c r="C59" s="58" t="s">
        <v>29</v>
      </c>
      <c r="D59" s="58">
        <v>156</v>
      </c>
      <c r="E59" s="58">
        <v>0</v>
      </c>
      <c r="F59" s="58">
        <v>0</v>
      </c>
      <c r="G59" s="58">
        <v>0</v>
      </c>
      <c r="H59" s="58">
        <v>0</v>
      </c>
      <c r="I59" s="58">
        <v>0</v>
      </c>
      <c r="J59" s="58">
        <v>0</v>
      </c>
      <c r="K59" s="58">
        <v>0</v>
      </c>
      <c r="L59" s="58">
        <v>5250</v>
      </c>
      <c r="M59" s="58">
        <v>0</v>
      </c>
      <c r="N59" s="58">
        <v>15136.95</v>
      </c>
      <c r="O59" s="58">
        <v>0</v>
      </c>
      <c r="P59" s="58">
        <v>0</v>
      </c>
      <c r="Q59" s="58">
        <v>0</v>
      </c>
      <c r="R59" s="58">
        <v>0</v>
      </c>
      <c r="S59" s="58">
        <v>0</v>
      </c>
      <c r="T59" s="58">
        <v>0</v>
      </c>
      <c r="U59" s="58">
        <v>0</v>
      </c>
      <c r="V59" s="58">
        <v>0</v>
      </c>
      <c r="W59" s="58">
        <v>0</v>
      </c>
      <c r="X59" s="58">
        <v>0</v>
      </c>
      <c r="Y59" s="58">
        <v>0</v>
      </c>
      <c r="Z59" s="58">
        <v>0</v>
      </c>
      <c r="AA59" s="58">
        <v>0</v>
      </c>
      <c r="AD59" s="18" t="str">
        <f t="array" ref="AD59">IFERROR(INDEX($A$1:$A$2000, MATCH(0, IF($AD$1*1=$C$1:$C$2090*1, COUNTIF($AD$1:$AD58, $A$1:$A$2000), ""), 0)),"")</f>
        <v>805</v>
      </c>
      <c r="AE59" s="57">
        <f t="shared" si="1"/>
        <v>15450</v>
      </c>
      <c r="AF59" s="18">
        <f t="shared" si="2"/>
        <v>0</v>
      </c>
      <c r="AG59" s="18">
        <f t="shared" si="3"/>
        <v>0</v>
      </c>
      <c r="AH59" s="18">
        <f t="shared" si="4"/>
        <v>0</v>
      </c>
      <c r="AI59" s="18">
        <f t="shared" si="5"/>
        <v>0</v>
      </c>
      <c r="AJ59" s="18">
        <f t="shared" si="6"/>
        <v>0</v>
      </c>
      <c r="AK59" s="18">
        <f t="shared" si="7"/>
        <v>0</v>
      </c>
      <c r="AL59" s="18">
        <f t="shared" si="8"/>
        <v>0</v>
      </c>
      <c r="AM59" s="18">
        <f t="shared" si="9"/>
        <v>0</v>
      </c>
    </row>
    <row r="60" spans="1:39" x14ac:dyDescent="0.35">
      <c r="A60" s="56" t="s">
        <v>128</v>
      </c>
      <c r="B60" s="58">
        <v>10700</v>
      </c>
      <c r="C60" s="58" t="s">
        <v>29</v>
      </c>
      <c r="D60" s="58">
        <v>130</v>
      </c>
      <c r="E60" s="58">
        <v>0</v>
      </c>
      <c r="F60" s="58">
        <v>0</v>
      </c>
      <c r="G60" s="58">
        <v>0</v>
      </c>
      <c r="H60" s="58">
        <v>0</v>
      </c>
      <c r="I60" s="58">
        <v>0</v>
      </c>
      <c r="J60" s="58">
        <v>0</v>
      </c>
      <c r="K60" s="58">
        <v>0</v>
      </c>
      <c r="L60" s="58">
        <v>5475</v>
      </c>
      <c r="M60" s="58">
        <v>0</v>
      </c>
      <c r="N60" s="58">
        <v>15136.95</v>
      </c>
      <c r="O60" s="58">
        <v>0</v>
      </c>
      <c r="P60" s="58">
        <v>0</v>
      </c>
      <c r="Q60" s="58">
        <v>0</v>
      </c>
      <c r="R60" s="58">
        <v>0</v>
      </c>
      <c r="S60" s="58">
        <v>0</v>
      </c>
      <c r="T60" s="58">
        <v>0</v>
      </c>
      <c r="U60" s="58">
        <v>0</v>
      </c>
      <c r="V60" s="58">
        <v>0</v>
      </c>
      <c r="W60" s="58">
        <v>0</v>
      </c>
      <c r="X60" s="58">
        <v>0</v>
      </c>
      <c r="Y60" s="58">
        <v>0</v>
      </c>
      <c r="Z60" s="58">
        <v>0</v>
      </c>
      <c r="AA60" s="58">
        <v>0</v>
      </c>
      <c r="AD60" s="18" t="str">
        <f t="array" ref="AD60">IFERROR(INDEX($A$1:$A$2000, MATCH(0, IF($AD$1*1=$C$1:$C$2090*1, COUNTIF($AD$1:$AD59, $A$1:$A$2000), ""), 0)),"")</f>
        <v>816</v>
      </c>
      <c r="AE60" s="57">
        <f t="shared" si="1"/>
        <v>15500</v>
      </c>
      <c r="AF60" s="18">
        <f t="shared" si="2"/>
        <v>131</v>
      </c>
      <c r="AG60" s="18">
        <f t="shared" si="3"/>
        <v>6</v>
      </c>
      <c r="AH60" s="18">
        <f t="shared" si="4"/>
        <v>71</v>
      </c>
      <c r="AI60" s="18">
        <f t="shared" si="5"/>
        <v>43</v>
      </c>
      <c r="AJ60" s="18">
        <f t="shared" si="6"/>
        <v>0</v>
      </c>
      <c r="AK60" s="18">
        <f t="shared" si="7"/>
        <v>0</v>
      </c>
      <c r="AL60" s="18">
        <f t="shared" si="8"/>
        <v>0</v>
      </c>
      <c r="AM60" s="18">
        <f t="shared" si="9"/>
        <v>0</v>
      </c>
    </row>
    <row r="61" spans="1:39" x14ac:dyDescent="0.35">
      <c r="A61" s="56" t="s">
        <v>129</v>
      </c>
      <c r="B61" s="58">
        <v>10700</v>
      </c>
      <c r="C61" s="58" t="s">
        <v>27</v>
      </c>
      <c r="D61" s="58">
        <v>191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5250</v>
      </c>
      <c r="M61" s="58">
        <v>0</v>
      </c>
      <c r="N61" s="58">
        <v>15136.95</v>
      </c>
      <c r="O61" s="58">
        <v>10700</v>
      </c>
      <c r="P61" s="58" t="s">
        <v>27</v>
      </c>
      <c r="Q61" s="58">
        <v>943</v>
      </c>
      <c r="R61" s="58">
        <v>0</v>
      </c>
      <c r="S61" s="58">
        <v>0</v>
      </c>
      <c r="T61" s="58">
        <v>0</v>
      </c>
      <c r="U61" s="58">
        <v>0</v>
      </c>
      <c r="V61" s="58">
        <v>0</v>
      </c>
      <c r="W61" s="58">
        <v>0</v>
      </c>
      <c r="X61" s="58">
        <v>0</v>
      </c>
      <c r="Y61" s="58">
        <v>2100</v>
      </c>
      <c r="Z61" s="58">
        <v>0</v>
      </c>
      <c r="AA61" s="58">
        <v>15136.95</v>
      </c>
      <c r="AD61" s="18" t="str">
        <f t="array" ref="AD61">IFERROR(INDEX($A$1:$A$2000, MATCH(0, IF($AD$1*1=$C$1:$C$2090*1, COUNTIF($AD$1:$AD60, $A$1:$A$2000), ""), 0)),"")</f>
        <v>829</v>
      </c>
      <c r="AE61" s="57">
        <f t="shared" si="1"/>
        <v>15550</v>
      </c>
      <c r="AF61" s="18">
        <f t="shared" si="2"/>
        <v>0</v>
      </c>
      <c r="AG61" s="18">
        <f t="shared" si="3"/>
        <v>0</v>
      </c>
      <c r="AH61" s="18">
        <f t="shared" si="4"/>
        <v>0</v>
      </c>
      <c r="AI61" s="18">
        <f t="shared" si="5"/>
        <v>0</v>
      </c>
      <c r="AJ61" s="18">
        <f t="shared" si="6"/>
        <v>0</v>
      </c>
      <c r="AK61" s="18">
        <f t="shared" si="7"/>
        <v>0</v>
      </c>
      <c r="AL61" s="18">
        <f t="shared" si="8"/>
        <v>0</v>
      </c>
      <c r="AM61" s="18">
        <f t="shared" si="9"/>
        <v>0</v>
      </c>
    </row>
    <row r="62" spans="1:39" x14ac:dyDescent="0.35">
      <c r="A62" s="56" t="s">
        <v>130</v>
      </c>
      <c r="B62" s="58">
        <v>10700</v>
      </c>
      <c r="C62" s="58" t="s">
        <v>30</v>
      </c>
      <c r="D62" s="58">
        <v>12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5325</v>
      </c>
      <c r="M62" s="58">
        <v>0</v>
      </c>
      <c r="N62" s="58">
        <v>15136.95</v>
      </c>
      <c r="O62" s="58">
        <v>0</v>
      </c>
      <c r="P62" s="58">
        <v>0</v>
      </c>
      <c r="Q62" s="58">
        <v>0</v>
      </c>
      <c r="R62" s="58">
        <v>0</v>
      </c>
      <c r="S62" s="58">
        <v>0</v>
      </c>
      <c r="T62" s="58">
        <v>0</v>
      </c>
      <c r="U62" s="58">
        <v>0</v>
      </c>
      <c r="V62" s="58">
        <v>0</v>
      </c>
      <c r="W62" s="58">
        <v>0</v>
      </c>
      <c r="X62" s="58">
        <v>0</v>
      </c>
      <c r="Y62" s="58">
        <v>0</v>
      </c>
      <c r="Z62" s="58">
        <v>0</v>
      </c>
      <c r="AA62" s="58">
        <v>0</v>
      </c>
      <c r="AD62" s="18" t="str">
        <f t="array" ref="AD62">IFERROR(INDEX($A$1:$A$2000, MATCH(0, IF($AD$1*1=$C$1:$C$2090*1, COUNTIF($AD$1:$AD61, $A$1:$A$2000), ""), 0)),"")</f>
        <v>840</v>
      </c>
      <c r="AE62" s="57">
        <f t="shared" si="1"/>
        <v>15600</v>
      </c>
      <c r="AF62" s="18">
        <f t="shared" si="2"/>
        <v>0</v>
      </c>
      <c r="AG62" s="18">
        <f t="shared" si="3"/>
        <v>0</v>
      </c>
      <c r="AH62" s="18">
        <f t="shared" si="4"/>
        <v>1</v>
      </c>
      <c r="AI62" s="18">
        <f t="shared" si="5"/>
        <v>0</v>
      </c>
      <c r="AJ62" s="18">
        <f t="shared" si="6"/>
        <v>0</v>
      </c>
      <c r="AK62" s="18">
        <f t="shared" si="7"/>
        <v>0</v>
      </c>
      <c r="AL62" s="18">
        <f t="shared" si="8"/>
        <v>0</v>
      </c>
      <c r="AM62" s="18">
        <f t="shared" si="9"/>
        <v>0</v>
      </c>
    </row>
    <row r="63" spans="1:39" x14ac:dyDescent="0.35">
      <c r="A63" s="56" t="s">
        <v>131</v>
      </c>
      <c r="B63" s="58">
        <v>10800</v>
      </c>
      <c r="C63" s="58" t="s">
        <v>27</v>
      </c>
      <c r="D63" s="58">
        <v>71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5250</v>
      </c>
      <c r="M63" s="58">
        <v>0</v>
      </c>
      <c r="N63" s="58">
        <v>15136.95</v>
      </c>
      <c r="O63" s="58">
        <v>0</v>
      </c>
      <c r="P63" s="58">
        <v>0</v>
      </c>
      <c r="Q63" s="58">
        <v>0</v>
      </c>
      <c r="R63" s="58">
        <v>0</v>
      </c>
      <c r="S63" s="58">
        <v>0</v>
      </c>
      <c r="T63" s="58">
        <v>0</v>
      </c>
      <c r="U63" s="58">
        <v>0</v>
      </c>
      <c r="V63" s="58">
        <v>0</v>
      </c>
      <c r="W63" s="58">
        <v>0</v>
      </c>
      <c r="X63" s="58">
        <v>0</v>
      </c>
      <c r="Y63" s="58">
        <v>0</v>
      </c>
      <c r="Z63" s="58">
        <v>0</v>
      </c>
      <c r="AA63" s="58">
        <v>0</v>
      </c>
      <c r="AD63" s="18" t="str">
        <f t="array" ref="AD63">IFERROR(INDEX($A$1:$A$2000, MATCH(0, IF($AD$1*1=$C$1:$C$2090*1, COUNTIF($AD$1:$AD62, $A$1:$A$2000), ""), 0)),"")</f>
        <v>849</v>
      </c>
      <c r="AE63" s="57">
        <f t="shared" si="1"/>
        <v>15650</v>
      </c>
      <c r="AF63" s="18">
        <f t="shared" si="2"/>
        <v>0</v>
      </c>
      <c r="AG63" s="18">
        <f t="shared" si="3"/>
        <v>0</v>
      </c>
      <c r="AH63" s="18">
        <f t="shared" si="4"/>
        <v>0</v>
      </c>
      <c r="AI63" s="18">
        <f t="shared" si="5"/>
        <v>0</v>
      </c>
      <c r="AJ63" s="18">
        <f t="shared" si="6"/>
        <v>0</v>
      </c>
      <c r="AK63" s="18">
        <f t="shared" si="7"/>
        <v>0</v>
      </c>
      <c r="AL63" s="18">
        <f t="shared" si="8"/>
        <v>0</v>
      </c>
      <c r="AM63" s="18">
        <f t="shared" si="9"/>
        <v>0</v>
      </c>
    </row>
    <row r="64" spans="1:39" x14ac:dyDescent="0.35">
      <c r="A64" s="56" t="s">
        <v>132</v>
      </c>
      <c r="B64" s="58">
        <v>10800</v>
      </c>
      <c r="C64" s="58" t="s">
        <v>29</v>
      </c>
      <c r="D64" s="58">
        <v>119</v>
      </c>
      <c r="E64" s="58">
        <v>0</v>
      </c>
      <c r="F64" s="58">
        <v>0</v>
      </c>
      <c r="G64" s="58">
        <v>0</v>
      </c>
      <c r="H64" s="58">
        <v>0</v>
      </c>
      <c r="I64" s="58">
        <v>0</v>
      </c>
      <c r="J64" s="58">
        <v>0</v>
      </c>
      <c r="K64" s="58">
        <v>0</v>
      </c>
      <c r="L64" s="58">
        <v>5250</v>
      </c>
      <c r="M64" s="58">
        <v>0</v>
      </c>
      <c r="N64" s="58">
        <v>15136.95</v>
      </c>
      <c r="O64" s="58">
        <v>0</v>
      </c>
      <c r="P64" s="58">
        <v>0</v>
      </c>
      <c r="Q64" s="58">
        <v>0</v>
      </c>
      <c r="R64" s="58">
        <v>0</v>
      </c>
      <c r="S64" s="58">
        <v>0</v>
      </c>
      <c r="T64" s="58">
        <v>0</v>
      </c>
      <c r="U64" s="58">
        <v>0</v>
      </c>
      <c r="V64" s="58">
        <v>0</v>
      </c>
      <c r="W64" s="58">
        <v>0</v>
      </c>
      <c r="X64" s="58">
        <v>0</v>
      </c>
      <c r="Y64" s="58">
        <v>0</v>
      </c>
      <c r="Z64" s="58">
        <v>0</v>
      </c>
      <c r="AA64" s="58">
        <v>0</v>
      </c>
      <c r="AD64" s="18" t="str">
        <f t="array" ref="AD64">IFERROR(INDEX($A$1:$A$2000, MATCH(0, IF($AD$1*1=$C$1:$C$2090*1, COUNTIF($AD$1:$AD63, $A$1:$A$2000), ""), 0)),"")</f>
        <v>866</v>
      </c>
      <c r="AE64" s="57">
        <f t="shared" si="1"/>
        <v>15700</v>
      </c>
      <c r="AF64" s="18">
        <f t="shared" si="2"/>
        <v>80.3</v>
      </c>
      <c r="AG64" s="18">
        <f t="shared" si="3"/>
        <v>3</v>
      </c>
      <c r="AH64" s="18">
        <f t="shared" si="4"/>
        <v>12</v>
      </c>
      <c r="AI64" s="18">
        <f t="shared" si="5"/>
        <v>13</v>
      </c>
      <c r="AJ64" s="18">
        <f t="shared" si="6"/>
        <v>0</v>
      </c>
      <c r="AK64" s="18">
        <f t="shared" si="7"/>
        <v>0</v>
      </c>
      <c r="AL64" s="18">
        <f t="shared" si="8"/>
        <v>0</v>
      </c>
      <c r="AM64" s="18">
        <f t="shared" si="9"/>
        <v>0</v>
      </c>
    </row>
    <row r="65" spans="1:39" x14ac:dyDescent="0.35">
      <c r="A65" s="56" t="s">
        <v>133</v>
      </c>
      <c r="B65" s="58">
        <v>10800</v>
      </c>
      <c r="C65" s="58" t="s">
        <v>30</v>
      </c>
      <c r="D65" s="58">
        <v>99</v>
      </c>
      <c r="E65" s="58">
        <v>0</v>
      </c>
      <c r="F65" s="58">
        <v>0</v>
      </c>
      <c r="G65" s="58">
        <v>0</v>
      </c>
      <c r="H65" s="58">
        <v>0</v>
      </c>
      <c r="I65" s="58">
        <v>0</v>
      </c>
      <c r="J65" s="58">
        <v>0</v>
      </c>
      <c r="K65" s="58">
        <v>0</v>
      </c>
      <c r="L65" s="58">
        <v>4500</v>
      </c>
      <c r="M65" s="58">
        <v>0</v>
      </c>
      <c r="N65" s="58">
        <v>15136.95</v>
      </c>
      <c r="O65" s="58">
        <v>0</v>
      </c>
      <c r="P65" s="58">
        <v>0</v>
      </c>
      <c r="Q65" s="58">
        <v>0</v>
      </c>
      <c r="R65" s="58">
        <v>0</v>
      </c>
      <c r="S65" s="58">
        <v>0</v>
      </c>
      <c r="T65" s="58">
        <v>0</v>
      </c>
      <c r="U65" s="58">
        <v>0</v>
      </c>
      <c r="V65" s="58">
        <v>0</v>
      </c>
      <c r="W65" s="58">
        <v>0</v>
      </c>
      <c r="X65" s="58">
        <v>0</v>
      </c>
      <c r="Y65" s="58">
        <v>0</v>
      </c>
      <c r="Z65" s="58">
        <v>0</v>
      </c>
      <c r="AA65" s="58">
        <v>0</v>
      </c>
      <c r="AD65" s="18" t="str">
        <f t="array" ref="AD65">IFERROR(INDEX($A$1:$A$2000, MATCH(0, IF($AD$1*1=$C$1:$C$2090*1, COUNTIF($AD$1:$AD64, $A$1:$A$2000), ""), 0)),"")</f>
        <v>875</v>
      </c>
      <c r="AE65" s="57">
        <f t="shared" si="1"/>
        <v>15750</v>
      </c>
      <c r="AF65" s="18">
        <f t="shared" si="2"/>
        <v>0</v>
      </c>
      <c r="AG65" s="18">
        <f t="shared" si="3"/>
        <v>0</v>
      </c>
      <c r="AH65" s="18">
        <f t="shared" si="4"/>
        <v>0</v>
      </c>
      <c r="AI65" s="18">
        <f t="shared" si="5"/>
        <v>0</v>
      </c>
      <c r="AJ65" s="18">
        <f t="shared" si="6"/>
        <v>0</v>
      </c>
      <c r="AK65" s="18">
        <f t="shared" si="7"/>
        <v>0</v>
      </c>
      <c r="AL65" s="18">
        <f t="shared" si="8"/>
        <v>0</v>
      </c>
      <c r="AM65" s="18">
        <f t="shared" si="9"/>
        <v>0</v>
      </c>
    </row>
    <row r="66" spans="1:39" x14ac:dyDescent="0.35">
      <c r="A66" s="56" t="s">
        <v>134</v>
      </c>
      <c r="B66" s="58">
        <v>10900</v>
      </c>
      <c r="C66" s="58" t="s">
        <v>29</v>
      </c>
      <c r="D66" s="58">
        <v>46</v>
      </c>
      <c r="E66" s="58">
        <v>0</v>
      </c>
      <c r="F66" s="58">
        <v>0</v>
      </c>
      <c r="G66" s="58">
        <v>0</v>
      </c>
      <c r="H66" s="58">
        <v>0</v>
      </c>
      <c r="I66" s="58">
        <v>0</v>
      </c>
      <c r="J66" s="58">
        <v>0</v>
      </c>
      <c r="K66" s="58">
        <v>0</v>
      </c>
      <c r="L66" s="58">
        <v>6000</v>
      </c>
      <c r="M66" s="58">
        <v>0</v>
      </c>
      <c r="N66" s="58">
        <v>15136.95</v>
      </c>
      <c r="O66" s="58">
        <v>0</v>
      </c>
      <c r="P66" s="58">
        <v>0</v>
      </c>
      <c r="Q66" s="58">
        <v>0</v>
      </c>
      <c r="R66" s="58">
        <v>0</v>
      </c>
      <c r="S66" s="58">
        <v>0</v>
      </c>
      <c r="T66" s="58">
        <v>0</v>
      </c>
      <c r="U66" s="58">
        <v>0</v>
      </c>
      <c r="V66" s="58">
        <v>0</v>
      </c>
      <c r="W66" s="58">
        <v>0</v>
      </c>
      <c r="X66" s="58">
        <v>0</v>
      </c>
      <c r="Y66" s="58">
        <v>0</v>
      </c>
      <c r="Z66" s="58">
        <v>0</v>
      </c>
      <c r="AA66" s="58">
        <v>0</v>
      </c>
      <c r="AD66" s="18" t="str">
        <f t="array" ref="AD66">IFERROR(INDEX($A$1:$A$2000, MATCH(0, IF($AD$1*1=$C$1:$C$2090*1, COUNTIF($AD$1:$AD65, $A$1:$A$2000), ""), 0)),"")</f>
        <v>878</v>
      </c>
      <c r="AE66" s="57">
        <f t="shared" si="1"/>
        <v>15800</v>
      </c>
      <c r="AF66" s="18">
        <f t="shared" si="2"/>
        <v>0</v>
      </c>
      <c r="AG66" s="18">
        <f t="shared" si="3"/>
        <v>0</v>
      </c>
      <c r="AH66" s="18">
        <f t="shared" si="4"/>
        <v>0</v>
      </c>
      <c r="AI66" s="18">
        <f t="shared" si="5"/>
        <v>0</v>
      </c>
      <c r="AJ66" s="18">
        <f t="shared" si="6"/>
        <v>0</v>
      </c>
      <c r="AK66" s="18">
        <f t="shared" si="7"/>
        <v>0</v>
      </c>
      <c r="AL66" s="18">
        <f t="shared" si="8"/>
        <v>0</v>
      </c>
      <c r="AM66" s="18">
        <f t="shared" si="9"/>
        <v>0</v>
      </c>
    </row>
    <row r="67" spans="1:39" x14ac:dyDescent="0.35">
      <c r="A67" s="56" t="s">
        <v>135</v>
      </c>
      <c r="B67" s="58">
        <v>10900</v>
      </c>
      <c r="C67" s="58" t="s">
        <v>27</v>
      </c>
      <c r="D67" s="58">
        <v>75</v>
      </c>
      <c r="E67" s="58">
        <v>0</v>
      </c>
      <c r="F67" s="58">
        <v>0</v>
      </c>
      <c r="G67" s="58">
        <v>0</v>
      </c>
      <c r="H67" s="58">
        <v>0</v>
      </c>
      <c r="I67" s="58">
        <v>0</v>
      </c>
      <c r="J67" s="58">
        <v>0</v>
      </c>
      <c r="K67" s="58">
        <v>0</v>
      </c>
      <c r="L67" s="58">
        <v>750</v>
      </c>
      <c r="M67" s="58">
        <v>0</v>
      </c>
      <c r="N67" s="58">
        <v>15136.95</v>
      </c>
      <c r="O67" s="58">
        <v>0</v>
      </c>
      <c r="P67" s="58">
        <v>0</v>
      </c>
      <c r="Q67" s="58">
        <v>0</v>
      </c>
      <c r="R67" s="58">
        <v>0</v>
      </c>
      <c r="S67" s="58">
        <v>0</v>
      </c>
      <c r="T67" s="58">
        <v>0</v>
      </c>
      <c r="U67" s="58">
        <v>0</v>
      </c>
      <c r="V67" s="58">
        <v>0</v>
      </c>
      <c r="W67" s="58">
        <v>0</v>
      </c>
      <c r="X67" s="58">
        <v>0</v>
      </c>
      <c r="Y67" s="58">
        <v>0</v>
      </c>
      <c r="Z67" s="58">
        <v>0</v>
      </c>
      <c r="AA67" s="58">
        <v>0</v>
      </c>
      <c r="AD67" s="18" t="str">
        <f t="array" ref="AD67">IFERROR(INDEX($A$1:$A$2000, MATCH(0, IF($AD$1*1=$C$1:$C$2090*1, COUNTIF($AD$1:$AD66, $A$1:$A$2000), ""), 0)),"")</f>
        <v>888</v>
      </c>
      <c r="AE67" s="57">
        <f t="shared" ref="AE67:AE130" si="15">IFERROR(VLOOKUP(AD67,$A$2:$AA$2000,2,0),"")</f>
        <v>15850</v>
      </c>
      <c r="AF67" s="18">
        <f t="shared" ref="AF67:AF130" si="16">IFERROR(VLOOKUP(AD67,$A$2:$AA$2000,22,0),"")</f>
        <v>0</v>
      </c>
      <c r="AG67" s="18">
        <f t="shared" ref="AG67:AG130" si="17">IFERROR(VLOOKUP(AD67,$A$2:$AA$2000,18,0),"")</f>
        <v>0</v>
      </c>
      <c r="AH67" s="18">
        <f t="shared" ref="AH67:AH130" si="18">IFERROR(VLOOKUP(AD67,$A$2:$AA$2000,17,0),"")</f>
        <v>0</v>
      </c>
      <c r="AI67" s="18">
        <f t="shared" ref="AI67:AI130" si="19">IFERROR(VLOOKUP(AD67,$A$2:$AA$2000,20,0),"")</f>
        <v>0</v>
      </c>
      <c r="AJ67" s="18">
        <f t="shared" ref="AJ67:AJ130" si="20">IFERROR(VLOOKUP(AD67,$A$2:$AA$2000,9,0),"")</f>
        <v>0</v>
      </c>
      <c r="AK67" s="18">
        <f t="shared" ref="AK67:AK130" si="21">IFERROR(VLOOKUP(AD67,$A$2:$AA$2000,5,0),"")</f>
        <v>0</v>
      </c>
      <c r="AL67" s="18">
        <f t="shared" ref="AL67:AL130" si="22">IFERROR(VLOOKUP(AD67,$A$2:$AA$2000,4,0),"")</f>
        <v>0</v>
      </c>
      <c r="AM67" s="18">
        <f t="shared" ref="AM67:AM130" si="23">IFERROR(VLOOKUP(AD67,$A$2:$AA$2000,7,0),"")</f>
        <v>0</v>
      </c>
    </row>
    <row r="68" spans="1:39" x14ac:dyDescent="0.35">
      <c r="A68" s="56" t="s">
        <v>136</v>
      </c>
      <c r="B68" s="58">
        <v>10900</v>
      </c>
      <c r="C68" s="58" t="s">
        <v>30</v>
      </c>
      <c r="D68" s="58">
        <v>57</v>
      </c>
      <c r="E68" s="58">
        <v>0</v>
      </c>
      <c r="F68" s="58">
        <v>0</v>
      </c>
      <c r="G68" s="58">
        <v>0</v>
      </c>
      <c r="H68" s="58">
        <v>0</v>
      </c>
      <c r="I68" s="58">
        <v>0</v>
      </c>
      <c r="J68" s="58">
        <v>0</v>
      </c>
      <c r="K68" s="58">
        <v>0</v>
      </c>
      <c r="L68" s="58">
        <v>4500</v>
      </c>
      <c r="M68" s="58">
        <v>0</v>
      </c>
      <c r="N68" s="58">
        <v>15136.95</v>
      </c>
      <c r="O68" s="58">
        <v>0</v>
      </c>
      <c r="P68" s="58">
        <v>0</v>
      </c>
      <c r="Q68" s="58">
        <v>0</v>
      </c>
      <c r="R68" s="58">
        <v>0</v>
      </c>
      <c r="S68" s="58">
        <v>0</v>
      </c>
      <c r="T68" s="58">
        <v>0</v>
      </c>
      <c r="U68" s="58">
        <v>0</v>
      </c>
      <c r="V68" s="58">
        <v>0</v>
      </c>
      <c r="W68" s="58">
        <v>0</v>
      </c>
      <c r="X68" s="58">
        <v>0</v>
      </c>
      <c r="Y68" s="58">
        <v>0</v>
      </c>
      <c r="Z68" s="58">
        <v>0</v>
      </c>
      <c r="AA68" s="58">
        <v>0</v>
      </c>
      <c r="AD68" s="18" t="str">
        <f t="array" ref="AD68">IFERROR(INDEX($A$1:$A$2000, MATCH(0, IF($AD$1*1=$C$1:$C$2090*1, COUNTIF($AD$1:$AD67, $A$1:$A$2000), ""), 0)),"")</f>
        <v>899</v>
      </c>
      <c r="AE68" s="57">
        <f t="shared" si="15"/>
        <v>15900</v>
      </c>
      <c r="AF68" s="18">
        <f t="shared" si="16"/>
        <v>0</v>
      </c>
      <c r="AG68" s="18">
        <f t="shared" si="17"/>
        <v>0</v>
      </c>
      <c r="AH68" s="18">
        <f t="shared" si="18"/>
        <v>0</v>
      </c>
      <c r="AI68" s="18">
        <f t="shared" si="19"/>
        <v>0</v>
      </c>
      <c r="AJ68" s="18">
        <f t="shared" si="20"/>
        <v>0</v>
      </c>
      <c r="AK68" s="18">
        <f t="shared" si="21"/>
        <v>0</v>
      </c>
      <c r="AL68" s="18">
        <f t="shared" si="22"/>
        <v>0</v>
      </c>
      <c r="AM68" s="18">
        <f t="shared" si="23"/>
        <v>0</v>
      </c>
    </row>
    <row r="69" spans="1:39" x14ac:dyDescent="0.35">
      <c r="A69" s="56" t="s">
        <v>137</v>
      </c>
      <c r="B69" s="58">
        <v>11000</v>
      </c>
      <c r="C69" s="58" t="s">
        <v>30</v>
      </c>
      <c r="D69" s="58">
        <v>68</v>
      </c>
      <c r="E69" s="58">
        <v>0</v>
      </c>
      <c r="F69" s="58">
        <v>0</v>
      </c>
      <c r="G69" s="58">
        <v>0</v>
      </c>
      <c r="H69" s="58">
        <v>0</v>
      </c>
      <c r="I69" s="58">
        <v>0</v>
      </c>
      <c r="J69" s="58">
        <v>0</v>
      </c>
      <c r="K69" s="58">
        <v>0</v>
      </c>
      <c r="L69" s="58">
        <v>5400</v>
      </c>
      <c r="M69" s="58">
        <v>0</v>
      </c>
      <c r="N69" s="58">
        <v>15136.95</v>
      </c>
      <c r="O69" s="58">
        <v>0</v>
      </c>
      <c r="P69" s="58">
        <v>0</v>
      </c>
      <c r="Q69" s="58">
        <v>0</v>
      </c>
      <c r="R69" s="58">
        <v>0</v>
      </c>
      <c r="S69" s="58">
        <v>0</v>
      </c>
      <c r="T69" s="58">
        <v>0</v>
      </c>
      <c r="U69" s="58">
        <v>0</v>
      </c>
      <c r="V69" s="58">
        <v>0</v>
      </c>
      <c r="W69" s="58">
        <v>0</v>
      </c>
      <c r="X69" s="58">
        <v>0</v>
      </c>
      <c r="Y69" s="58">
        <v>0</v>
      </c>
      <c r="Z69" s="58">
        <v>0</v>
      </c>
      <c r="AA69" s="58">
        <v>0</v>
      </c>
      <c r="AD69" s="18" t="str">
        <f t="array" ref="AD69">IFERROR(INDEX($A$1:$A$2000, MATCH(0, IF($AD$1*1=$C$1:$C$2090*1, COUNTIF($AD$1:$AD68, $A$1:$A$2000), ""), 0)),"")</f>
        <v>909</v>
      </c>
      <c r="AE69" s="57">
        <f t="shared" si="15"/>
        <v>15950</v>
      </c>
      <c r="AF69" s="18">
        <f t="shared" si="16"/>
        <v>0</v>
      </c>
      <c r="AG69" s="18">
        <f t="shared" si="17"/>
        <v>0</v>
      </c>
      <c r="AH69" s="18">
        <f t="shared" si="18"/>
        <v>0</v>
      </c>
      <c r="AI69" s="18">
        <f t="shared" si="19"/>
        <v>0</v>
      </c>
      <c r="AJ69" s="18">
        <f t="shared" si="20"/>
        <v>0</v>
      </c>
      <c r="AK69" s="18">
        <f t="shared" si="21"/>
        <v>0</v>
      </c>
      <c r="AL69" s="18">
        <f t="shared" si="22"/>
        <v>0</v>
      </c>
      <c r="AM69" s="18">
        <f t="shared" si="23"/>
        <v>0</v>
      </c>
    </row>
    <row r="70" spans="1:39" x14ac:dyDescent="0.35">
      <c r="A70" s="56" t="s">
        <v>138</v>
      </c>
      <c r="B70" s="58">
        <v>11000</v>
      </c>
      <c r="C70" s="58" t="s">
        <v>28</v>
      </c>
      <c r="D70" s="58">
        <v>2581</v>
      </c>
      <c r="E70" s="58">
        <v>0</v>
      </c>
      <c r="F70" s="58">
        <v>0</v>
      </c>
      <c r="G70" s="58">
        <v>0</v>
      </c>
      <c r="H70" s="58">
        <v>0</v>
      </c>
      <c r="I70" s="58">
        <v>0</v>
      </c>
      <c r="J70" s="58">
        <v>0</v>
      </c>
      <c r="K70" s="58">
        <v>0</v>
      </c>
      <c r="L70" s="58">
        <v>3300</v>
      </c>
      <c r="M70" s="58">
        <v>75</v>
      </c>
      <c r="N70" s="58">
        <v>15136.95</v>
      </c>
      <c r="O70" s="58">
        <v>0</v>
      </c>
      <c r="P70" s="58">
        <v>0</v>
      </c>
      <c r="Q70" s="58">
        <v>0</v>
      </c>
      <c r="R70" s="58">
        <v>0</v>
      </c>
      <c r="S70" s="58">
        <v>0</v>
      </c>
      <c r="T70" s="58">
        <v>0</v>
      </c>
      <c r="U70" s="58">
        <v>0</v>
      </c>
      <c r="V70" s="58">
        <v>0</v>
      </c>
      <c r="W70" s="58">
        <v>0</v>
      </c>
      <c r="X70" s="58">
        <v>0</v>
      </c>
      <c r="Y70" s="58">
        <v>0</v>
      </c>
      <c r="Z70" s="58">
        <v>0</v>
      </c>
      <c r="AA70" s="58">
        <v>0</v>
      </c>
      <c r="AD70" s="18" t="str">
        <f t="array" ref="AD70">IFERROR(INDEX($A$1:$A$2000, MATCH(0, IF($AD$1*1=$C$1:$C$2090*1, COUNTIF($AD$1:$AD69, $A$1:$A$2000), ""), 0)),"")</f>
        <v>919</v>
      </c>
      <c r="AE70" s="57">
        <f t="shared" si="15"/>
        <v>16000</v>
      </c>
      <c r="AF70" s="18">
        <f t="shared" si="16"/>
        <v>36.1</v>
      </c>
      <c r="AG70" s="18">
        <f t="shared" si="17"/>
        <v>7</v>
      </c>
      <c r="AH70" s="18">
        <f t="shared" si="18"/>
        <v>217</v>
      </c>
      <c r="AI70" s="18">
        <f t="shared" si="19"/>
        <v>96</v>
      </c>
      <c r="AJ70" s="18">
        <f t="shared" si="20"/>
        <v>0</v>
      </c>
      <c r="AK70" s="18">
        <f t="shared" si="21"/>
        <v>0</v>
      </c>
      <c r="AL70" s="18">
        <f t="shared" si="22"/>
        <v>0</v>
      </c>
      <c r="AM70" s="18">
        <f t="shared" si="23"/>
        <v>0</v>
      </c>
    </row>
    <row r="71" spans="1:39" x14ac:dyDescent="0.35">
      <c r="A71" s="56" t="s">
        <v>139</v>
      </c>
      <c r="B71" s="58">
        <v>11000</v>
      </c>
      <c r="C71" s="58" t="s">
        <v>32</v>
      </c>
      <c r="D71" s="58">
        <v>3759</v>
      </c>
      <c r="E71" s="58">
        <v>0</v>
      </c>
      <c r="F71" s="58">
        <v>0</v>
      </c>
      <c r="G71" s="58">
        <v>0</v>
      </c>
      <c r="H71" s="58">
        <v>0</v>
      </c>
      <c r="I71" s="58">
        <v>0</v>
      </c>
      <c r="J71" s="58">
        <v>0</v>
      </c>
      <c r="K71" s="58">
        <v>0</v>
      </c>
      <c r="L71" s="58">
        <v>6300</v>
      </c>
      <c r="M71" s="58">
        <v>75</v>
      </c>
      <c r="N71" s="58">
        <v>15136.95</v>
      </c>
      <c r="O71" s="58">
        <v>0</v>
      </c>
      <c r="P71" s="58">
        <v>0</v>
      </c>
      <c r="Q71" s="58">
        <v>0</v>
      </c>
      <c r="R71" s="58">
        <v>0</v>
      </c>
      <c r="S71" s="58">
        <v>0</v>
      </c>
      <c r="T71" s="58">
        <v>0</v>
      </c>
      <c r="U71" s="58">
        <v>0</v>
      </c>
      <c r="V71" s="58">
        <v>0</v>
      </c>
      <c r="W71" s="58">
        <v>0</v>
      </c>
      <c r="X71" s="58">
        <v>0</v>
      </c>
      <c r="Y71" s="58">
        <v>0</v>
      </c>
      <c r="Z71" s="58">
        <v>0</v>
      </c>
      <c r="AA71" s="58">
        <v>0</v>
      </c>
      <c r="AD71" s="18" t="str">
        <f t="array" ref="AD71">IFERROR(INDEX($A$1:$A$2000, MATCH(0, IF($AD$1*1=$C$1:$C$2090*1, COUNTIF($AD$1:$AD70, $A$1:$A$2000), ""), 0)),"")</f>
        <v>932</v>
      </c>
      <c r="AE71" s="57">
        <f t="shared" si="15"/>
        <v>16050</v>
      </c>
      <c r="AF71" s="18">
        <f t="shared" si="16"/>
        <v>0</v>
      </c>
      <c r="AG71" s="18">
        <f t="shared" si="17"/>
        <v>0</v>
      </c>
      <c r="AH71" s="18">
        <f t="shared" si="18"/>
        <v>0</v>
      </c>
      <c r="AI71" s="18">
        <f t="shared" si="19"/>
        <v>0</v>
      </c>
      <c r="AJ71" s="18">
        <f t="shared" si="20"/>
        <v>0</v>
      </c>
      <c r="AK71" s="18">
        <f t="shared" si="21"/>
        <v>0</v>
      </c>
      <c r="AL71" s="18">
        <f t="shared" si="22"/>
        <v>0</v>
      </c>
      <c r="AM71" s="18">
        <f t="shared" si="23"/>
        <v>0</v>
      </c>
    </row>
    <row r="72" spans="1:39" x14ac:dyDescent="0.35">
      <c r="A72" s="56" t="s">
        <v>140</v>
      </c>
      <c r="B72" s="58">
        <v>11000</v>
      </c>
      <c r="C72" s="58" t="s">
        <v>26</v>
      </c>
      <c r="D72" s="58">
        <v>7045</v>
      </c>
      <c r="E72" s="58">
        <v>69</v>
      </c>
      <c r="F72" s="58">
        <v>0.98910550458715596</v>
      </c>
      <c r="G72" s="58">
        <v>370</v>
      </c>
      <c r="H72" s="58">
        <v>46.84</v>
      </c>
      <c r="I72" s="58">
        <v>13.85</v>
      </c>
      <c r="J72" s="58">
        <v>-0.84999999999999964</v>
      </c>
      <c r="K72" s="58">
        <v>-5.782312925170066</v>
      </c>
      <c r="L72" s="58">
        <v>8625</v>
      </c>
      <c r="M72" s="58">
        <v>32175</v>
      </c>
      <c r="N72" s="58">
        <v>15136.95</v>
      </c>
      <c r="O72" s="58">
        <v>11000</v>
      </c>
      <c r="P72" s="58" t="s">
        <v>26</v>
      </c>
      <c r="Q72" s="58">
        <v>1305</v>
      </c>
      <c r="R72" s="58">
        <v>0</v>
      </c>
      <c r="S72" s="58">
        <v>0</v>
      </c>
      <c r="T72" s="58">
        <v>0</v>
      </c>
      <c r="U72" s="58">
        <v>0</v>
      </c>
      <c r="V72" s="58">
        <v>0</v>
      </c>
      <c r="W72" s="58">
        <v>0</v>
      </c>
      <c r="X72" s="58">
        <v>0</v>
      </c>
      <c r="Y72" s="58">
        <v>10725</v>
      </c>
      <c r="Z72" s="58">
        <v>10875</v>
      </c>
      <c r="AA72" s="58">
        <v>15136.95</v>
      </c>
      <c r="AD72" s="18" t="str">
        <f t="array" ref="AD72">IFERROR(INDEX($A$1:$A$2000, MATCH(0, IF($AD$1*1=$C$1:$C$2090*1, COUNTIF($AD$1:$AD71, $A$1:$A$2000), ""), 0)),"")</f>
        <v>942</v>
      </c>
      <c r="AE72" s="57">
        <f t="shared" si="15"/>
        <v>16100</v>
      </c>
      <c r="AF72" s="18">
        <f t="shared" si="16"/>
        <v>29.6</v>
      </c>
      <c r="AG72" s="18">
        <f t="shared" si="17"/>
        <v>0</v>
      </c>
      <c r="AH72" s="18">
        <f t="shared" si="18"/>
        <v>3</v>
      </c>
      <c r="AI72" s="18">
        <f t="shared" si="19"/>
        <v>8</v>
      </c>
      <c r="AJ72" s="18">
        <f t="shared" si="20"/>
        <v>0</v>
      </c>
      <c r="AK72" s="18">
        <f t="shared" si="21"/>
        <v>0</v>
      </c>
      <c r="AL72" s="18">
        <f t="shared" si="22"/>
        <v>0</v>
      </c>
      <c r="AM72" s="18">
        <f t="shared" si="23"/>
        <v>0</v>
      </c>
    </row>
    <row r="73" spans="1:39" x14ac:dyDescent="0.35">
      <c r="A73" s="56" t="s">
        <v>141</v>
      </c>
      <c r="B73" s="58">
        <v>11000</v>
      </c>
      <c r="C73" s="58" t="s">
        <v>27</v>
      </c>
      <c r="D73" s="58">
        <v>765</v>
      </c>
      <c r="E73" s="58">
        <v>0</v>
      </c>
      <c r="F73" s="58">
        <v>0</v>
      </c>
      <c r="G73" s="58">
        <v>0</v>
      </c>
      <c r="H73" s="58">
        <v>0</v>
      </c>
      <c r="I73" s="58">
        <v>0</v>
      </c>
      <c r="J73" s="58">
        <v>0</v>
      </c>
      <c r="K73" s="58">
        <v>0</v>
      </c>
      <c r="L73" s="58">
        <v>10425</v>
      </c>
      <c r="M73" s="58">
        <v>0</v>
      </c>
      <c r="N73" s="58">
        <v>15136.95</v>
      </c>
      <c r="O73" s="58">
        <v>11000</v>
      </c>
      <c r="P73" s="58" t="s">
        <v>27</v>
      </c>
      <c r="Q73" s="58">
        <v>124</v>
      </c>
      <c r="R73" s="58">
        <v>0</v>
      </c>
      <c r="S73" s="58">
        <v>0</v>
      </c>
      <c r="T73" s="58">
        <v>0</v>
      </c>
      <c r="U73" s="58">
        <v>0</v>
      </c>
      <c r="V73" s="58">
        <v>0</v>
      </c>
      <c r="W73" s="58">
        <v>0</v>
      </c>
      <c r="X73" s="58">
        <v>0</v>
      </c>
      <c r="Y73" s="58">
        <v>2400</v>
      </c>
      <c r="Z73" s="58">
        <v>150</v>
      </c>
      <c r="AA73" s="58">
        <v>15136.95</v>
      </c>
      <c r="AD73" s="18" t="str">
        <f t="array" ref="AD73">IFERROR(INDEX($A$1:$A$2000, MATCH(0, IF($AD$1*1=$C$1:$C$2090*1, COUNTIF($AD$1:$AD72, $A$1:$A$2000), ""), 0)),"")</f>
        <v>953</v>
      </c>
      <c r="AE73" s="57">
        <f t="shared" si="15"/>
        <v>16150</v>
      </c>
      <c r="AF73" s="18">
        <f t="shared" si="16"/>
        <v>0</v>
      </c>
      <c r="AG73" s="18">
        <f t="shared" si="17"/>
        <v>0</v>
      </c>
      <c r="AH73" s="18">
        <f t="shared" si="18"/>
        <v>0</v>
      </c>
      <c r="AI73" s="18">
        <f t="shared" si="19"/>
        <v>0</v>
      </c>
      <c r="AJ73" s="18">
        <f t="shared" si="20"/>
        <v>0</v>
      </c>
      <c r="AK73" s="18">
        <f t="shared" si="21"/>
        <v>0</v>
      </c>
      <c r="AL73" s="18">
        <f t="shared" si="22"/>
        <v>0</v>
      </c>
      <c r="AM73" s="18">
        <f t="shared" si="23"/>
        <v>0</v>
      </c>
    </row>
    <row r="74" spans="1:39" x14ac:dyDescent="0.35">
      <c r="A74" s="56" t="s">
        <v>142</v>
      </c>
      <c r="B74" s="58">
        <v>11000</v>
      </c>
      <c r="C74" s="58" t="s">
        <v>31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5400</v>
      </c>
      <c r="M74" s="58">
        <v>0</v>
      </c>
      <c r="N74" s="58">
        <v>15136.95</v>
      </c>
      <c r="O74" s="58">
        <v>11000</v>
      </c>
      <c r="P74" s="58" t="s">
        <v>31</v>
      </c>
      <c r="Q74" s="58">
        <v>2</v>
      </c>
      <c r="R74" s="58">
        <v>0</v>
      </c>
      <c r="S74" s="58">
        <v>0</v>
      </c>
      <c r="T74" s="58">
        <v>0</v>
      </c>
      <c r="U74" s="58">
        <v>0</v>
      </c>
      <c r="V74" s="58">
        <v>0</v>
      </c>
      <c r="W74" s="58">
        <v>0</v>
      </c>
      <c r="X74" s="58">
        <v>0</v>
      </c>
      <c r="Y74" s="58">
        <v>1800</v>
      </c>
      <c r="Z74" s="58">
        <v>0</v>
      </c>
      <c r="AA74" s="58">
        <v>15136.95</v>
      </c>
      <c r="AD74" s="18" t="str">
        <f t="array" ref="AD74">IFERROR(INDEX($A$1:$A$2000, MATCH(0, IF($AD$1*1=$C$1:$C$2090*1, COUNTIF($AD$1:$AD73, $A$1:$A$2000), ""), 0)),"")</f>
        <v>962</v>
      </c>
      <c r="AE74" s="57">
        <f t="shared" si="15"/>
        <v>16200</v>
      </c>
      <c r="AF74" s="18">
        <f t="shared" si="16"/>
        <v>0</v>
      </c>
      <c r="AG74" s="18">
        <f t="shared" si="17"/>
        <v>0</v>
      </c>
      <c r="AH74" s="18">
        <f t="shared" si="18"/>
        <v>20</v>
      </c>
      <c r="AI74" s="18">
        <f t="shared" si="19"/>
        <v>0</v>
      </c>
      <c r="AJ74" s="18">
        <f t="shared" si="20"/>
        <v>0</v>
      </c>
      <c r="AK74" s="18">
        <f t="shared" si="21"/>
        <v>0</v>
      </c>
      <c r="AL74" s="18">
        <f t="shared" si="22"/>
        <v>0</v>
      </c>
      <c r="AM74" s="18">
        <f t="shared" si="23"/>
        <v>0</v>
      </c>
    </row>
    <row r="75" spans="1:39" x14ac:dyDescent="0.35">
      <c r="A75" s="56" t="s">
        <v>143</v>
      </c>
      <c r="B75" s="58">
        <v>11000</v>
      </c>
      <c r="C75" s="58" t="s">
        <v>29</v>
      </c>
      <c r="D75" s="58">
        <v>5434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6750</v>
      </c>
      <c r="M75" s="58">
        <v>1200</v>
      </c>
      <c r="N75" s="58">
        <v>15136.95</v>
      </c>
      <c r="O75" s="58">
        <v>11000</v>
      </c>
      <c r="P75" s="58" t="s">
        <v>29</v>
      </c>
      <c r="Q75" s="58">
        <v>240</v>
      </c>
      <c r="R75" s="58">
        <v>0</v>
      </c>
      <c r="S75" s="58">
        <v>0</v>
      </c>
      <c r="T75" s="58">
        <v>0</v>
      </c>
      <c r="U75" s="58">
        <v>0</v>
      </c>
      <c r="V75" s="58">
        <v>0</v>
      </c>
      <c r="W75" s="58">
        <v>0</v>
      </c>
      <c r="X75" s="58">
        <v>0</v>
      </c>
      <c r="Y75" s="58">
        <v>1950</v>
      </c>
      <c r="Z75" s="58">
        <v>525</v>
      </c>
      <c r="AA75" s="58">
        <v>15136.95</v>
      </c>
      <c r="AD75" s="18" t="str">
        <f t="array" ref="AD75">IFERROR(INDEX($A$1:$A$2000, MATCH(0, IF($AD$1*1=$C$1:$C$2090*1, COUNTIF($AD$1:$AD74, $A$1:$A$2000), ""), 0)),"")</f>
        <v>971</v>
      </c>
      <c r="AE75" s="57">
        <f t="shared" si="15"/>
        <v>16250</v>
      </c>
      <c r="AF75" s="18">
        <f t="shared" si="16"/>
        <v>0</v>
      </c>
      <c r="AG75" s="18">
        <f t="shared" si="17"/>
        <v>0</v>
      </c>
      <c r="AH75" s="18">
        <f t="shared" si="18"/>
        <v>0</v>
      </c>
      <c r="AI75" s="18">
        <f t="shared" si="19"/>
        <v>0</v>
      </c>
      <c r="AJ75" s="18">
        <f t="shared" si="20"/>
        <v>0</v>
      </c>
      <c r="AK75" s="18">
        <f t="shared" si="21"/>
        <v>0</v>
      </c>
      <c r="AL75" s="18">
        <f t="shared" si="22"/>
        <v>0</v>
      </c>
      <c r="AM75" s="18">
        <f t="shared" si="23"/>
        <v>0</v>
      </c>
    </row>
    <row r="76" spans="1:39" x14ac:dyDescent="0.35">
      <c r="A76" s="56" t="s">
        <v>144</v>
      </c>
      <c r="B76" s="58">
        <v>11100</v>
      </c>
      <c r="C76" s="58" t="s">
        <v>27</v>
      </c>
      <c r="D76" s="58">
        <v>11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750</v>
      </c>
      <c r="M76" s="58">
        <v>0</v>
      </c>
      <c r="N76" s="58">
        <v>15136.95</v>
      </c>
      <c r="O76" s="58">
        <v>0</v>
      </c>
      <c r="P76" s="58">
        <v>0</v>
      </c>
      <c r="Q76" s="58">
        <v>0</v>
      </c>
      <c r="R76" s="58">
        <v>0</v>
      </c>
      <c r="S76" s="58">
        <v>0</v>
      </c>
      <c r="T76" s="58">
        <v>0</v>
      </c>
      <c r="U76" s="58">
        <v>0</v>
      </c>
      <c r="V76" s="58">
        <v>0</v>
      </c>
      <c r="W76" s="58">
        <v>0</v>
      </c>
      <c r="X76" s="58">
        <v>0</v>
      </c>
      <c r="Y76" s="58">
        <v>0</v>
      </c>
      <c r="Z76" s="58">
        <v>0</v>
      </c>
      <c r="AA76" s="58">
        <v>0</v>
      </c>
      <c r="AD76" s="18" t="str">
        <f t="array" ref="AD76">IFERROR(INDEX($A$1:$A$2000, MATCH(0, IF($AD$1*1=$C$1:$C$2090*1, COUNTIF($AD$1:$AD75, $A$1:$A$2000), ""), 0)),"")</f>
        <v>982</v>
      </c>
      <c r="AE76" s="57">
        <f t="shared" si="15"/>
        <v>16300</v>
      </c>
      <c r="AF76" s="18">
        <f t="shared" si="16"/>
        <v>0</v>
      </c>
      <c r="AG76" s="18">
        <f t="shared" si="17"/>
        <v>0</v>
      </c>
      <c r="AH76" s="18">
        <f t="shared" si="18"/>
        <v>0</v>
      </c>
      <c r="AI76" s="18">
        <f t="shared" si="19"/>
        <v>0</v>
      </c>
      <c r="AJ76" s="18">
        <f t="shared" si="20"/>
        <v>0</v>
      </c>
      <c r="AK76" s="18">
        <f t="shared" si="21"/>
        <v>0</v>
      </c>
      <c r="AL76" s="18">
        <f t="shared" si="22"/>
        <v>0</v>
      </c>
      <c r="AM76" s="18">
        <f t="shared" si="23"/>
        <v>0</v>
      </c>
    </row>
    <row r="77" spans="1:39" x14ac:dyDescent="0.35">
      <c r="A77" s="56" t="s">
        <v>145</v>
      </c>
      <c r="B77" s="58">
        <v>11100</v>
      </c>
      <c r="C77" s="58" t="s">
        <v>29</v>
      </c>
      <c r="D77" s="58">
        <v>2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825</v>
      </c>
      <c r="M77" s="58">
        <v>0</v>
      </c>
      <c r="N77" s="58">
        <v>15136.95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D77" s="18" t="str">
        <f t="array" ref="AD77">IFERROR(INDEX($A$1:$A$2000, MATCH(0, IF($AD$1*1=$C$1:$C$2090*1, COUNTIF($AD$1:$AD76, $A$1:$A$2000), ""), 0)),"")</f>
        <v>992</v>
      </c>
      <c r="AE77" s="57">
        <f t="shared" si="15"/>
        <v>16350</v>
      </c>
      <c r="AF77" s="18">
        <f t="shared" si="16"/>
        <v>0</v>
      </c>
      <c r="AG77" s="18">
        <f t="shared" si="17"/>
        <v>0</v>
      </c>
      <c r="AH77" s="18">
        <f t="shared" si="18"/>
        <v>0</v>
      </c>
      <c r="AI77" s="18">
        <f t="shared" si="19"/>
        <v>0</v>
      </c>
      <c r="AJ77" s="18">
        <f t="shared" si="20"/>
        <v>0</v>
      </c>
      <c r="AK77" s="18">
        <f t="shared" si="21"/>
        <v>0</v>
      </c>
      <c r="AL77" s="18">
        <f t="shared" si="22"/>
        <v>0</v>
      </c>
      <c r="AM77" s="18">
        <f t="shared" si="23"/>
        <v>0</v>
      </c>
    </row>
    <row r="78" spans="1:39" x14ac:dyDescent="0.35">
      <c r="A78" s="56" t="s">
        <v>146</v>
      </c>
      <c r="B78" s="58">
        <v>11200</v>
      </c>
      <c r="C78" s="58" t="s">
        <v>27</v>
      </c>
      <c r="D78" s="58">
        <v>252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750</v>
      </c>
      <c r="M78" s="58">
        <v>0</v>
      </c>
      <c r="N78" s="58">
        <v>15136.95</v>
      </c>
      <c r="O78" s="58">
        <v>11200</v>
      </c>
      <c r="P78" s="58" t="s">
        <v>27</v>
      </c>
      <c r="Q78" s="58">
        <v>398</v>
      </c>
      <c r="R78" s="58">
        <v>0</v>
      </c>
      <c r="S78" s="58">
        <v>0</v>
      </c>
      <c r="T78" s="58">
        <v>0</v>
      </c>
      <c r="U78" s="58">
        <v>0</v>
      </c>
      <c r="V78" s="58">
        <v>0</v>
      </c>
      <c r="W78" s="58">
        <v>0</v>
      </c>
      <c r="X78" s="58">
        <v>0</v>
      </c>
      <c r="Y78" s="58">
        <v>2250</v>
      </c>
      <c r="Z78" s="58">
        <v>0</v>
      </c>
      <c r="AA78" s="58">
        <v>15136.95</v>
      </c>
      <c r="AD78" s="18" t="str">
        <f t="array" ref="AD78">IFERROR(INDEX($A$1:$A$2000, MATCH(0, IF($AD$1*1=$C$1:$C$2090*1, COUNTIF($AD$1:$AD77, $A$1:$A$2000), ""), 0)),"")</f>
        <v>1002</v>
      </c>
      <c r="AE78" s="57">
        <f t="shared" si="15"/>
        <v>16400</v>
      </c>
      <c r="AF78" s="18">
        <f t="shared" si="16"/>
        <v>0</v>
      </c>
      <c r="AG78" s="18">
        <f t="shared" si="17"/>
        <v>0</v>
      </c>
      <c r="AH78" s="18">
        <f t="shared" si="18"/>
        <v>0</v>
      </c>
      <c r="AI78" s="18">
        <f t="shared" si="19"/>
        <v>0</v>
      </c>
      <c r="AJ78" s="18">
        <f t="shared" si="20"/>
        <v>0</v>
      </c>
      <c r="AK78" s="18">
        <f t="shared" si="21"/>
        <v>0</v>
      </c>
      <c r="AL78" s="18">
        <f t="shared" si="22"/>
        <v>0</v>
      </c>
      <c r="AM78" s="18">
        <f t="shared" si="23"/>
        <v>0</v>
      </c>
    </row>
    <row r="79" spans="1:39" x14ac:dyDescent="0.35">
      <c r="A79" s="56" t="s">
        <v>147</v>
      </c>
      <c r="B79" s="58">
        <v>11300</v>
      </c>
      <c r="C79" s="58" t="s">
        <v>29</v>
      </c>
      <c r="D79" s="58">
        <v>9</v>
      </c>
      <c r="E79" s="58">
        <v>0</v>
      </c>
      <c r="F79" s="58">
        <v>0</v>
      </c>
      <c r="G79" s="58">
        <v>0</v>
      </c>
      <c r="H79" s="58">
        <v>0</v>
      </c>
      <c r="I79" s="58">
        <v>0</v>
      </c>
      <c r="J79" s="58">
        <v>0</v>
      </c>
      <c r="K79" s="58">
        <v>0</v>
      </c>
      <c r="L79" s="58">
        <v>750</v>
      </c>
      <c r="M79" s="58">
        <v>0</v>
      </c>
      <c r="N79" s="58">
        <v>15136.95</v>
      </c>
      <c r="O79" s="58">
        <v>0</v>
      </c>
      <c r="P79" s="58">
        <v>0</v>
      </c>
      <c r="Q79" s="58">
        <v>0</v>
      </c>
      <c r="R79" s="58">
        <v>0</v>
      </c>
      <c r="S79" s="58">
        <v>0</v>
      </c>
      <c r="T79" s="58">
        <v>0</v>
      </c>
      <c r="U79" s="58">
        <v>0</v>
      </c>
      <c r="V79" s="58">
        <v>0</v>
      </c>
      <c r="W79" s="58">
        <v>0</v>
      </c>
      <c r="X79" s="58">
        <v>0</v>
      </c>
      <c r="Y79" s="58">
        <v>0</v>
      </c>
      <c r="Z79" s="58">
        <v>0</v>
      </c>
      <c r="AA79" s="58">
        <v>0</v>
      </c>
      <c r="AD79" s="18" t="str">
        <f t="array" ref="AD79">IFERROR(INDEX($A$1:$A$2000, MATCH(0, IF($AD$1*1=$C$1:$C$2090*1, COUNTIF($AD$1:$AD78, $A$1:$A$2000), ""), 0)),"")</f>
        <v>1013</v>
      </c>
      <c r="AE79" s="57">
        <f t="shared" si="15"/>
        <v>16450</v>
      </c>
      <c r="AF79" s="18">
        <f t="shared" si="16"/>
        <v>0</v>
      </c>
      <c r="AG79" s="18">
        <f t="shared" si="17"/>
        <v>0</v>
      </c>
      <c r="AH79" s="18">
        <f t="shared" si="18"/>
        <v>3</v>
      </c>
      <c r="AI79" s="18">
        <f t="shared" si="19"/>
        <v>0</v>
      </c>
      <c r="AJ79" s="18">
        <f t="shared" si="20"/>
        <v>0</v>
      </c>
      <c r="AK79" s="18">
        <f t="shared" si="21"/>
        <v>0</v>
      </c>
      <c r="AL79" s="18">
        <f t="shared" si="22"/>
        <v>0</v>
      </c>
      <c r="AM79" s="18">
        <f t="shared" si="23"/>
        <v>0</v>
      </c>
    </row>
    <row r="80" spans="1:39" x14ac:dyDescent="0.35">
      <c r="A80" s="56" t="s">
        <v>148</v>
      </c>
      <c r="B80" s="58">
        <v>11300</v>
      </c>
      <c r="C80" s="58" t="s">
        <v>27</v>
      </c>
      <c r="D80" s="58">
        <v>19</v>
      </c>
      <c r="E80" s="58">
        <v>0</v>
      </c>
      <c r="F80" s="58">
        <v>0</v>
      </c>
      <c r="G80" s="58">
        <v>0</v>
      </c>
      <c r="H80" s="58">
        <v>0</v>
      </c>
      <c r="I80" s="58">
        <v>0</v>
      </c>
      <c r="J80" s="58">
        <v>0</v>
      </c>
      <c r="K80" s="58">
        <v>0</v>
      </c>
      <c r="L80" s="58">
        <v>750</v>
      </c>
      <c r="M80" s="58">
        <v>0</v>
      </c>
      <c r="N80" s="58">
        <v>15136.95</v>
      </c>
      <c r="O80" s="58">
        <v>11300</v>
      </c>
      <c r="P80" s="58" t="s">
        <v>27</v>
      </c>
      <c r="Q80" s="58">
        <v>1</v>
      </c>
      <c r="R80" s="58">
        <v>0</v>
      </c>
      <c r="S80" s="58">
        <v>0</v>
      </c>
      <c r="T80" s="58">
        <v>0</v>
      </c>
      <c r="U80" s="58">
        <v>0</v>
      </c>
      <c r="V80" s="58">
        <v>0</v>
      </c>
      <c r="W80" s="58">
        <v>0</v>
      </c>
      <c r="X80" s="58">
        <v>0</v>
      </c>
      <c r="Y80" s="58">
        <v>2175</v>
      </c>
      <c r="Z80" s="58">
        <v>0</v>
      </c>
      <c r="AA80" s="58">
        <v>15136.95</v>
      </c>
      <c r="AD80" s="18" t="str">
        <f t="array" ref="AD80">IFERROR(INDEX($A$1:$A$2000, MATCH(0, IF($AD$1*1=$C$1:$C$2090*1, COUNTIF($AD$1:$AD79, $A$1:$A$2000), ""), 0)),"")</f>
        <v>1022</v>
      </c>
      <c r="AE80" s="57">
        <f t="shared" si="15"/>
        <v>16500</v>
      </c>
      <c r="AF80" s="18">
        <f t="shared" si="16"/>
        <v>14</v>
      </c>
      <c r="AG80" s="18">
        <f t="shared" si="17"/>
        <v>1</v>
      </c>
      <c r="AH80" s="18">
        <f t="shared" si="18"/>
        <v>4</v>
      </c>
      <c r="AI80" s="18">
        <f t="shared" si="19"/>
        <v>4</v>
      </c>
      <c r="AJ80" s="18">
        <f t="shared" si="20"/>
        <v>0</v>
      </c>
      <c r="AK80" s="18">
        <f t="shared" si="21"/>
        <v>0</v>
      </c>
      <c r="AL80" s="18">
        <f t="shared" si="22"/>
        <v>0</v>
      </c>
      <c r="AM80" s="18">
        <f t="shared" si="23"/>
        <v>0</v>
      </c>
    </row>
    <row r="81" spans="1:39" x14ac:dyDescent="0.35">
      <c r="A81" s="56" t="s">
        <v>149</v>
      </c>
      <c r="B81" s="58">
        <v>11400</v>
      </c>
      <c r="C81" s="58" t="s">
        <v>27</v>
      </c>
      <c r="D81" s="58">
        <v>690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750</v>
      </c>
      <c r="M81" s="58">
        <v>0</v>
      </c>
      <c r="N81" s="58">
        <v>15136.95</v>
      </c>
      <c r="O81" s="58">
        <v>11400</v>
      </c>
      <c r="P81" s="58" t="s">
        <v>27</v>
      </c>
      <c r="Q81" s="58">
        <v>1</v>
      </c>
      <c r="R81" s="58">
        <v>0</v>
      </c>
      <c r="S81" s="58">
        <v>0</v>
      </c>
      <c r="T81" s="58">
        <v>0</v>
      </c>
      <c r="U81" s="58">
        <v>0</v>
      </c>
      <c r="V81" s="58">
        <v>0</v>
      </c>
      <c r="W81" s="58">
        <v>0</v>
      </c>
      <c r="X81" s="58">
        <v>0</v>
      </c>
      <c r="Y81" s="58">
        <v>2175</v>
      </c>
      <c r="Z81" s="58">
        <v>0</v>
      </c>
      <c r="AA81" s="58">
        <v>15136.95</v>
      </c>
      <c r="AD81" s="18" t="str">
        <f t="array" ref="AD81">IFERROR(INDEX($A$1:$A$2000, MATCH(0, IF($AD$1*1=$C$1:$C$2090*1, COUNTIF($AD$1:$AD80, $A$1:$A$2000), ""), 0)),"")</f>
        <v>1036</v>
      </c>
      <c r="AE81" s="57">
        <f t="shared" si="15"/>
        <v>16550</v>
      </c>
      <c r="AF81" s="18">
        <f t="shared" si="16"/>
        <v>0</v>
      </c>
      <c r="AG81" s="18">
        <f t="shared" si="17"/>
        <v>0</v>
      </c>
      <c r="AH81" s="18">
        <f t="shared" si="18"/>
        <v>0</v>
      </c>
      <c r="AI81" s="18">
        <f t="shared" si="19"/>
        <v>0</v>
      </c>
      <c r="AJ81" s="18">
        <f t="shared" si="20"/>
        <v>0</v>
      </c>
      <c r="AK81" s="18">
        <f t="shared" si="21"/>
        <v>0</v>
      </c>
      <c r="AL81" s="18">
        <f t="shared" si="22"/>
        <v>0</v>
      </c>
      <c r="AM81" s="18">
        <f t="shared" si="23"/>
        <v>0</v>
      </c>
    </row>
    <row r="82" spans="1:39" x14ac:dyDescent="0.35">
      <c r="A82" s="56" t="s">
        <v>150</v>
      </c>
      <c r="B82" s="58">
        <v>11400</v>
      </c>
      <c r="C82" s="58" t="s">
        <v>29</v>
      </c>
      <c r="D82" s="58">
        <v>19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750</v>
      </c>
      <c r="M82" s="58">
        <v>0</v>
      </c>
      <c r="N82" s="58">
        <v>15136.95</v>
      </c>
      <c r="O82" s="58">
        <v>0</v>
      </c>
      <c r="P82" s="58">
        <v>0</v>
      </c>
      <c r="Q82" s="58">
        <v>0</v>
      </c>
      <c r="R82" s="58">
        <v>0</v>
      </c>
      <c r="S82" s="58">
        <v>0</v>
      </c>
      <c r="T82" s="58">
        <v>0</v>
      </c>
      <c r="U82" s="58">
        <v>0</v>
      </c>
      <c r="V82" s="58">
        <v>0</v>
      </c>
      <c r="W82" s="58">
        <v>0</v>
      </c>
      <c r="X82" s="58">
        <v>0</v>
      </c>
      <c r="Y82" s="58">
        <v>0</v>
      </c>
      <c r="Z82" s="58">
        <v>0</v>
      </c>
      <c r="AA82" s="58">
        <v>0</v>
      </c>
      <c r="AD82" s="18" t="str">
        <f t="array" ref="AD82">IFERROR(INDEX($A$1:$A$2000, MATCH(0, IF($AD$1*1=$C$1:$C$2090*1, COUNTIF($AD$1:$AD81, $A$1:$A$2000), ""), 0)),"")</f>
        <v>1046</v>
      </c>
      <c r="AE82" s="57">
        <f t="shared" si="15"/>
        <v>16600</v>
      </c>
      <c r="AF82" s="18">
        <f t="shared" si="16"/>
        <v>0</v>
      </c>
      <c r="AG82" s="18">
        <f t="shared" si="17"/>
        <v>0</v>
      </c>
      <c r="AH82" s="18">
        <f t="shared" si="18"/>
        <v>0</v>
      </c>
      <c r="AI82" s="18">
        <f t="shared" si="19"/>
        <v>0</v>
      </c>
      <c r="AJ82" s="18">
        <f t="shared" si="20"/>
        <v>0</v>
      </c>
      <c r="AK82" s="18">
        <f t="shared" si="21"/>
        <v>0</v>
      </c>
      <c r="AL82" s="18">
        <f t="shared" si="22"/>
        <v>0</v>
      </c>
      <c r="AM82" s="18">
        <f t="shared" si="23"/>
        <v>0</v>
      </c>
    </row>
    <row r="83" spans="1:39" x14ac:dyDescent="0.35">
      <c r="A83" s="56" t="s">
        <v>151</v>
      </c>
      <c r="B83" s="58">
        <v>11450</v>
      </c>
      <c r="C83" s="58" t="s">
        <v>33</v>
      </c>
      <c r="D83" s="58">
        <v>576</v>
      </c>
      <c r="E83" s="58">
        <v>28</v>
      </c>
      <c r="F83" s="58">
        <v>5.1094890510948909</v>
      </c>
      <c r="G83" s="58">
        <v>107</v>
      </c>
      <c r="H83" s="58">
        <v>58.89</v>
      </c>
      <c r="I83" s="58">
        <v>3.45</v>
      </c>
      <c r="J83" s="58">
        <v>-1.2000000000000002</v>
      </c>
      <c r="K83" s="58">
        <v>-25.806451612903224</v>
      </c>
      <c r="L83" s="58">
        <v>15450</v>
      </c>
      <c r="M83" s="58">
        <v>26025</v>
      </c>
      <c r="N83" s="58">
        <v>15136.95</v>
      </c>
      <c r="O83" s="58">
        <v>11450</v>
      </c>
      <c r="P83" s="58" t="s">
        <v>33</v>
      </c>
      <c r="Q83" s="58">
        <v>113</v>
      </c>
      <c r="R83" s="58">
        <v>0</v>
      </c>
      <c r="S83" s="58">
        <v>0</v>
      </c>
      <c r="T83" s="58">
        <v>0</v>
      </c>
      <c r="U83" s="58">
        <v>0</v>
      </c>
      <c r="V83" s="58">
        <v>0</v>
      </c>
      <c r="W83" s="58">
        <v>0</v>
      </c>
      <c r="X83" s="58">
        <v>0</v>
      </c>
      <c r="Y83" s="58">
        <v>11325</v>
      </c>
      <c r="Z83" s="58">
        <v>11475</v>
      </c>
      <c r="AA83" s="58">
        <v>15136.95</v>
      </c>
      <c r="AD83" s="18" t="str">
        <f t="array" ref="AD83">IFERROR(INDEX($A$1:$A$2000, MATCH(0, IF($AD$1*1=$C$1:$C$2090*1, COUNTIF($AD$1:$AD82, $A$1:$A$2000), ""), 0)),"")</f>
        <v/>
      </c>
      <c r="AE83" s="57" t="str">
        <f t="shared" si="15"/>
        <v/>
      </c>
      <c r="AF83" s="18" t="str">
        <f t="shared" si="16"/>
        <v/>
      </c>
      <c r="AG83" s="18" t="str">
        <f t="shared" si="17"/>
        <v/>
      </c>
      <c r="AH83" s="18" t="str">
        <f t="shared" si="18"/>
        <v/>
      </c>
      <c r="AI83" s="18" t="str">
        <f t="shared" si="19"/>
        <v/>
      </c>
      <c r="AJ83" s="18" t="str">
        <f t="shared" si="20"/>
        <v/>
      </c>
      <c r="AK83" s="18" t="str">
        <f t="shared" si="21"/>
        <v/>
      </c>
      <c r="AL83" s="18" t="str">
        <f t="shared" si="22"/>
        <v/>
      </c>
      <c r="AM83" s="18" t="str">
        <f t="shared" si="23"/>
        <v/>
      </c>
    </row>
    <row r="84" spans="1:39" x14ac:dyDescent="0.35">
      <c r="A84" s="56" t="s">
        <v>152</v>
      </c>
      <c r="B84" s="58">
        <v>11500</v>
      </c>
      <c r="C84" s="58" t="s">
        <v>31</v>
      </c>
      <c r="D84" s="58">
        <v>0</v>
      </c>
      <c r="E84" s="58">
        <v>0</v>
      </c>
      <c r="F84" s="58">
        <v>0</v>
      </c>
      <c r="G84" s="58">
        <v>0</v>
      </c>
      <c r="H84" s="58">
        <v>0</v>
      </c>
      <c r="I84" s="58">
        <v>0</v>
      </c>
      <c r="J84" s="58">
        <v>0</v>
      </c>
      <c r="K84" s="58">
        <v>0</v>
      </c>
      <c r="L84" s="58">
        <v>6900</v>
      </c>
      <c r="M84" s="58">
        <v>0</v>
      </c>
      <c r="N84" s="58">
        <v>15136.95</v>
      </c>
      <c r="O84" s="58">
        <v>11500</v>
      </c>
      <c r="P84" s="58" t="s">
        <v>31</v>
      </c>
      <c r="Q84" s="58">
        <v>0</v>
      </c>
      <c r="R84" s="58">
        <v>0</v>
      </c>
      <c r="S84" s="58">
        <v>0</v>
      </c>
      <c r="T84" s="58">
        <v>0</v>
      </c>
      <c r="U84" s="58">
        <v>0</v>
      </c>
      <c r="V84" s="58">
        <v>0</v>
      </c>
      <c r="W84" s="58">
        <v>0</v>
      </c>
      <c r="X84" s="58">
        <v>0</v>
      </c>
      <c r="Y84" s="58">
        <v>1500</v>
      </c>
      <c r="Z84" s="58">
        <v>0</v>
      </c>
      <c r="AA84" s="58">
        <v>15136.95</v>
      </c>
      <c r="AD84" s="18" t="str">
        <f t="array" ref="AD84">IFERROR(INDEX($A$1:$A$2000, MATCH(0, IF($AD$1*1=$C$1:$C$2090*1, COUNTIF($AD$1:$AD83, $A$1:$A$2000), ""), 0)),"")</f>
        <v/>
      </c>
      <c r="AE84" s="57" t="str">
        <f t="shared" si="15"/>
        <v/>
      </c>
      <c r="AF84" s="18" t="str">
        <f t="shared" si="16"/>
        <v/>
      </c>
      <c r="AG84" s="18" t="str">
        <f t="shared" si="17"/>
        <v/>
      </c>
      <c r="AH84" s="18" t="str">
        <f t="shared" si="18"/>
        <v/>
      </c>
      <c r="AI84" s="18" t="str">
        <f t="shared" si="19"/>
        <v/>
      </c>
      <c r="AJ84" s="18" t="str">
        <f t="shared" si="20"/>
        <v/>
      </c>
      <c r="AK84" s="18" t="str">
        <f t="shared" si="21"/>
        <v/>
      </c>
      <c r="AL84" s="18" t="str">
        <f t="shared" si="22"/>
        <v/>
      </c>
      <c r="AM84" s="18" t="str">
        <f t="shared" si="23"/>
        <v/>
      </c>
    </row>
    <row r="85" spans="1:39" x14ac:dyDescent="0.35">
      <c r="A85" s="56" t="s">
        <v>153</v>
      </c>
      <c r="B85" s="58">
        <v>11500</v>
      </c>
      <c r="C85" s="58" t="s">
        <v>26</v>
      </c>
      <c r="D85" s="58">
        <v>8001</v>
      </c>
      <c r="E85" s="58">
        <v>166</v>
      </c>
      <c r="F85" s="58">
        <v>2.1186981493299299</v>
      </c>
      <c r="G85" s="58">
        <v>452</v>
      </c>
      <c r="H85" s="58">
        <v>43.2</v>
      </c>
      <c r="I85" s="58">
        <v>18.25</v>
      </c>
      <c r="J85" s="58">
        <v>-1.6000000000000014</v>
      </c>
      <c r="K85" s="58">
        <v>-8.0604534005037856</v>
      </c>
      <c r="L85" s="58">
        <v>3975</v>
      </c>
      <c r="M85" s="58">
        <v>9750</v>
      </c>
      <c r="N85" s="58">
        <v>15136.95</v>
      </c>
      <c r="O85" s="58">
        <v>11500</v>
      </c>
      <c r="P85" s="58" t="s">
        <v>26</v>
      </c>
      <c r="Q85" s="58">
        <v>838</v>
      </c>
      <c r="R85" s="58">
        <v>-7</v>
      </c>
      <c r="S85" s="58">
        <v>-0.82840236686390534</v>
      </c>
      <c r="T85" s="58">
        <v>14</v>
      </c>
      <c r="U85" s="58">
        <v>0</v>
      </c>
      <c r="V85" s="58">
        <v>3675</v>
      </c>
      <c r="W85" s="58">
        <v>95</v>
      </c>
      <c r="X85" s="58">
        <v>2.6536312849162011</v>
      </c>
      <c r="Y85" s="58">
        <v>11550</v>
      </c>
      <c r="Z85" s="58">
        <v>11850</v>
      </c>
      <c r="AA85" s="58">
        <v>15136.95</v>
      </c>
      <c r="AD85" s="18" t="str">
        <f t="array" ref="AD85">IFERROR(INDEX($A$1:$A$2000, MATCH(0, IF($AD$1*1=$C$1:$C$2090*1, COUNTIF($AD$1:$AD84, $A$1:$A$2000), ""), 0)),"")</f>
        <v/>
      </c>
      <c r="AE85" s="57" t="str">
        <f t="shared" si="15"/>
        <v/>
      </c>
      <c r="AF85" s="18" t="str">
        <f t="shared" si="16"/>
        <v/>
      </c>
      <c r="AG85" s="18" t="str">
        <f t="shared" si="17"/>
        <v/>
      </c>
      <c r="AH85" s="18" t="str">
        <f t="shared" si="18"/>
        <v/>
      </c>
      <c r="AI85" s="18" t="str">
        <f t="shared" si="19"/>
        <v/>
      </c>
      <c r="AJ85" s="18" t="str">
        <f t="shared" si="20"/>
        <v/>
      </c>
      <c r="AK85" s="18" t="str">
        <f t="shared" si="21"/>
        <v/>
      </c>
      <c r="AL85" s="18" t="str">
        <f t="shared" si="22"/>
        <v/>
      </c>
      <c r="AM85" s="18" t="str">
        <f t="shared" si="23"/>
        <v/>
      </c>
    </row>
    <row r="86" spans="1:39" x14ac:dyDescent="0.35">
      <c r="A86" s="56" t="s">
        <v>154</v>
      </c>
      <c r="B86" s="58">
        <v>11500</v>
      </c>
      <c r="C86" s="58" t="s">
        <v>30</v>
      </c>
      <c r="D86" s="58">
        <v>383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3900</v>
      </c>
      <c r="M86" s="58">
        <v>375</v>
      </c>
      <c r="N86" s="58">
        <v>15136.95</v>
      </c>
      <c r="O86" s="58">
        <v>0</v>
      </c>
      <c r="P86" s="58">
        <v>0</v>
      </c>
      <c r="Q86" s="58">
        <v>0</v>
      </c>
      <c r="R86" s="58">
        <v>0</v>
      </c>
      <c r="S86" s="58">
        <v>0</v>
      </c>
      <c r="T86" s="58">
        <v>0</v>
      </c>
      <c r="U86" s="58">
        <v>0</v>
      </c>
      <c r="V86" s="58">
        <v>0</v>
      </c>
      <c r="W86" s="58">
        <v>0</v>
      </c>
      <c r="X86" s="58">
        <v>0</v>
      </c>
      <c r="Y86" s="58">
        <v>0</v>
      </c>
      <c r="Z86" s="58">
        <v>0</v>
      </c>
      <c r="AA86" s="58">
        <v>0</v>
      </c>
      <c r="AD86" s="18" t="str">
        <f t="array" ref="AD86">IFERROR(INDEX($A$1:$A$2000, MATCH(0, IF($AD$1*1=$C$1:$C$2090*1, COUNTIF($AD$1:$AD85, $A$1:$A$2000), ""), 0)),"")</f>
        <v/>
      </c>
      <c r="AE86" s="57" t="str">
        <f t="shared" si="15"/>
        <v/>
      </c>
      <c r="AF86" s="18" t="str">
        <f t="shared" si="16"/>
        <v/>
      </c>
      <c r="AG86" s="18" t="str">
        <f t="shared" si="17"/>
        <v/>
      </c>
      <c r="AH86" s="18" t="str">
        <f t="shared" si="18"/>
        <v/>
      </c>
      <c r="AI86" s="18" t="str">
        <f t="shared" si="19"/>
        <v/>
      </c>
      <c r="AJ86" s="18" t="str">
        <f t="shared" si="20"/>
        <v/>
      </c>
      <c r="AK86" s="18" t="str">
        <f t="shared" si="21"/>
        <v/>
      </c>
      <c r="AL86" s="18" t="str">
        <f t="shared" si="22"/>
        <v/>
      </c>
      <c r="AM86" s="18" t="str">
        <f t="shared" si="23"/>
        <v/>
      </c>
    </row>
    <row r="87" spans="1:39" x14ac:dyDescent="0.35">
      <c r="A87" s="56" t="s">
        <v>155</v>
      </c>
      <c r="B87" s="58">
        <v>11500</v>
      </c>
      <c r="C87" s="58" t="s">
        <v>28</v>
      </c>
      <c r="D87" s="58">
        <v>13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3900</v>
      </c>
      <c r="M87" s="58">
        <v>0</v>
      </c>
      <c r="N87" s="58">
        <v>15136.95</v>
      </c>
      <c r="O87" s="58">
        <v>11500</v>
      </c>
      <c r="P87" s="58" t="s">
        <v>28</v>
      </c>
      <c r="Q87" s="58">
        <v>51</v>
      </c>
      <c r="R87" s="58">
        <v>0</v>
      </c>
      <c r="S87" s="58">
        <v>0</v>
      </c>
      <c r="T87" s="58">
        <v>0</v>
      </c>
      <c r="U87" s="58">
        <v>0</v>
      </c>
      <c r="V87" s="58">
        <v>0</v>
      </c>
      <c r="W87" s="58">
        <v>0</v>
      </c>
      <c r="X87" s="58">
        <v>0</v>
      </c>
      <c r="Y87" s="58">
        <v>750</v>
      </c>
      <c r="Z87" s="58">
        <v>0</v>
      </c>
      <c r="AA87" s="58">
        <v>15136.95</v>
      </c>
      <c r="AD87" s="18" t="str">
        <f t="array" ref="AD87">IFERROR(INDEX($A$1:$A$2000, MATCH(0, IF($AD$1*1=$C$1:$C$2090*1, COUNTIF($AD$1:$AD86, $A$1:$A$2000), ""), 0)),"")</f>
        <v/>
      </c>
      <c r="AE87" s="57" t="str">
        <f t="shared" si="15"/>
        <v/>
      </c>
      <c r="AF87" s="18" t="str">
        <f t="shared" si="16"/>
        <v/>
      </c>
      <c r="AG87" s="18" t="str">
        <f t="shared" si="17"/>
        <v/>
      </c>
      <c r="AH87" s="18" t="str">
        <f t="shared" si="18"/>
        <v/>
      </c>
      <c r="AI87" s="18" t="str">
        <f t="shared" si="19"/>
        <v/>
      </c>
      <c r="AJ87" s="18" t="str">
        <f t="shared" si="20"/>
        <v/>
      </c>
      <c r="AK87" s="18" t="str">
        <f t="shared" si="21"/>
        <v/>
      </c>
      <c r="AL87" s="18" t="str">
        <f t="shared" si="22"/>
        <v/>
      </c>
      <c r="AM87" s="18" t="str">
        <f t="shared" si="23"/>
        <v/>
      </c>
    </row>
    <row r="88" spans="1:39" x14ac:dyDescent="0.35">
      <c r="A88" s="56" t="s">
        <v>156</v>
      </c>
      <c r="B88" s="58">
        <v>11500</v>
      </c>
      <c r="C88" s="58" t="s">
        <v>32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3975</v>
      </c>
      <c r="M88" s="58">
        <v>0</v>
      </c>
      <c r="N88" s="58">
        <v>15136.95</v>
      </c>
      <c r="O88" s="58">
        <v>0</v>
      </c>
      <c r="P88" s="58">
        <v>0</v>
      </c>
      <c r="Q88" s="58">
        <v>0</v>
      </c>
      <c r="R88" s="58">
        <v>0</v>
      </c>
      <c r="S88" s="58">
        <v>0</v>
      </c>
      <c r="T88" s="58">
        <v>0</v>
      </c>
      <c r="U88" s="58">
        <v>0</v>
      </c>
      <c r="V88" s="58">
        <v>0</v>
      </c>
      <c r="W88" s="58">
        <v>0</v>
      </c>
      <c r="X88" s="58">
        <v>0</v>
      </c>
      <c r="Y88" s="58">
        <v>0</v>
      </c>
      <c r="Z88" s="58">
        <v>0</v>
      </c>
      <c r="AA88" s="58">
        <v>0</v>
      </c>
      <c r="AD88" s="18" t="str">
        <f t="array" ref="AD88">IFERROR(INDEX($A$1:$A$2000, MATCH(0, IF($AD$1*1=$C$1:$C$2090*1, COUNTIF($AD$1:$AD87, $A$1:$A$2000), ""), 0)),"")</f>
        <v/>
      </c>
      <c r="AE88" s="57" t="str">
        <f t="shared" si="15"/>
        <v/>
      </c>
      <c r="AF88" s="18" t="str">
        <f t="shared" si="16"/>
        <v/>
      </c>
      <c r="AG88" s="18" t="str">
        <f t="shared" si="17"/>
        <v/>
      </c>
      <c r="AH88" s="18" t="str">
        <f t="shared" si="18"/>
        <v/>
      </c>
      <c r="AI88" s="18" t="str">
        <f t="shared" si="19"/>
        <v/>
      </c>
      <c r="AJ88" s="18" t="str">
        <f t="shared" si="20"/>
        <v/>
      </c>
      <c r="AK88" s="18" t="str">
        <f t="shared" si="21"/>
        <v/>
      </c>
      <c r="AL88" s="18" t="str">
        <f t="shared" si="22"/>
        <v/>
      </c>
      <c r="AM88" s="18" t="str">
        <f t="shared" si="23"/>
        <v/>
      </c>
    </row>
    <row r="89" spans="1:39" x14ac:dyDescent="0.35">
      <c r="A89" s="56" t="s">
        <v>157</v>
      </c>
      <c r="B89" s="58">
        <v>11500</v>
      </c>
      <c r="C89" s="58" t="s">
        <v>33</v>
      </c>
      <c r="D89" s="58">
        <v>10571</v>
      </c>
      <c r="E89" s="58">
        <v>8</v>
      </c>
      <c r="F89" s="58">
        <v>7.5736059831487262E-2</v>
      </c>
      <c r="G89" s="58">
        <v>505</v>
      </c>
      <c r="H89" s="58">
        <v>57.67</v>
      </c>
      <c r="I89" s="58">
        <v>3.25</v>
      </c>
      <c r="J89" s="58">
        <v>-1.2999999999999998</v>
      </c>
      <c r="K89" s="58">
        <v>-28.571428571428569</v>
      </c>
      <c r="L89" s="58">
        <v>64350</v>
      </c>
      <c r="M89" s="58">
        <v>62925</v>
      </c>
      <c r="N89" s="58">
        <v>15136.95</v>
      </c>
      <c r="O89" s="58">
        <v>11500</v>
      </c>
      <c r="P89" s="58" t="s">
        <v>33</v>
      </c>
      <c r="Q89" s="58">
        <v>6999</v>
      </c>
      <c r="R89" s="58">
        <v>-18</v>
      </c>
      <c r="S89" s="58">
        <v>-0.25651988029072254</v>
      </c>
      <c r="T89" s="58">
        <v>26</v>
      </c>
      <c r="U89" s="58">
        <v>0</v>
      </c>
      <c r="V89" s="58">
        <v>3640</v>
      </c>
      <c r="W89" s="58">
        <v>69.300000000000182</v>
      </c>
      <c r="X89" s="58">
        <v>1.9407959223681683</v>
      </c>
      <c r="Y89" s="58">
        <v>14250</v>
      </c>
      <c r="Z89" s="58">
        <v>12375</v>
      </c>
      <c r="AA89" s="58">
        <v>15136.95</v>
      </c>
      <c r="AD89" s="18" t="str">
        <f t="array" ref="AD89">IFERROR(INDEX($A$1:$A$2000, MATCH(0, IF($AD$1*1=$C$1:$C$2090*1, COUNTIF($AD$1:$AD88, $A$1:$A$2000), ""), 0)),"")</f>
        <v/>
      </c>
      <c r="AE89" s="57" t="str">
        <f t="shared" si="15"/>
        <v/>
      </c>
      <c r="AF89" s="18" t="str">
        <f t="shared" si="16"/>
        <v/>
      </c>
      <c r="AG89" s="18" t="str">
        <f t="shared" si="17"/>
        <v/>
      </c>
      <c r="AH89" s="18" t="str">
        <f t="shared" si="18"/>
        <v/>
      </c>
      <c r="AI89" s="18" t="str">
        <f t="shared" si="19"/>
        <v/>
      </c>
      <c r="AJ89" s="18" t="str">
        <f t="shared" si="20"/>
        <v/>
      </c>
      <c r="AK89" s="18" t="str">
        <f t="shared" si="21"/>
        <v/>
      </c>
      <c r="AL89" s="18" t="str">
        <f t="shared" si="22"/>
        <v/>
      </c>
      <c r="AM89" s="18" t="str">
        <f t="shared" si="23"/>
        <v/>
      </c>
    </row>
    <row r="90" spans="1:39" x14ac:dyDescent="0.35">
      <c r="A90" s="56" t="s">
        <v>158</v>
      </c>
      <c r="B90" s="58">
        <v>11500</v>
      </c>
      <c r="C90" s="58" t="s">
        <v>27</v>
      </c>
      <c r="D90" s="58">
        <v>136</v>
      </c>
      <c r="E90" s="58">
        <v>0</v>
      </c>
      <c r="F90" s="58">
        <v>0</v>
      </c>
      <c r="G90" s="58">
        <v>0</v>
      </c>
      <c r="H90" s="58">
        <v>0</v>
      </c>
      <c r="I90" s="58">
        <v>0</v>
      </c>
      <c r="J90" s="58">
        <v>0</v>
      </c>
      <c r="K90" s="58">
        <v>0</v>
      </c>
      <c r="L90" s="58">
        <v>4950</v>
      </c>
      <c r="M90" s="58">
        <v>0</v>
      </c>
      <c r="N90" s="58">
        <v>15136.95</v>
      </c>
      <c r="O90" s="58">
        <v>11500</v>
      </c>
      <c r="P90" s="58" t="s">
        <v>27</v>
      </c>
      <c r="Q90" s="58">
        <v>531</v>
      </c>
      <c r="R90" s="58">
        <v>0</v>
      </c>
      <c r="S90" s="58">
        <v>0</v>
      </c>
      <c r="T90" s="58">
        <v>0</v>
      </c>
      <c r="U90" s="58">
        <v>0</v>
      </c>
      <c r="V90" s="58">
        <v>0</v>
      </c>
      <c r="W90" s="58">
        <v>0</v>
      </c>
      <c r="X90" s="58">
        <v>0</v>
      </c>
      <c r="Y90" s="58">
        <v>2100</v>
      </c>
      <c r="Z90" s="58">
        <v>0</v>
      </c>
      <c r="AA90" s="58">
        <v>15136.95</v>
      </c>
      <c r="AD90" s="18" t="str">
        <f t="array" ref="AD90">IFERROR(INDEX($A$1:$A$2000, MATCH(0, IF($AD$1*1=$C$1:$C$2090*1, COUNTIF($AD$1:$AD89, $A$1:$A$2000), ""), 0)),"")</f>
        <v/>
      </c>
      <c r="AE90" s="57" t="str">
        <f t="shared" si="15"/>
        <v/>
      </c>
      <c r="AF90" s="18" t="str">
        <f t="shared" si="16"/>
        <v/>
      </c>
      <c r="AG90" s="18" t="str">
        <f t="shared" si="17"/>
        <v/>
      </c>
      <c r="AH90" s="18" t="str">
        <f t="shared" si="18"/>
        <v/>
      </c>
      <c r="AI90" s="18" t="str">
        <f t="shared" si="19"/>
        <v/>
      </c>
      <c r="AJ90" s="18" t="str">
        <f t="shared" si="20"/>
        <v/>
      </c>
      <c r="AK90" s="18" t="str">
        <f t="shared" si="21"/>
        <v/>
      </c>
      <c r="AL90" s="18" t="str">
        <f t="shared" si="22"/>
        <v/>
      </c>
      <c r="AM90" s="18" t="str">
        <f t="shared" si="23"/>
        <v/>
      </c>
    </row>
    <row r="91" spans="1:39" x14ac:dyDescent="0.35">
      <c r="A91" s="56" t="s">
        <v>159</v>
      </c>
      <c r="B91" s="58">
        <v>11500</v>
      </c>
      <c r="C91" s="58" t="s">
        <v>29</v>
      </c>
      <c r="D91" s="58">
        <v>1366</v>
      </c>
      <c r="E91" s="58">
        <v>0</v>
      </c>
      <c r="F91" s="58">
        <v>0</v>
      </c>
      <c r="G91" s="58">
        <v>0</v>
      </c>
      <c r="H91" s="58">
        <v>0</v>
      </c>
      <c r="I91" s="58">
        <v>0</v>
      </c>
      <c r="J91" s="58">
        <v>0</v>
      </c>
      <c r="K91" s="58">
        <v>0</v>
      </c>
      <c r="L91" s="58">
        <v>4950</v>
      </c>
      <c r="M91" s="58">
        <v>525</v>
      </c>
      <c r="N91" s="58">
        <v>15136.95</v>
      </c>
      <c r="O91" s="58">
        <v>11500</v>
      </c>
      <c r="P91" s="58" t="s">
        <v>29</v>
      </c>
      <c r="Q91" s="58">
        <v>861</v>
      </c>
      <c r="R91" s="58">
        <v>0</v>
      </c>
      <c r="S91" s="58">
        <v>0</v>
      </c>
      <c r="T91" s="58">
        <v>0</v>
      </c>
      <c r="U91" s="58">
        <v>0</v>
      </c>
      <c r="V91" s="58">
        <v>0</v>
      </c>
      <c r="W91" s="58">
        <v>0</v>
      </c>
      <c r="X91" s="58">
        <v>0</v>
      </c>
      <c r="Y91" s="58">
        <v>2325</v>
      </c>
      <c r="Z91" s="58">
        <v>0</v>
      </c>
      <c r="AA91" s="58">
        <v>15136.95</v>
      </c>
      <c r="AD91" s="18" t="str">
        <f t="array" ref="AD91">IFERROR(INDEX($A$1:$A$2000, MATCH(0, IF($AD$1*1=$C$1:$C$2090*1, COUNTIF($AD$1:$AD90, $A$1:$A$2000), ""), 0)),"")</f>
        <v/>
      </c>
      <c r="AE91" s="57" t="str">
        <f t="shared" si="15"/>
        <v/>
      </c>
      <c r="AF91" s="18" t="str">
        <f t="shared" si="16"/>
        <v/>
      </c>
      <c r="AG91" s="18" t="str">
        <f t="shared" si="17"/>
        <v/>
      </c>
      <c r="AH91" s="18" t="str">
        <f t="shared" si="18"/>
        <v/>
      </c>
      <c r="AI91" s="18" t="str">
        <f t="shared" si="19"/>
        <v/>
      </c>
      <c r="AJ91" s="18" t="str">
        <f t="shared" si="20"/>
        <v/>
      </c>
      <c r="AK91" s="18" t="str">
        <f t="shared" si="21"/>
        <v/>
      </c>
      <c r="AL91" s="18" t="str">
        <f t="shared" si="22"/>
        <v/>
      </c>
      <c r="AM91" s="18" t="str">
        <f t="shared" si="23"/>
        <v/>
      </c>
    </row>
    <row r="92" spans="1:39" x14ac:dyDescent="0.35">
      <c r="A92" s="56" t="s">
        <v>160</v>
      </c>
      <c r="B92" s="58">
        <v>11550</v>
      </c>
      <c r="C92" s="58" t="s">
        <v>33</v>
      </c>
      <c r="D92" s="58">
        <v>0</v>
      </c>
      <c r="E92" s="58">
        <v>0</v>
      </c>
      <c r="F92" s="58">
        <v>0</v>
      </c>
      <c r="G92" s="58">
        <v>0</v>
      </c>
      <c r="H92" s="58">
        <v>0</v>
      </c>
      <c r="I92" s="58">
        <v>0</v>
      </c>
      <c r="J92" s="58">
        <v>0</v>
      </c>
      <c r="K92" s="58">
        <v>0</v>
      </c>
      <c r="L92" s="58">
        <v>9750</v>
      </c>
      <c r="M92" s="58">
        <v>0</v>
      </c>
      <c r="N92" s="58">
        <v>15136.95</v>
      </c>
      <c r="O92" s="58">
        <v>11550</v>
      </c>
      <c r="P92" s="58" t="s">
        <v>33</v>
      </c>
      <c r="Q92" s="58">
        <v>0</v>
      </c>
      <c r="R92" s="58">
        <v>0</v>
      </c>
      <c r="S92" s="58">
        <v>0</v>
      </c>
      <c r="T92" s="58">
        <v>0</v>
      </c>
      <c r="U92" s="58">
        <v>0</v>
      </c>
      <c r="V92" s="58">
        <v>0</v>
      </c>
      <c r="W92" s="58">
        <v>0</v>
      </c>
      <c r="X92" s="58">
        <v>0</v>
      </c>
      <c r="Y92" s="58">
        <v>11325</v>
      </c>
      <c r="Z92" s="58">
        <v>6375</v>
      </c>
      <c r="AA92" s="58">
        <v>15136.95</v>
      </c>
      <c r="AD92" s="18" t="str">
        <f t="array" ref="AD92">IFERROR(INDEX($A$1:$A$2000, MATCH(0, IF($AD$1*1=$C$1:$C$2090*1, COUNTIF($AD$1:$AD91, $A$1:$A$2000), ""), 0)),"")</f>
        <v/>
      </c>
      <c r="AE92" s="57" t="str">
        <f t="shared" si="15"/>
        <v/>
      </c>
      <c r="AF92" s="18" t="str">
        <f t="shared" si="16"/>
        <v/>
      </c>
      <c r="AG92" s="18" t="str">
        <f t="shared" si="17"/>
        <v/>
      </c>
      <c r="AH92" s="18" t="str">
        <f t="shared" si="18"/>
        <v/>
      </c>
      <c r="AI92" s="18" t="str">
        <f t="shared" si="19"/>
        <v/>
      </c>
      <c r="AJ92" s="18" t="str">
        <f t="shared" si="20"/>
        <v/>
      </c>
      <c r="AK92" s="18" t="str">
        <f t="shared" si="21"/>
        <v/>
      </c>
      <c r="AL92" s="18" t="str">
        <f t="shared" si="22"/>
        <v/>
      </c>
      <c r="AM92" s="18" t="str">
        <f t="shared" si="23"/>
        <v/>
      </c>
    </row>
    <row r="93" spans="1:39" x14ac:dyDescent="0.35">
      <c r="A93" s="56" t="s">
        <v>161</v>
      </c>
      <c r="B93" s="58">
        <v>11600</v>
      </c>
      <c r="C93" s="58" t="s">
        <v>29</v>
      </c>
      <c r="D93" s="58">
        <v>524</v>
      </c>
      <c r="E93" s="58">
        <v>0</v>
      </c>
      <c r="F93" s="58">
        <v>0</v>
      </c>
      <c r="G93" s="58">
        <v>0</v>
      </c>
      <c r="H93" s="58">
        <v>0</v>
      </c>
      <c r="I93" s="58">
        <v>0</v>
      </c>
      <c r="J93" s="58">
        <v>0</v>
      </c>
      <c r="K93" s="58">
        <v>0</v>
      </c>
      <c r="L93" s="58">
        <v>1500</v>
      </c>
      <c r="M93" s="58">
        <v>0</v>
      </c>
      <c r="N93" s="58">
        <v>15136.95</v>
      </c>
      <c r="O93" s="58">
        <v>11600</v>
      </c>
      <c r="P93" s="58" t="s">
        <v>29</v>
      </c>
      <c r="Q93" s="58">
        <v>70</v>
      </c>
      <c r="R93" s="58">
        <v>0</v>
      </c>
      <c r="S93" s="58">
        <v>0</v>
      </c>
      <c r="T93" s="58">
        <v>0</v>
      </c>
      <c r="U93" s="58">
        <v>0</v>
      </c>
      <c r="V93" s="58">
        <v>0</v>
      </c>
      <c r="W93" s="58">
        <v>0</v>
      </c>
      <c r="X93" s="58">
        <v>0</v>
      </c>
      <c r="Y93" s="58">
        <v>1800</v>
      </c>
      <c r="Z93" s="58">
        <v>0</v>
      </c>
      <c r="AA93" s="58">
        <v>15136.95</v>
      </c>
      <c r="AD93" s="18" t="str">
        <f t="array" ref="AD93">IFERROR(INDEX($A$1:$A$2000, MATCH(0, IF($AD$1*1=$C$1:$C$2090*1, COUNTIF($AD$1:$AD92, $A$1:$A$2000), ""), 0)),"")</f>
        <v/>
      </c>
      <c r="AE93" s="57" t="str">
        <f t="shared" si="15"/>
        <v/>
      </c>
      <c r="AF93" s="18" t="str">
        <f t="shared" si="16"/>
        <v/>
      </c>
      <c r="AG93" s="18" t="str">
        <f t="shared" si="17"/>
        <v/>
      </c>
      <c r="AH93" s="18" t="str">
        <f t="shared" si="18"/>
        <v/>
      </c>
      <c r="AI93" s="18" t="str">
        <f t="shared" si="19"/>
        <v/>
      </c>
      <c r="AJ93" s="18" t="str">
        <f t="shared" si="20"/>
        <v/>
      </c>
      <c r="AK93" s="18" t="str">
        <f t="shared" si="21"/>
        <v/>
      </c>
      <c r="AL93" s="18" t="str">
        <f t="shared" si="22"/>
        <v/>
      </c>
      <c r="AM93" s="18" t="str">
        <f t="shared" si="23"/>
        <v/>
      </c>
    </row>
    <row r="94" spans="1:39" x14ac:dyDescent="0.35">
      <c r="A94" s="56" t="s">
        <v>162</v>
      </c>
      <c r="B94" s="58">
        <v>11600</v>
      </c>
      <c r="C94" s="58" t="s">
        <v>28</v>
      </c>
      <c r="D94" s="58">
        <v>34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825</v>
      </c>
      <c r="M94" s="58">
        <v>0</v>
      </c>
      <c r="N94" s="58">
        <v>15136.95</v>
      </c>
      <c r="O94" s="58">
        <v>0</v>
      </c>
      <c r="P94" s="58">
        <v>0</v>
      </c>
      <c r="Q94" s="58">
        <v>0</v>
      </c>
      <c r="R94" s="58">
        <v>0</v>
      </c>
      <c r="S94" s="58">
        <v>0</v>
      </c>
      <c r="T94" s="58">
        <v>0</v>
      </c>
      <c r="U94" s="58">
        <v>0</v>
      </c>
      <c r="V94" s="58">
        <v>0</v>
      </c>
      <c r="W94" s="58">
        <v>0</v>
      </c>
      <c r="X94" s="58">
        <v>0</v>
      </c>
      <c r="Y94" s="58">
        <v>0</v>
      </c>
      <c r="Z94" s="58">
        <v>0</v>
      </c>
      <c r="AA94" s="58">
        <v>0</v>
      </c>
      <c r="AD94" s="18" t="str">
        <f t="array" ref="AD94">IFERROR(INDEX($A$1:$A$2000, MATCH(0, IF($AD$1*1=$C$1:$C$2090*1, COUNTIF($AD$1:$AD93, $A$1:$A$2000), ""), 0)),"")</f>
        <v/>
      </c>
      <c r="AE94" s="57" t="str">
        <f t="shared" si="15"/>
        <v/>
      </c>
      <c r="AF94" s="18" t="str">
        <f t="shared" si="16"/>
        <v/>
      </c>
      <c r="AG94" s="18" t="str">
        <f t="shared" si="17"/>
        <v/>
      </c>
      <c r="AH94" s="18" t="str">
        <f t="shared" si="18"/>
        <v/>
      </c>
      <c r="AI94" s="18" t="str">
        <f t="shared" si="19"/>
        <v/>
      </c>
      <c r="AJ94" s="18" t="str">
        <f t="shared" si="20"/>
        <v/>
      </c>
      <c r="AK94" s="18" t="str">
        <f t="shared" si="21"/>
        <v/>
      </c>
      <c r="AL94" s="18" t="str">
        <f t="shared" si="22"/>
        <v/>
      </c>
      <c r="AM94" s="18" t="str">
        <f t="shared" si="23"/>
        <v/>
      </c>
    </row>
    <row r="95" spans="1:39" x14ac:dyDescent="0.35">
      <c r="A95" s="56" t="s">
        <v>163</v>
      </c>
      <c r="B95" s="58">
        <v>11600</v>
      </c>
      <c r="C95" s="58" t="s">
        <v>33</v>
      </c>
      <c r="D95" s="58">
        <v>126</v>
      </c>
      <c r="E95" s="58">
        <v>0</v>
      </c>
      <c r="F95" s="58">
        <v>0</v>
      </c>
      <c r="G95" s="58">
        <v>6</v>
      </c>
      <c r="H95" s="58">
        <v>57.64</v>
      </c>
      <c r="I95" s="58">
        <v>4.0999999999999996</v>
      </c>
      <c r="J95" s="58">
        <v>-1</v>
      </c>
      <c r="K95" s="58">
        <v>-19.607843137254903</v>
      </c>
      <c r="L95" s="58">
        <v>15600</v>
      </c>
      <c r="M95" s="58">
        <v>13500</v>
      </c>
      <c r="N95" s="58">
        <v>15136.95</v>
      </c>
      <c r="O95" s="58">
        <v>11600</v>
      </c>
      <c r="P95" s="58" t="s">
        <v>33</v>
      </c>
      <c r="Q95" s="58">
        <v>108</v>
      </c>
      <c r="R95" s="58">
        <v>0</v>
      </c>
      <c r="S95" s="58">
        <v>0</v>
      </c>
      <c r="T95" s="58">
        <v>0</v>
      </c>
      <c r="U95" s="58">
        <v>0</v>
      </c>
      <c r="V95" s="58">
        <v>0</v>
      </c>
      <c r="W95" s="58">
        <v>0</v>
      </c>
      <c r="X95" s="58">
        <v>0</v>
      </c>
      <c r="Y95" s="58">
        <v>11625</v>
      </c>
      <c r="Z95" s="58">
        <v>11775</v>
      </c>
      <c r="AA95" s="58">
        <v>15136.95</v>
      </c>
      <c r="AD95" s="18" t="str">
        <f t="array" ref="AD95">IFERROR(INDEX($A$1:$A$2000, MATCH(0, IF($AD$1*1=$C$1:$C$2090*1, COUNTIF($AD$1:$AD94, $A$1:$A$2000), ""), 0)),"")</f>
        <v/>
      </c>
      <c r="AE95" s="57" t="str">
        <f t="shared" si="15"/>
        <v/>
      </c>
      <c r="AF95" s="18" t="str">
        <f t="shared" si="16"/>
        <v/>
      </c>
      <c r="AG95" s="18" t="str">
        <f t="shared" si="17"/>
        <v/>
      </c>
      <c r="AH95" s="18" t="str">
        <f t="shared" si="18"/>
        <v/>
      </c>
      <c r="AI95" s="18" t="str">
        <f t="shared" si="19"/>
        <v/>
      </c>
      <c r="AJ95" s="18" t="str">
        <f t="shared" si="20"/>
        <v/>
      </c>
      <c r="AK95" s="18" t="str">
        <f t="shared" si="21"/>
        <v/>
      </c>
      <c r="AL95" s="18" t="str">
        <f t="shared" si="22"/>
        <v/>
      </c>
      <c r="AM95" s="18" t="str">
        <f t="shared" si="23"/>
        <v/>
      </c>
    </row>
    <row r="96" spans="1:39" x14ac:dyDescent="0.35">
      <c r="A96" s="56" t="s">
        <v>164</v>
      </c>
      <c r="B96" s="58">
        <v>11600</v>
      </c>
      <c r="C96" s="58" t="s">
        <v>27</v>
      </c>
      <c r="D96" s="58">
        <v>15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750</v>
      </c>
      <c r="M96" s="58">
        <v>0</v>
      </c>
      <c r="N96" s="58">
        <v>15136.95</v>
      </c>
      <c r="O96" s="58">
        <v>11600</v>
      </c>
      <c r="P96" s="58" t="s">
        <v>27</v>
      </c>
      <c r="Q96" s="58">
        <v>30</v>
      </c>
      <c r="R96" s="58">
        <v>0</v>
      </c>
      <c r="S96" s="58">
        <v>0</v>
      </c>
      <c r="T96" s="58">
        <v>0</v>
      </c>
      <c r="U96" s="58">
        <v>0</v>
      </c>
      <c r="V96" s="58">
        <v>0</v>
      </c>
      <c r="W96" s="58">
        <v>0</v>
      </c>
      <c r="X96" s="58">
        <v>0</v>
      </c>
      <c r="Y96" s="58">
        <v>2100</v>
      </c>
      <c r="Z96" s="58">
        <v>0</v>
      </c>
      <c r="AA96" s="58">
        <v>15136.95</v>
      </c>
      <c r="AD96" s="18" t="str">
        <f t="array" ref="AD96">IFERROR(INDEX($A$1:$A$2000, MATCH(0, IF($AD$1*1=$C$1:$C$2090*1, COUNTIF($AD$1:$AD95, $A$1:$A$2000), ""), 0)),"")</f>
        <v/>
      </c>
      <c r="AE96" s="57" t="str">
        <f t="shared" si="15"/>
        <v/>
      </c>
      <c r="AF96" s="18" t="str">
        <f t="shared" si="16"/>
        <v/>
      </c>
      <c r="AG96" s="18" t="str">
        <f t="shared" si="17"/>
        <v/>
      </c>
      <c r="AH96" s="18" t="str">
        <f t="shared" si="18"/>
        <v/>
      </c>
      <c r="AI96" s="18" t="str">
        <f t="shared" si="19"/>
        <v/>
      </c>
      <c r="AJ96" s="18" t="str">
        <f t="shared" si="20"/>
        <v/>
      </c>
      <c r="AK96" s="18" t="str">
        <f t="shared" si="21"/>
        <v/>
      </c>
      <c r="AL96" s="18" t="str">
        <f t="shared" si="22"/>
        <v/>
      </c>
      <c r="AM96" s="18" t="str">
        <f t="shared" si="23"/>
        <v/>
      </c>
    </row>
    <row r="97" spans="1:39" x14ac:dyDescent="0.35">
      <c r="A97" s="56" t="s">
        <v>165</v>
      </c>
      <c r="B97" s="58">
        <v>11650</v>
      </c>
      <c r="C97" s="58" t="s">
        <v>33</v>
      </c>
      <c r="D97" s="58">
        <v>21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7200</v>
      </c>
      <c r="M97" s="58">
        <v>0</v>
      </c>
      <c r="N97" s="58">
        <v>15136.95</v>
      </c>
      <c r="O97" s="58">
        <v>11650</v>
      </c>
      <c r="P97" s="58" t="s">
        <v>33</v>
      </c>
      <c r="Q97" s="58">
        <v>14</v>
      </c>
      <c r="R97" s="58">
        <v>0</v>
      </c>
      <c r="S97" s="58">
        <v>0</v>
      </c>
      <c r="T97" s="58">
        <v>0</v>
      </c>
      <c r="U97" s="58">
        <v>0</v>
      </c>
      <c r="V97" s="58">
        <v>0</v>
      </c>
      <c r="W97" s="58">
        <v>0</v>
      </c>
      <c r="X97" s="58">
        <v>0</v>
      </c>
      <c r="Y97" s="58">
        <v>11325</v>
      </c>
      <c r="Z97" s="58">
        <v>6375</v>
      </c>
      <c r="AA97" s="58">
        <v>15136.95</v>
      </c>
      <c r="AD97" s="18" t="str">
        <f t="array" ref="AD97">IFERROR(INDEX($A$1:$A$2000, MATCH(0, IF($AD$1*1=$C$1:$C$2090*1, COUNTIF($AD$1:$AD96, $A$1:$A$2000), ""), 0)),"")</f>
        <v/>
      </c>
      <c r="AE97" s="57" t="str">
        <f t="shared" si="15"/>
        <v/>
      </c>
      <c r="AF97" s="18" t="str">
        <f t="shared" si="16"/>
        <v/>
      </c>
      <c r="AG97" s="18" t="str">
        <f t="shared" si="17"/>
        <v/>
      </c>
      <c r="AH97" s="18" t="str">
        <f t="shared" si="18"/>
        <v/>
      </c>
      <c r="AI97" s="18" t="str">
        <f t="shared" si="19"/>
        <v/>
      </c>
      <c r="AJ97" s="18" t="str">
        <f t="shared" si="20"/>
        <v/>
      </c>
      <c r="AK97" s="18" t="str">
        <f t="shared" si="21"/>
        <v/>
      </c>
      <c r="AL97" s="18" t="str">
        <f t="shared" si="22"/>
        <v/>
      </c>
      <c r="AM97" s="18" t="str">
        <f t="shared" si="23"/>
        <v/>
      </c>
    </row>
    <row r="98" spans="1:39" x14ac:dyDescent="0.35">
      <c r="A98" s="56" t="s">
        <v>166</v>
      </c>
      <c r="B98" s="58">
        <v>11700</v>
      </c>
      <c r="C98" s="58" t="s">
        <v>33</v>
      </c>
      <c r="D98" s="58">
        <v>174</v>
      </c>
      <c r="E98" s="58">
        <v>0</v>
      </c>
      <c r="F98" s="58">
        <v>0</v>
      </c>
      <c r="G98" s="58">
        <v>3</v>
      </c>
      <c r="H98" s="58">
        <v>57.18</v>
      </c>
      <c r="I98" s="58">
        <v>4.8499999999999996</v>
      </c>
      <c r="J98" s="58">
        <v>-0.4000000000000003</v>
      </c>
      <c r="K98" s="58">
        <v>-7.6190476190476257</v>
      </c>
      <c r="L98" s="58">
        <v>5700</v>
      </c>
      <c r="M98" s="58">
        <v>17775</v>
      </c>
      <c r="N98" s="58">
        <v>15136.95</v>
      </c>
      <c r="O98" s="58">
        <v>11700</v>
      </c>
      <c r="P98" s="58" t="s">
        <v>33</v>
      </c>
      <c r="Q98" s="58">
        <v>85</v>
      </c>
      <c r="R98" s="58">
        <v>0</v>
      </c>
      <c r="S98" s="58">
        <v>0</v>
      </c>
      <c r="T98" s="58">
        <v>0</v>
      </c>
      <c r="U98" s="58">
        <v>0</v>
      </c>
      <c r="V98" s="58">
        <v>0</v>
      </c>
      <c r="W98" s="58">
        <v>0</v>
      </c>
      <c r="X98" s="58">
        <v>0</v>
      </c>
      <c r="Y98" s="58">
        <v>11400</v>
      </c>
      <c r="Z98" s="58">
        <v>7200</v>
      </c>
      <c r="AA98" s="58">
        <v>15136.95</v>
      </c>
      <c r="AD98" s="18" t="str">
        <f t="array" ref="AD98">IFERROR(INDEX($A$1:$A$2000, MATCH(0, IF($AD$1*1=$C$1:$C$2090*1, COUNTIF($AD$1:$AD97, $A$1:$A$2000), ""), 0)),"")</f>
        <v/>
      </c>
      <c r="AE98" s="57" t="str">
        <f t="shared" si="15"/>
        <v/>
      </c>
      <c r="AF98" s="18" t="str">
        <f t="shared" si="16"/>
        <v/>
      </c>
      <c r="AG98" s="18" t="str">
        <f t="shared" si="17"/>
        <v/>
      </c>
      <c r="AH98" s="18" t="str">
        <f t="shared" si="18"/>
        <v/>
      </c>
      <c r="AI98" s="18" t="str">
        <f t="shared" si="19"/>
        <v/>
      </c>
      <c r="AJ98" s="18" t="str">
        <f t="shared" si="20"/>
        <v/>
      </c>
      <c r="AK98" s="18" t="str">
        <f t="shared" si="21"/>
        <v/>
      </c>
      <c r="AL98" s="18" t="str">
        <f t="shared" si="22"/>
        <v/>
      </c>
      <c r="AM98" s="18" t="str">
        <f t="shared" si="23"/>
        <v/>
      </c>
    </row>
    <row r="99" spans="1:39" x14ac:dyDescent="0.35">
      <c r="A99" s="56" t="s">
        <v>167</v>
      </c>
      <c r="B99" s="58">
        <v>11700</v>
      </c>
      <c r="C99" s="58" t="s">
        <v>27</v>
      </c>
      <c r="D99" s="58">
        <v>31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750</v>
      </c>
      <c r="M99" s="58">
        <v>0</v>
      </c>
      <c r="N99" s="58">
        <v>15136.95</v>
      </c>
      <c r="O99" s="58">
        <v>11700</v>
      </c>
      <c r="P99" s="58" t="s">
        <v>27</v>
      </c>
      <c r="Q99" s="58">
        <v>687</v>
      </c>
      <c r="R99" s="58">
        <v>0</v>
      </c>
      <c r="S99" s="58">
        <v>0</v>
      </c>
      <c r="T99" s="58">
        <v>0</v>
      </c>
      <c r="U99" s="58">
        <v>0</v>
      </c>
      <c r="V99" s="58">
        <v>0</v>
      </c>
      <c r="W99" s="58">
        <v>0</v>
      </c>
      <c r="X99" s="58">
        <v>0</v>
      </c>
      <c r="Y99" s="58">
        <v>1875</v>
      </c>
      <c r="Z99" s="58">
        <v>0</v>
      </c>
      <c r="AA99" s="58">
        <v>15136.95</v>
      </c>
      <c r="AD99" s="18" t="str">
        <f t="array" ref="AD99">IFERROR(INDEX($A$1:$A$2000, MATCH(0, IF($AD$1*1=$C$1:$C$2090*1, COUNTIF($AD$1:$AD98, $A$1:$A$2000), ""), 0)),"")</f>
        <v/>
      </c>
      <c r="AE99" s="57" t="str">
        <f t="shared" si="15"/>
        <v/>
      </c>
      <c r="AF99" s="18" t="str">
        <f t="shared" si="16"/>
        <v/>
      </c>
      <c r="AG99" s="18" t="str">
        <f t="shared" si="17"/>
        <v/>
      </c>
      <c r="AH99" s="18" t="str">
        <f t="shared" si="18"/>
        <v/>
      </c>
      <c r="AI99" s="18" t="str">
        <f t="shared" si="19"/>
        <v/>
      </c>
      <c r="AJ99" s="18" t="str">
        <f t="shared" si="20"/>
        <v/>
      </c>
      <c r="AK99" s="18" t="str">
        <f t="shared" si="21"/>
        <v/>
      </c>
      <c r="AL99" s="18" t="str">
        <f t="shared" si="22"/>
        <v/>
      </c>
      <c r="AM99" s="18" t="str">
        <f t="shared" si="23"/>
        <v/>
      </c>
    </row>
    <row r="100" spans="1:39" x14ac:dyDescent="0.35">
      <c r="A100" s="56" t="s">
        <v>168</v>
      </c>
      <c r="B100" s="58">
        <v>11700</v>
      </c>
      <c r="C100" s="58" t="s">
        <v>29</v>
      </c>
      <c r="D100" s="58">
        <v>792</v>
      </c>
      <c r="E100" s="58">
        <v>0</v>
      </c>
      <c r="F100" s="58">
        <v>0</v>
      </c>
      <c r="G100" s="58">
        <v>0</v>
      </c>
      <c r="H100" s="58">
        <v>0</v>
      </c>
      <c r="I100" s="58">
        <v>0</v>
      </c>
      <c r="J100" s="58">
        <v>0</v>
      </c>
      <c r="K100" s="58">
        <v>0</v>
      </c>
      <c r="L100" s="58">
        <v>1500</v>
      </c>
      <c r="M100" s="58">
        <v>0</v>
      </c>
      <c r="N100" s="58">
        <v>15136.95</v>
      </c>
      <c r="O100" s="58">
        <v>0</v>
      </c>
      <c r="P100" s="58">
        <v>0</v>
      </c>
      <c r="Q100" s="58">
        <v>0</v>
      </c>
      <c r="R100" s="58">
        <v>0</v>
      </c>
      <c r="S100" s="58">
        <v>0</v>
      </c>
      <c r="T100" s="58">
        <v>0</v>
      </c>
      <c r="U100" s="58">
        <v>0</v>
      </c>
      <c r="V100" s="58">
        <v>0</v>
      </c>
      <c r="W100" s="58">
        <v>0</v>
      </c>
      <c r="X100" s="58">
        <v>0</v>
      </c>
      <c r="Y100" s="58">
        <v>0</v>
      </c>
      <c r="Z100" s="58">
        <v>0</v>
      </c>
      <c r="AA100" s="58">
        <v>0</v>
      </c>
      <c r="AD100" s="18" t="str">
        <f t="array" ref="AD100">IFERROR(INDEX($A$1:$A$2000, MATCH(0, IF($AD$1*1=$C$1:$C$2090*1, COUNTIF($AD$1:$AD99, $A$1:$A$2000), ""), 0)),"")</f>
        <v/>
      </c>
      <c r="AE100" s="57" t="str">
        <f t="shared" si="15"/>
        <v/>
      </c>
      <c r="AF100" s="18" t="str">
        <f t="shared" si="16"/>
        <v/>
      </c>
      <c r="AG100" s="18" t="str">
        <f t="shared" si="17"/>
        <v/>
      </c>
      <c r="AH100" s="18" t="str">
        <f t="shared" si="18"/>
        <v/>
      </c>
      <c r="AI100" s="18" t="str">
        <f t="shared" si="19"/>
        <v/>
      </c>
      <c r="AJ100" s="18" t="str">
        <f t="shared" si="20"/>
        <v/>
      </c>
      <c r="AK100" s="18" t="str">
        <f t="shared" si="21"/>
        <v/>
      </c>
      <c r="AL100" s="18" t="str">
        <f t="shared" si="22"/>
        <v/>
      </c>
      <c r="AM100" s="18" t="str">
        <f t="shared" si="23"/>
        <v/>
      </c>
    </row>
    <row r="101" spans="1:39" x14ac:dyDescent="0.35">
      <c r="A101" s="56" t="s">
        <v>169</v>
      </c>
      <c r="B101" s="58">
        <v>11750</v>
      </c>
      <c r="C101" s="58" t="s">
        <v>33</v>
      </c>
      <c r="D101" s="58">
        <v>0</v>
      </c>
      <c r="E101" s="58">
        <v>0</v>
      </c>
      <c r="F101" s="58">
        <v>0</v>
      </c>
      <c r="G101" s="58">
        <v>0</v>
      </c>
      <c r="H101" s="58">
        <v>0</v>
      </c>
      <c r="I101" s="58">
        <v>0</v>
      </c>
      <c r="J101" s="58">
        <v>0</v>
      </c>
      <c r="K101" s="58">
        <v>0</v>
      </c>
      <c r="L101" s="58">
        <v>6600</v>
      </c>
      <c r="M101" s="58">
        <v>0</v>
      </c>
      <c r="N101" s="58">
        <v>15136.95</v>
      </c>
      <c r="O101" s="58">
        <v>11750</v>
      </c>
      <c r="P101" s="58" t="s">
        <v>33</v>
      </c>
      <c r="Q101" s="58">
        <v>0</v>
      </c>
      <c r="R101" s="58">
        <v>0</v>
      </c>
      <c r="S101" s="58">
        <v>0</v>
      </c>
      <c r="T101" s="58">
        <v>0</v>
      </c>
      <c r="U101" s="58">
        <v>0</v>
      </c>
      <c r="V101" s="58">
        <v>0</v>
      </c>
      <c r="W101" s="58">
        <v>0</v>
      </c>
      <c r="X101" s="58">
        <v>0</v>
      </c>
      <c r="Y101" s="58">
        <v>11325</v>
      </c>
      <c r="Z101" s="58">
        <v>6375</v>
      </c>
      <c r="AA101" s="58">
        <v>15136.95</v>
      </c>
      <c r="AD101" s="18" t="str">
        <f t="array" ref="AD101">IFERROR(INDEX($A$1:$A$2000, MATCH(0, IF($AD$1*1=$C$1:$C$2090*1, COUNTIF($AD$1:$AD100, $A$1:$A$2000), ""), 0)),"")</f>
        <v/>
      </c>
      <c r="AE101" s="57" t="str">
        <f t="shared" si="15"/>
        <v/>
      </c>
      <c r="AF101" s="18" t="str">
        <f t="shared" si="16"/>
        <v/>
      </c>
      <c r="AG101" s="18" t="str">
        <f t="shared" si="17"/>
        <v/>
      </c>
      <c r="AH101" s="18" t="str">
        <f t="shared" si="18"/>
        <v/>
      </c>
      <c r="AI101" s="18" t="str">
        <f t="shared" si="19"/>
        <v/>
      </c>
      <c r="AJ101" s="18" t="str">
        <f t="shared" si="20"/>
        <v/>
      </c>
      <c r="AK101" s="18" t="str">
        <f t="shared" si="21"/>
        <v/>
      </c>
      <c r="AL101" s="18" t="str">
        <f t="shared" si="22"/>
        <v/>
      </c>
      <c r="AM101" s="18" t="str">
        <f t="shared" si="23"/>
        <v/>
      </c>
    </row>
    <row r="102" spans="1:39" x14ac:dyDescent="0.35">
      <c r="A102" s="56" t="s">
        <v>170</v>
      </c>
      <c r="B102" s="58">
        <v>0</v>
      </c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58">
        <v>0</v>
      </c>
      <c r="I102" s="58">
        <v>0</v>
      </c>
      <c r="J102" s="58">
        <v>0</v>
      </c>
      <c r="K102" s="58">
        <v>0</v>
      </c>
      <c r="L102" s="58">
        <v>0</v>
      </c>
      <c r="M102" s="58">
        <v>0</v>
      </c>
      <c r="N102" s="58">
        <v>0</v>
      </c>
      <c r="O102" s="58">
        <v>11800</v>
      </c>
      <c r="P102" s="58" t="s">
        <v>27</v>
      </c>
      <c r="Q102" s="58">
        <v>38</v>
      </c>
      <c r="R102" s="58">
        <v>0</v>
      </c>
      <c r="S102" s="58">
        <v>0</v>
      </c>
      <c r="T102" s="58">
        <v>0</v>
      </c>
      <c r="U102" s="58">
        <v>0</v>
      </c>
      <c r="V102" s="58">
        <v>0</v>
      </c>
      <c r="W102" s="58">
        <v>0</v>
      </c>
      <c r="X102" s="58">
        <v>0</v>
      </c>
      <c r="Y102" s="58">
        <v>2100</v>
      </c>
      <c r="Z102" s="58">
        <v>0</v>
      </c>
      <c r="AA102" s="58">
        <v>15136.95</v>
      </c>
      <c r="AD102" s="18" t="str">
        <f t="array" ref="AD102">IFERROR(INDEX($A$1:$A$2000, MATCH(0, IF($AD$1*1=$C$1:$C$2090*1, COUNTIF($AD$1:$AD101, $A$1:$A$2000), ""), 0)),"")</f>
        <v/>
      </c>
      <c r="AE102" s="57" t="str">
        <f t="shared" si="15"/>
        <v/>
      </c>
      <c r="AF102" s="18" t="str">
        <f t="shared" si="16"/>
        <v/>
      </c>
      <c r="AG102" s="18" t="str">
        <f t="shared" si="17"/>
        <v/>
      </c>
      <c r="AH102" s="18" t="str">
        <f t="shared" si="18"/>
        <v/>
      </c>
      <c r="AI102" s="18" t="str">
        <f t="shared" si="19"/>
        <v/>
      </c>
      <c r="AJ102" s="18" t="str">
        <f t="shared" si="20"/>
        <v/>
      </c>
      <c r="AK102" s="18" t="str">
        <f t="shared" si="21"/>
        <v/>
      </c>
      <c r="AL102" s="18" t="str">
        <f t="shared" si="22"/>
        <v/>
      </c>
      <c r="AM102" s="18" t="str">
        <f t="shared" si="23"/>
        <v/>
      </c>
    </row>
    <row r="103" spans="1:39" x14ac:dyDescent="0.35">
      <c r="A103" s="56" t="s">
        <v>171</v>
      </c>
      <c r="B103" s="58">
        <v>11800</v>
      </c>
      <c r="C103" s="58" t="s">
        <v>33</v>
      </c>
      <c r="D103" s="58">
        <v>649</v>
      </c>
      <c r="E103" s="58">
        <v>0</v>
      </c>
      <c r="F103" s="58">
        <v>0</v>
      </c>
      <c r="G103" s="58">
        <v>8</v>
      </c>
      <c r="H103" s="58">
        <v>55</v>
      </c>
      <c r="I103" s="58">
        <v>4.5</v>
      </c>
      <c r="J103" s="58">
        <v>-0.84999999999999964</v>
      </c>
      <c r="K103" s="58">
        <v>-15.887850467289711</v>
      </c>
      <c r="L103" s="58">
        <v>41175</v>
      </c>
      <c r="M103" s="58">
        <v>35250</v>
      </c>
      <c r="N103" s="58">
        <v>15136.95</v>
      </c>
      <c r="O103" s="58">
        <v>11800</v>
      </c>
      <c r="P103" s="58" t="s">
        <v>33</v>
      </c>
      <c r="Q103" s="58">
        <v>88</v>
      </c>
      <c r="R103" s="58">
        <v>0</v>
      </c>
      <c r="S103" s="58">
        <v>0</v>
      </c>
      <c r="T103" s="58">
        <v>0</v>
      </c>
      <c r="U103" s="58">
        <v>0</v>
      </c>
      <c r="V103" s="58">
        <v>0</v>
      </c>
      <c r="W103" s="58">
        <v>0</v>
      </c>
      <c r="X103" s="58">
        <v>0</v>
      </c>
      <c r="Y103" s="58">
        <v>11550</v>
      </c>
      <c r="Z103" s="58">
        <v>11550</v>
      </c>
      <c r="AA103" s="58">
        <v>15136.95</v>
      </c>
      <c r="AD103" s="18" t="str">
        <f t="array" ref="AD103">IFERROR(INDEX($A$1:$A$2000, MATCH(0, IF($AD$1*1=$C$1:$C$2090*1, COUNTIF($AD$1:$AD102, $A$1:$A$2000), ""), 0)),"")</f>
        <v/>
      </c>
      <c r="AE103" s="57" t="str">
        <f t="shared" si="15"/>
        <v/>
      </c>
      <c r="AF103" s="18" t="str">
        <f t="shared" si="16"/>
        <v/>
      </c>
      <c r="AG103" s="18" t="str">
        <f t="shared" si="17"/>
        <v/>
      </c>
      <c r="AH103" s="18" t="str">
        <f t="shared" si="18"/>
        <v/>
      </c>
      <c r="AI103" s="18" t="str">
        <f t="shared" si="19"/>
        <v/>
      </c>
      <c r="AJ103" s="18" t="str">
        <f t="shared" si="20"/>
        <v/>
      </c>
      <c r="AK103" s="18" t="str">
        <f t="shared" si="21"/>
        <v/>
      </c>
      <c r="AL103" s="18" t="str">
        <f t="shared" si="22"/>
        <v/>
      </c>
      <c r="AM103" s="18" t="str">
        <f t="shared" si="23"/>
        <v/>
      </c>
    </row>
    <row r="104" spans="1:39" x14ac:dyDescent="0.35">
      <c r="A104" s="56" t="s">
        <v>172</v>
      </c>
      <c r="B104" s="58">
        <v>11850</v>
      </c>
      <c r="C104" s="58" t="s">
        <v>35</v>
      </c>
      <c r="D104" s="58">
        <v>5178</v>
      </c>
      <c r="E104" s="58">
        <v>3054</v>
      </c>
      <c r="F104" s="58">
        <v>143.78531073446328</v>
      </c>
      <c r="G104" s="58">
        <v>4258</v>
      </c>
      <c r="H104" s="58">
        <v>139.77000000000001</v>
      </c>
      <c r="I104" s="58">
        <v>0.1</v>
      </c>
      <c r="J104" s="58">
        <v>-0.35</v>
      </c>
      <c r="K104" s="58">
        <v>-77.777777777777771</v>
      </c>
      <c r="L104" s="58">
        <v>65100</v>
      </c>
      <c r="M104" s="58">
        <v>125025</v>
      </c>
      <c r="N104" s="58">
        <v>15136.95</v>
      </c>
      <c r="O104" s="58">
        <v>11850</v>
      </c>
      <c r="P104" s="58" t="s">
        <v>35</v>
      </c>
      <c r="Q104" s="58">
        <v>2</v>
      </c>
      <c r="R104" s="58">
        <v>0</v>
      </c>
      <c r="S104" s="58">
        <v>0</v>
      </c>
      <c r="T104" s="58">
        <v>2</v>
      </c>
      <c r="U104" s="58">
        <v>276.08</v>
      </c>
      <c r="V104" s="58">
        <v>3333.75</v>
      </c>
      <c r="W104" s="58">
        <v>68.75</v>
      </c>
      <c r="X104" s="58">
        <v>2.1056661562021439</v>
      </c>
      <c r="Y104" s="58">
        <v>10350</v>
      </c>
      <c r="Z104" s="58">
        <v>13200</v>
      </c>
      <c r="AA104" s="58">
        <v>15136.95</v>
      </c>
      <c r="AD104" s="18" t="str">
        <f t="array" ref="AD104">IFERROR(INDEX($A$1:$A$2000, MATCH(0, IF($AD$1*1=$C$1:$C$2090*1, COUNTIF($AD$1:$AD103, $A$1:$A$2000), ""), 0)),"")</f>
        <v/>
      </c>
      <c r="AE104" s="57" t="str">
        <f t="shared" si="15"/>
        <v/>
      </c>
      <c r="AF104" s="18" t="str">
        <f t="shared" si="16"/>
        <v/>
      </c>
      <c r="AG104" s="18" t="str">
        <f t="shared" si="17"/>
        <v/>
      </c>
      <c r="AH104" s="18" t="str">
        <f t="shared" si="18"/>
        <v/>
      </c>
      <c r="AI104" s="18" t="str">
        <f t="shared" si="19"/>
        <v/>
      </c>
      <c r="AJ104" s="18" t="str">
        <f t="shared" si="20"/>
        <v/>
      </c>
      <c r="AK104" s="18" t="str">
        <f t="shared" si="21"/>
        <v/>
      </c>
      <c r="AL104" s="18" t="str">
        <f t="shared" si="22"/>
        <v/>
      </c>
      <c r="AM104" s="18" t="str">
        <f t="shared" si="23"/>
        <v/>
      </c>
    </row>
    <row r="105" spans="1:39" x14ac:dyDescent="0.35">
      <c r="A105" s="56" t="s">
        <v>173</v>
      </c>
      <c r="B105" s="58">
        <v>11850</v>
      </c>
      <c r="C105" s="58" t="s">
        <v>34</v>
      </c>
      <c r="D105" s="58">
        <v>223</v>
      </c>
      <c r="E105" s="58">
        <v>223</v>
      </c>
      <c r="F105" s="58">
        <v>0</v>
      </c>
      <c r="G105" s="58">
        <v>257</v>
      </c>
      <c r="H105" s="58">
        <v>66.89</v>
      </c>
      <c r="I105" s="58">
        <v>1.45</v>
      </c>
      <c r="J105" s="58">
        <v>-111.8</v>
      </c>
      <c r="K105" s="58">
        <v>-98.719646799117001</v>
      </c>
      <c r="L105" s="58">
        <v>19800</v>
      </c>
      <c r="M105" s="58">
        <v>14250</v>
      </c>
      <c r="N105" s="58">
        <v>15136.95</v>
      </c>
      <c r="O105" s="58">
        <v>11850</v>
      </c>
      <c r="P105" s="58" t="s">
        <v>34</v>
      </c>
      <c r="Q105" s="58">
        <v>0</v>
      </c>
      <c r="R105" s="58">
        <v>0</v>
      </c>
      <c r="S105" s="58">
        <v>0</v>
      </c>
      <c r="T105" s="58">
        <v>0</v>
      </c>
      <c r="U105" s="58">
        <v>0</v>
      </c>
      <c r="V105" s="58">
        <v>0</v>
      </c>
      <c r="W105" s="58">
        <v>0</v>
      </c>
      <c r="X105" s="58">
        <v>0</v>
      </c>
      <c r="Y105" s="58">
        <v>7725</v>
      </c>
      <c r="Z105" s="58">
        <v>7725</v>
      </c>
      <c r="AA105" s="58">
        <v>15136.95</v>
      </c>
      <c r="AD105" s="18" t="str">
        <f t="array" ref="AD105">IFERROR(INDEX($A$1:$A$2000, MATCH(0, IF($AD$1*1=$C$1:$C$2090*1, COUNTIF($AD$1:$AD104, $A$1:$A$2000), ""), 0)),"")</f>
        <v/>
      </c>
      <c r="AE105" s="57" t="str">
        <f t="shared" si="15"/>
        <v/>
      </c>
      <c r="AF105" s="18" t="str">
        <f t="shared" si="16"/>
        <v/>
      </c>
      <c r="AG105" s="18" t="str">
        <f t="shared" si="17"/>
        <v/>
      </c>
      <c r="AH105" s="18" t="str">
        <f t="shared" si="18"/>
        <v/>
      </c>
      <c r="AI105" s="18" t="str">
        <f t="shared" si="19"/>
        <v/>
      </c>
      <c r="AJ105" s="18" t="str">
        <f t="shared" si="20"/>
        <v/>
      </c>
      <c r="AK105" s="18" t="str">
        <f t="shared" si="21"/>
        <v/>
      </c>
      <c r="AL105" s="18" t="str">
        <f t="shared" si="22"/>
        <v/>
      </c>
      <c r="AM105" s="18" t="str">
        <f t="shared" si="23"/>
        <v/>
      </c>
    </row>
    <row r="106" spans="1:39" x14ac:dyDescent="0.35">
      <c r="A106" s="56" t="s">
        <v>174</v>
      </c>
      <c r="B106" s="58">
        <v>11850</v>
      </c>
      <c r="C106" s="58" t="s">
        <v>33</v>
      </c>
      <c r="D106" s="58">
        <v>62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6825</v>
      </c>
      <c r="M106" s="58">
        <v>0</v>
      </c>
      <c r="N106" s="58">
        <v>15136.95</v>
      </c>
      <c r="O106" s="58">
        <v>11850</v>
      </c>
      <c r="P106" s="58" t="s">
        <v>33</v>
      </c>
      <c r="Q106" s="58">
        <v>0</v>
      </c>
      <c r="R106" s="58">
        <v>0</v>
      </c>
      <c r="S106" s="58">
        <v>0</v>
      </c>
      <c r="T106" s="58">
        <v>0</v>
      </c>
      <c r="U106" s="58">
        <v>0</v>
      </c>
      <c r="V106" s="58">
        <v>0</v>
      </c>
      <c r="W106" s="58">
        <v>0</v>
      </c>
      <c r="X106" s="58">
        <v>0</v>
      </c>
      <c r="Y106" s="58">
        <v>11400</v>
      </c>
      <c r="Z106" s="58">
        <v>6450</v>
      </c>
      <c r="AA106" s="58">
        <v>15136.95</v>
      </c>
      <c r="AD106" s="18" t="str">
        <f t="array" ref="AD106">IFERROR(INDEX($A$1:$A$2000, MATCH(0, IF($AD$1*1=$C$1:$C$2090*1, COUNTIF($AD$1:$AD105, $A$1:$A$2000), ""), 0)),"")</f>
        <v/>
      </c>
      <c r="AE106" s="57" t="str">
        <f t="shared" si="15"/>
        <v/>
      </c>
      <c r="AF106" s="18" t="str">
        <f t="shared" si="16"/>
        <v/>
      </c>
      <c r="AG106" s="18" t="str">
        <f t="shared" si="17"/>
        <v/>
      </c>
      <c r="AH106" s="18" t="str">
        <f t="shared" si="18"/>
        <v/>
      </c>
      <c r="AI106" s="18" t="str">
        <f t="shared" si="19"/>
        <v/>
      </c>
      <c r="AJ106" s="18" t="str">
        <f t="shared" si="20"/>
        <v/>
      </c>
      <c r="AK106" s="18" t="str">
        <f t="shared" si="21"/>
        <v/>
      </c>
      <c r="AL106" s="18" t="str">
        <f t="shared" si="22"/>
        <v/>
      </c>
      <c r="AM106" s="18" t="str">
        <f t="shared" si="23"/>
        <v/>
      </c>
    </row>
    <row r="107" spans="1:39" x14ac:dyDescent="0.35">
      <c r="A107" s="56" t="s">
        <v>175</v>
      </c>
      <c r="B107" s="58">
        <v>11900</v>
      </c>
      <c r="C107" s="58" t="s">
        <v>34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43875</v>
      </c>
      <c r="M107" s="58">
        <v>11625</v>
      </c>
      <c r="N107" s="58">
        <v>15136.95</v>
      </c>
      <c r="O107" s="58">
        <v>11900</v>
      </c>
      <c r="P107" s="58" t="s">
        <v>34</v>
      </c>
      <c r="Q107" s="58">
        <v>0</v>
      </c>
      <c r="R107" s="58">
        <v>0</v>
      </c>
      <c r="S107" s="58">
        <v>0</v>
      </c>
      <c r="T107" s="58">
        <v>0</v>
      </c>
      <c r="U107" s="58">
        <v>0</v>
      </c>
      <c r="V107" s="58">
        <v>0</v>
      </c>
      <c r="W107" s="58">
        <v>0</v>
      </c>
      <c r="X107" s="58">
        <v>0</v>
      </c>
      <c r="Y107" s="58">
        <v>7725</v>
      </c>
      <c r="Z107" s="58">
        <v>7725</v>
      </c>
      <c r="AA107" s="58">
        <v>15136.95</v>
      </c>
      <c r="AD107" s="18" t="str">
        <f t="array" ref="AD107">IFERROR(INDEX($A$1:$A$2000, MATCH(0, IF($AD$1*1=$C$1:$C$2090*1, COUNTIF($AD$1:$AD106, $A$1:$A$2000), ""), 0)),"")</f>
        <v/>
      </c>
      <c r="AE107" s="57" t="str">
        <f t="shared" si="15"/>
        <v/>
      </c>
      <c r="AF107" s="18" t="str">
        <f t="shared" si="16"/>
        <v/>
      </c>
      <c r="AG107" s="18" t="str">
        <f t="shared" si="17"/>
        <v/>
      </c>
      <c r="AH107" s="18" t="str">
        <f t="shared" si="18"/>
        <v/>
      </c>
      <c r="AI107" s="18" t="str">
        <f t="shared" si="19"/>
        <v/>
      </c>
      <c r="AJ107" s="18" t="str">
        <f t="shared" si="20"/>
        <v/>
      </c>
      <c r="AK107" s="18" t="str">
        <f t="shared" si="21"/>
        <v/>
      </c>
      <c r="AL107" s="18" t="str">
        <f t="shared" si="22"/>
        <v/>
      </c>
      <c r="AM107" s="18" t="str">
        <f t="shared" si="23"/>
        <v/>
      </c>
    </row>
    <row r="108" spans="1:39" x14ac:dyDescent="0.35">
      <c r="A108" s="56" t="s">
        <v>176</v>
      </c>
      <c r="B108" s="58">
        <v>11900</v>
      </c>
      <c r="C108" s="58" t="s">
        <v>35</v>
      </c>
      <c r="D108" s="58">
        <v>732</v>
      </c>
      <c r="E108" s="58">
        <v>130</v>
      </c>
      <c r="F108" s="58">
        <v>21.59468438538206</v>
      </c>
      <c r="G108" s="58">
        <v>578</v>
      </c>
      <c r="H108" s="58">
        <v>137.53</v>
      </c>
      <c r="I108" s="58">
        <v>0.1</v>
      </c>
      <c r="J108" s="58">
        <v>-0.45000000000000007</v>
      </c>
      <c r="K108" s="58">
        <v>-81.818181818181827</v>
      </c>
      <c r="L108" s="58">
        <v>41025</v>
      </c>
      <c r="M108" s="58">
        <v>64575</v>
      </c>
      <c r="N108" s="58">
        <v>15136.95</v>
      </c>
      <c r="O108" s="58">
        <v>11900</v>
      </c>
      <c r="P108" s="58" t="s">
        <v>35</v>
      </c>
      <c r="Q108" s="58">
        <v>0</v>
      </c>
      <c r="R108" s="58">
        <v>0</v>
      </c>
      <c r="S108" s="58">
        <v>0</v>
      </c>
      <c r="T108" s="58">
        <v>0</v>
      </c>
      <c r="U108" s="58">
        <v>0</v>
      </c>
      <c r="V108" s="58">
        <v>0</v>
      </c>
      <c r="W108" s="58">
        <v>0</v>
      </c>
      <c r="X108" s="58">
        <v>0</v>
      </c>
      <c r="Y108" s="58">
        <v>9225</v>
      </c>
      <c r="Z108" s="58">
        <v>9300</v>
      </c>
      <c r="AA108" s="58">
        <v>15136.95</v>
      </c>
      <c r="AD108" s="18" t="str">
        <f t="array" ref="AD108">IFERROR(INDEX($A$1:$A$2000, MATCH(0, IF($AD$1*1=$C$1:$C$2090*1, COUNTIF($AD$1:$AD107, $A$1:$A$2000), ""), 0)),"")</f>
        <v/>
      </c>
      <c r="AE108" s="57" t="str">
        <f t="shared" si="15"/>
        <v/>
      </c>
      <c r="AF108" s="18" t="str">
        <f t="shared" si="16"/>
        <v/>
      </c>
      <c r="AG108" s="18" t="str">
        <f t="shared" si="17"/>
        <v/>
      </c>
      <c r="AH108" s="18" t="str">
        <f t="shared" si="18"/>
        <v/>
      </c>
      <c r="AI108" s="18" t="str">
        <f t="shared" si="19"/>
        <v/>
      </c>
      <c r="AJ108" s="18" t="str">
        <f t="shared" si="20"/>
        <v/>
      </c>
      <c r="AK108" s="18" t="str">
        <f t="shared" si="21"/>
        <v/>
      </c>
      <c r="AL108" s="18" t="str">
        <f t="shared" si="22"/>
        <v/>
      </c>
      <c r="AM108" s="18" t="str">
        <f t="shared" si="23"/>
        <v/>
      </c>
    </row>
    <row r="109" spans="1:39" x14ac:dyDescent="0.35">
      <c r="A109" s="56" t="s">
        <v>177</v>
      </c>
      <c r="B109" s="58">
        <v>11900</v>
      </c>
      <c r="C109" s="58" t="s">
        <v>27</v>
      </c>
      <c r="D109" s="58">
        <v>2</v>
      </c>
      <c r="E109" s="58">
        <v>0</v>
      </c>
      <c r="F109" s="58">
        <v>0</v>
      </c>
      <c r="G109" s="58">
        <v>0</v>
      </c>
      <c r="H109" s="58">
        <v>0</v>
      </c>
      <c r="I109" s="58">
        <v>0</v>
      </c>
      <c r="J109" s="58">
        <v>0</v>
      </c>
      <c r="K109" s="58">
        <v>0</v>
      </c>
      <c r="L109" s="58">
        <v>1500</v>
      </c>
      <c r="M109" s="58">
        <v>0</v>
      </c>
      <c r="N109" s="58">
        <v>15136.95</v>
      </c>
      <c r="O109" s="58">
        <v>11900</v>
      </c>
      <c r="P109" s="58" t="s">
        <v>27</v>
      </c>
      <c r="Q109" s="58">
        <v>194</v>
      </c>
      <c r="R109" s="58">
        <v>0</v>
      </c>
      <c r="S109" s="58">
        <v>0</v>
      </c>
      <c r="T109" s="58">
        <v>0</v>
      </c>
      <c r="U109" s="58">
        <v>0</v>
      </c>
      <c r="V109" s="58">
        <v>0</v>
      </c>
      <c r="W109" s="58">
        <v>0</v>
      </c>
      <c r="X109" s="58">
        <v>0</v>
      </c>
      <c r="Y109" s="58">
        <v>2100</v>
      </c>
      <c r="Z109" s="58">
        <v>0</v>
      </c>
      <c r="AA109" s="58">
        <v>15136.95</v>
      </c>
      <c r="AD109" s="18" t="str">
        <f t="array" ref="AD109">IFERROR(INDEX($A$1:$A$2000, MATCH(0, IF($AD$1*1=$C$1:$C$2090*1, COUNTIF($AD$1:$AD108, $A$1:$A$2000), ""), 0)),"")</f>
        <v/>
      </c>
      <c r="AE109" s="57" t="str">
        <f t="shared" si="15"/>
        <v/>
      </c>
      <c r="AF109" s="18" t="str">
        <f t="shared" si="16"/>
        <v/>
      </c>
      <c r="AG109" s="18" t="str">
        <f t="shared" si="17"/>
        <v/>
      </c>
      <c r="AH109" s="18" t="str">
        <f t="shared" si="18"/>
        <v/>
      </c>
      <c r="AI109" s="18" t="str">
        <f t="shared" si="19"/>
        <v/>
      </c>
      <c r="AJ109" s="18" t="str">
        <f t="shared" si="20"/>
        <v/>
      </c>
      <c r="AK109" s="18" t="str">
        <f t="shared" si="21"/>
        <v/>
      </c>
      <c r="AL109" s="18" t="str">
        <f t="shared" si="22"/>
        <v/>
      </c>
      <c r="AM109" s="18" t="str">
        <f t="shared" si="23"/>
        <v/>
      </c>
    </row>
    <row r="110" spans="1:39" x14ac:dyDescent="0.35">
      <c r="A110" s="56" t="s">
        <v>178</v>
      </c>
      <c r="B110" s="58">
        <v>11900</v>
      </c>
      <c r="C110" s="58" t="s">
        <v>33</v>
      </c>
      <c r="D110" s="58">
        <v>308</v>
      </c>
      <c r="E110" s="58">
        <v>0</v>
      </c>
      <c r="F110" s="58">
        <v>0</v>
      </c>
      <c r="G110" s="58">
        <v>3</v>
      </c>
      <c r="H110" s="58">
        <v>54.76</v>
      </c>
      <c r="I110" s="58">
        <v>5.5</v>
      </c>
      <c r="J110" s="58">
        <v>-0.75</v>
      </c>
      <c r="K110" s="58">
        <v>-12</v>
      </c>
      <c r="L110" s="58">
        <v>6900</v>
      </c>
      <c r="M110" s="58">
        <v>23325</v>
      </c>
      <c r="N110" s="58">
        <v>15136.95</v>
      </c>
      <c r="O110" s="58">
        <v>11900</v>
      </c>
      <c r="P110" s="58" t="s">
        <v>33</v>
      </c>
      <c r="Q110" s="58">
        <v>27</v>
      </c>
      <c r="R110" s="58">
        <v>0</v>
      </c>
      <c r="S110" s="58">
        <v>0</v>
      </c>
      <c r="T110" s="58">
        <v>0</v>
      </c>
      <c r="U110" s="58">
        <v>0</v>
      </c>
      <c r="V110" s="58">
        <v>0</v>
      </c>
      <c r="W110" s="58">
        <v>0</v>
      </c>
      <c r="X110" s="58">
        <v>0</v>
      </c>
      <c r="Y110" s="58">
        <v>11625</v>
      </c>
      <c r="Z110" s="58">
        <v>11550</v>
      </c>
      <c r="AA110" s="58">
        <v>15136.95</v>
      </c>
      <c r="AD110" s="18" t="str">
        <f t="array" ref="AD110">IFERROR(INDEX($A$1:$A$2000, MATCH(0, IF($AD$1*1=$C$1:$C$2090*1, COUNTIF($AD$1:$AD109, $A$1:$A$2000), ""), 0)),"")</f>
        <v/>
      </c>
      <c r="AE110" s="57" t="str">
        <f t="shared" si="15"/>
        <v/>
      </c>
      <c r="AF110" s="18" t="str">
        <f t="shared" si="16"/>
        <v/>
      </c>
      <c r="AG110" s="18" t="str">
        <f t="shared" si="17"/>
        <v/>
      </c>
      <c r="AH110" s="18" t="str">
        <f t="shared" si="18"/>
        <v/>
      </c>
      <c r="AI110" s="18" t="str">
        <f t="shared" si="19"/>
        <v/>
      </c>
      <c r="AJ110" s="18" t="str">
        <f t="shared" si="20"/>
        <v/>
      </c>
      <c r="AK110" s="18" t="str">
        <f t="shared" si="21"/>
        <v/>
      </c>
      <c r="AL110" s="18" t="str">
        <f t="shared" si="22"/>
        <v/>
      </c>
      <c r="AM110" s="18" t="str">
        <f t="shared" si="23"/>
        <v/>
      </c>
    </row>
    <row r="111" spans="1:39" x14ac:dyDescent="0.35">
      <c r="A111" s="56" t="s">
        <v>179</v>
      </c>
      <c r="B111" s="58">
        <v>11950</v>
      </c>
      <c r="C111" s="58" t="s">
        <v>33</v>
      </c>
      <c r="D111" s="58">
        <v>70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7200</v>
      </c>
      <c r="M111" s="58">
        <v>0</v>
      </c>
      <c r="N111" s="58">
        <v>15136.95</v>
      </c>
      <c r="O111" s="58">
        <v>11950</v>
      </c>
      <c r="P111" s="58" t="s">
        <v>33</v>
      </c>
      <c r="Q111" s="58">
        <v>0</v>
      </c>
      <c r="R111" s="58">
        <v>0</v>
      </c>
      <c r="S111" s="58">
        <v>0</v>
      </c>
      <c r="T111" s="58">
        <v>0</v>
      </c>
      <c r="U111" s="58">
        <v>0</v>
      </c>
      <c r="V111" s="58">
        <v>0</v>
      </c>
      <c r="W111" s="58">
        <v>0</v>
      </c>
      <c r="X111" s="58">
        <v>0</v>
      </c>
      <c r="Y111" s="58">
        <v>11400</v>
      </c>
      <c r="Z111" s="58">
        <v>6450</v>
      </c>
      <c r="AA111" s="58">
        <v>15136.95</v>
      </c>
      <c r="AD111" s="18" t="str">
        <f t="array" ref="AD111">IFERROR(INDEX($A$1:$A$2000, MATCH(0, IF($AD$1*1=$C$1:$C$2090*1, COUNTIF($AD$1:$AD110, $A$1:$A$2000), ""), 0)),"")</f>
        <v/>
      </c>
      <c r="AE111" s="57" t="str">
        <f t="shared" si="15"/>
        <v/>
      </c>
      <c r="AF111" s="18" t="str">
        <f t="shared" si="16"/>
        <v/>
      </c>
      <c r="AG111" s="18" t="str">
        <f t="shared" si="17"/>
        <v/>
      </c>
      <c r="AH111" s="18" t="str">
        <f t="shared" si="18"/>
        <v/>
      </c>
      <c r="AI111" s="18" t="str">
        <f t="shared" si="19"/>
        <v/>
      </c>
      <c r="AJ111" s="18" t="str">
        <f t="shared" si="20"/>
        <v/>
      </c>
      <c r="AK111" s="18" t="str">
        <f t="shared" si="21"/>
        <v/>
      </c>
      <c r="AL111" s="18" t="str">
        <f t="shared" si="22"/>
        <v/>
      </c>
      <c r="AM111" s="18" t="str">
        <f t="shared" si="23"/>
        <v/>
      </c>
    </row>
    <row r="112" spans="1:39" x14ac:dyDescent="0.35">
      <c r="A112" s="56" t="s">
        <v>180</v>
      </c>
      <c r="B112" s="58">
        <v>11950</v>
      </c>
      <c r="C112" s="58" t="s">
        <v>34</v>
      </c>
      <c r="D112" s="58">
        <v>0</v>
      </c>
      <c r="E112" s="58">
        <v>0</v>
      </c>
      <c r="F112" s="58">
        <v>0</v>
      </c>
      <c r="G112" s="58">
        <v>0</v>
      </c>
      <c r="H112" s="58">
        <v>0</v>
      </c>
      <c r="I112" s="58">
        <v>0</v>
      </c>
      <c r="J112" s="58">
        <v>0</v>
      </c>
      <c r="K112" s="58">
        <v>0</v>
      </c>
      <c r="L112" s="58">
        <v>11925</v>
      </c>
      <c r="M112" s="58">
        <v>9075</v>
      </c>
      <c r="N112" s="58">
        <v>15136.95</v>
      </c>
      <c r="O112" s="58">
        <v>11950</v>
      </c>
      <c r="P112" s="58" t="s">
        <v>34</v>
      </c>
      <c r="Q112" s="58">
        <v>0</v>
      </c>
      <c r="R112" s="58">
        <v>0</v>
      </c>
      <c r="S112" s="58">
        <v>0</v>
      </c>
      <c r="T112" s="58">
        <v>0</v>
      </c>
      <c r="U112" s="58">
        <v>0</v>
      </c>
      <c r="V112" s="58">
        <v>0</v>
      </c>
      <c r="W112" s="58">
        <v>0</v>
      </c>
      <c r="X112" s="58">
        <v>0</v>
      </c>
      <c r="Y112" s="58">
        <v>7725</v>
      </c>
      <c r="Z112" s="58">
        <v>7725</v>
      </c>
      <c r="AA112" s="58">
        <v>15136.95</v>
      </c>
      <c r="AD112" s="18" t="str">
        <f t="array" ref="AD112">IFERROR(INDEX($A$1:$A$2000, MATCH(0, IF($AD$1*1=$C$1:$C$2090*1, COUNTIF($AD$1:$AD111, $A$1:$A$2000), ""), 0)),"")</f>
        <v/>
      </c>
      <c r="AE112" s="57" t="str">
        <f t="shared" si="15"/>
        <v/>
      </c>
      <c r="AF112" s="18" t="str">
        <f t="shared" si="16"/>
        <v/>
      </c>
      <c r="AG112" s="18" t="str">
        <f t="shared" si="17"/>
        <v/>
      </c>
      <c r="AH112" s="18" t="str">
        <f t="shared" si="18"/>
        <v/>
      </c>
      <c r="AI112" s="18" t="str">
        <f t="shared" si="19"/>
        <v/>
      </c>
      <c r="AJ112" s="18" t="str">
        <f t="shared" si="20"/>
        <v/>
      </c>
      <c r="AK112" s="18" t="str">
        <f t="shared" si="21"/>
        <v/>
      </c>
      <c r="AL112" s="18" t="str">
        <f t="shared" si="22"/>
        <v/>
      </c>
      <c r="AM112" s="18" t="str">
        <f t="shared" si="23"/>
        <v/>
      </c>
    </row>
    <row r="113" spans="1:39" x14ac:dyDescent="0.35">
      <c r="A113" s="56" t="s">
        <v>181</v>
      </c>
      <c r="B113" s="58">
        <v>11950</v>
      </c>
      <c r="C113" s="58" t="s">
        <v>35</v>
      </c>
      <c r="D113" s="58">
        <v>278</v>
      </c>
      <c r="E113" s="58">
        <v>44</v>
      </c>
      <c r="F113" s="58">
        <v>18.803418803418804</v>
      </c>
      <c r="G113" s="58">
        <v>171</v>
      </c>
      <c r="H113" s="58">
        <v>135.29</v>
      </c>
      <c r="I113" s="58">
        <v>0.1</v>
      </c>
      <c r="J113" s="58">
        <v>-0.45000000000000007</v>
      </c>
      <c r="K113" s="58">
        <v>-81.818181818181827</v>
      </c>
      <c r="L113" s="58">
        <v>18450</v>
      </c>
      <c r="M113" s="58">
        <v>41550</v>
      </c>
      <c r="N113" s="58">
        <v>15136.95</v>
      </c>
      <c r="O113" s="58">
        <v>11950</v>
      </c>
      <c r="P113" s="58" t="s">
        <v>35</v>
      </c>
      <c r="Q113" s="58">
        <v>0</v>
      </c>
      <c r="R113" s="58">
        <v>0</v>
      </c>
      <c r="S113" s="58">
        <v>0</v>
      </c>
      <c r="T113" s="58">
        <v>0</v>
      </c>
      <c r="U113" s="58">
        <v>0</v>
      </c>
      <c r="V113" s="58">
        <v>0</v>
      </c>
      <c r="W113" s="58">
        <v>0</v>
      </c>
      <c r="X113" s="58">
        <v>0</v>
      </c>
      <c r="Y113" s="58">
        <v>9225</v>
      </c>
      <c r="Z113" s="58">
        <v>9300</v>
      </c>
      <c r="AA113" s="58">
        <v>15136.95</v>
      </c>
      <c r="AD113" s="18" t="str">
        <f t="array" ref="AD113">IFERROR(INDEX($A$1:$A$2000, MATCH(0, IF($AD$1*1=$C$1:$C$2090*1, COUNTIF($AD$1:$AD112, $A$1:$A$2000), ""), 0)),"")</f>
        <v/>
      </c>
      <c r="AE113" s="57" t="str">
        <f t="shared" si="15"/>
        <v/>
      </c>
      <c r="AF113" s="18" t="str">
        <f t="shared" si="16"/>
        <v/>
      </c>
      <c r="AG113" s="18" t="str">
        <f t="shared" si="17"/>
        <v/>
      </c>
      <c r="AH113" s="18" t="str">
        <f t="shared" si="18"/>
        <v/>
      </c>
      <c r="AI113" s="18" t="str">
        <f t="shared" si="19"/>
        <v/>
      </c>
      <c r="AJ113" s="18" t="str">
        <f t="shared" si="20"/>
        <v/>
      </c>
      <c r="AK113" s="18" t="str">
        <f t="shared" si="21"/>
        <v/>
      </c>
      <c r="AL113" s="18" t="str">
        <f t="shared" si="22"/>
        <v/>
      </c>
      <c r="AM113" s="18" t="str">
        <f t="shared" si="23"/>
        <v/>
      </c>
    </row>
    <row r="114" spans="1:39" x14ac:dyDescent="0.35">
      <c r="A114" s="56" t="s">
        <v>182</v>
      </c>
      <c r="B114" s="58">
        <v>12000</v>
      </c>
      <c r="C114" s="58" t="s">
        <v>26</v>
      </c>
      <c r="D114" s="58">
        <v>24531</v>
      </c>
      <c r="E114" s="58">
        <v>37</v>
      </c>
      <c r="F114" s="58">
        <v>0.15105740181268881</v>
      </c>
      <c r="G114" s="58">
        <v>462</v>
      </c>
      <c r="H114" s="58">
        <v>39.369999999999997</v>
      </c>
      <c r="I114" s="58">
        <v>23.1</v>
      </c>
      <c r="J114" s="58">
        <v>-2.75</v>
      </c>
      <c r="K114" s="58">
        <v>-10.638297872340424</v>
      </c>
      <c r="L114" s="58">
        <v>30750</v>
      </c>
      <c r="M114" s="58">
        <v>16275</v>
      </c>
      <c r="N114" s="58">
        <v>15136.95</v>
      </c>
      <c r="O114" s="58">
        <v>12000</v>
      </c>
      <c r="P114" s="58" t="s">
        <v>26</v>
      </c>
      <c r="Q114" s="58">
        <v>1946</v>
      </c>
      <c r="R114" s="58">
        <v>-5</v>
      </c>
      <c r="S114" s="58">
        <v>-0.25627883136852897</v>
      </c>
      <c r="T114" s="58">
        <v>16</v>
      </c>
      <c r="U114" s="58">
        <v>0</v>
      </c>
      <c r="V114" s="58">
        <v>3185</v>
      </c>
      <c r="W114" s="58">
        <v>11</v>
      </c>
      <c r="X114" s="58">
        <v>0.34656584751102709</v>
      </c>
      <c r="Y114" s="58">
        <v>11925</v>
      </c>
      <c r="Z114" s="58">
        <v>11550</v>
      </c>
      <c r="AA114" s="58">
        <v>15136.95</v>
      </c>
      <c r="AD114" s="18" t="str">
        <f t="array" ref="AD114">IFERROR(INDEX($A$1:$A$2000, MATCH(0, IF($AD$1*1=$C$1:$C$2090*1, COUNTIF($AD$1:$AD113, $A$1:$A$2000), ""), 0)),"")</f>
        <v/>
      </c>
      <c r="AE114" s="57" t="str">
        <f t="shared" si="15"/>
        <v/>
      </c>
      <c r="AF114" s="18" t="str">
        <f t="shared" si="16"/>
        <v/>
      </c>
      <c r="AG114" s="18" t="str">
        <f t="shared" si="17"/>
        <v/>
      </c>
      <c r="AH114" s="18" t="str">
        <f t="shared" si="18"/>
        <v/>
      </c>
      <c r="AI114" s="18" t="str">
        <f t="shared" si="19"/>
        <v/>
      </c>
      <c r="AJ114" s="18" t="str">
        <f t="shared" si="20"/>
        <v/>
      </c>
      <c r="AK114" s="18" t="str">
        <f t="shared" si="21"/>
        <v/>
      </c>
      <c r="AL114" s="18" t="str">
        <f t="shared" si="22"/>
        <v/>
      </c>
      <c r="AM114" s="18" t="str">
        <f t="shared" si="23"/>
        <v/>
      </c>
    </row>
    <row r="115" spans="1:39" x14ac:dyDescent="0.35">
      <c r="A115" s="56" t="s">
        <v>183</v>
      </c>
      <c r="B115" s="58">
        <v>12000</v>
      </c>
      <c r="C115" s="58" t="s">
        <v>27</v>
      </c>
      <c r="D115" s="58">
        <v>695</v>
      </c>
      <c r="E115" s="58">
        <v>-1</v>
      </c>
      <c r="F115" s="58">
        <v>-0.14367816091954022</v>
      </c>
      <c r="G115" s="58">
        <v>3</v>
      </c>
      <c r="H115" s="58">
        <v>34.35</v>
      </c>
      <c r="I115" s="58">
        <v>125</v>
      </c>
      <c r="J115" s="58">
        <v>-11.400000000000006</v>
      </c>
      <c r="K115" s="58">
        <v>-8.3577712609970707</v>
      </c>
      <c r="L115" s="58">
        <v>8175</v>
      </c>
      <c r="M115" s="58">
        <v>825</v>
      </c>
      <c r="N115" s="58">
        <v>15136.95</v>
      </c>
      <c r="O115" s="58">
        <v>12000</v>
      </c>
      <c r="P115" s="58" t="s">
        <v>27</v>
      </c>
      <c r="Q115" s="58">
        <v>6</v>
      </c>
      <c r="R115" s="58">
        <v>0</v>
      </c>
      <c r="S115" s="58">
        <v>0</v>
      </c>
      <c r="T115" s="58">
        <v>0</v>
      </c>
      <c r="U115" s="58">
        <v>0</v>
      </c>
      <c r="V115" s="58">
        <v>0</v>
      </c>
      <c r="W115" s="58">
        <v>0</v>
      </c>
      <c r="X115" s="58">
        <v>0</v>
      </c>
      <c r="Y115" s="58">
        <v>2625</v>
      </c>
      <c r="Z115" s="58">
        <v>75</v>
      </c>
      <c r="AA115" s="58">
        <v>15136.95</v>
      </c>
      <c r="AD115" s="18" t="str">
        <f t="array" ref="AD115">IFERROR(INDEX($A$1:$A$2000, MATCH(0, IF($AD$1*1=$C$1:$C$2090*1, COUNTIF($AD$1:$AD114, $A$1:$A$2000), ""), 0)),"")</f>
        <v/>
      </c>
      <c r="AE115" s="57" t="str">
        <f t="shared" si="15"/>
        <v/>
      </c>
      <c r="AF115" s="18" t="str">
        <f t="shared" si="16"/>
        <v/>
      </c>
      <c r="AG115" s="18" t="str">
        <f t="shared" si="17"/>
        <v/>
      </c>
      <c r="AH115" s="18" t="str">
        <f t="shared" si="18"/>
        <v/>
      </c>
      <c r="AI115" s="18" t="str">
        <f t="shared" si="19"/>
        <v/>
      </c>
      <c r="AJ115" s="18" t="str">
        <f t="shared" si="20"/>
        <v/>
      </c>
      <c r="AK115" s="18" t="str">
        <f t="shared" si="21"/>
        <v/>
      </c>
      <c r="AL115" s="18" t="str">
        <f t="shared" si="22"/>
        <v/>
      </c>
      <c r="AM115" s="18" t="str">
        <f t="shared" si="23"/>
        <v/>
      </c>
    </row>
    <row r="116" spans="1:39" x14ac:dyDescent="0.35">
      <c r="A116" s="56" t="s">
        <v>184</v>
      </c>
      <c r="B116" s="58">
        <v>12000</v>
      </c>
      <c r="C116" s="58" t="s">
        <v>31</v>
      </c>
      <c r="D116" s="58">
        <v>0</v>
      </c>
      <c r="E116" s="58">
        <v>0</v>
      </c>
      <c r="F116" s="58">
        <v>0</v>
      </c>
      <c r="G116" s="58">
        <v>0</v>
      </c>
      <c r="H116" s="58">
        <v>0</v>
      </c>
      <c r="I116" s="58">
        <v>0</v>
      </c>
      <c r="J116" s="58">
        <v>0</v>
      </c>
      <c r="K116" s="58">
        <v>0</v>
      </c>
      <c r="L116" s="58">
        <v>6150</v>
      </c>
      <c r="M116" s="58">
        <v>0</v>
      </c>
      <c r="N116" s="58">
        <v>15136.95</v>
      </c>
      <c r="O116" s="58">
        <v>12000</v>
      </c>
      <c r="P116" s="58" t="s">
        <v>31</v>
      </c>
      <c r="Q116" s="58">
        <v>0</v>
      </c>
      <c r="R116" s="58">
        <v>0</v>
      </c>
      <c r="S116" s="58">
        <v>0</v>
      </c>
      <c r="T116" s="58">
        <v>0</v>
      </c>
      <c r="U116" s="58">
        <v>0</v>
      </c>
      <c r="V116" s="58">
        <v>0</v>
      </c>
      <c r="W116" s="58">
        <v>0</v>
      </c>
      <c r="X116" s="58">
        <v>0</v>
      </c>
      <c r="Y116" s="58">
        <v>1500</v>
      </c>
      <c r="Z116" s="58">
        <v>0</v>
      </c>
      <c r="AA116" s="58">
        <v>15136.95</v>
      </c>
      <c r="AD116" s="18" t="str">
        <f t="array" ref="AD116">IFERROR(INDEX($A$1:$A$2000, MATCH(0, IF($AD$1*1=$C$1:$C$2090*1, COUNTIF($AD$1:$AD115, $A$1:$A$2000), ""), 0)),"")</f>
        <v/>
      </c>
      <c r="AE116" s="57" t="str">
        <f t="shared" si="15"/>
        <v/>
      </c>
      <c r="AF116" s="18" t="str">
        <f t="shared" si="16"/>
        <v/>
      </c>
      <c r="AG116" s="18" t="str">
        <f t="shared" si="17"/>
        <v/>
      </c>
      <c r="AH116" s="18" t="str">
        <f t="shared" si="18"/>
        <v/>
      </c>
      <c r="AI116" s="18" t="str">
        <f t="shared" si="19"/>
        <v/>
      </c>
      <c r="AJ116" s="18" t="str">
        <f t="shared" si="20"/>
        <v/>
      </c>
      <c r="AK116" s="18" t="str">
        <f t="shared" si="21"/>
        <v/>
      </c>
      <c r="AL116" s="18" t="str">
        <f t="shared" si="22"/>
        <v/>
      </c>
      <c r="AM116" s="18" t="str">
        <f t="shared" si="23"/>
        <v/>
      </c>
    </row>
    <row r="117" spans="1:39" x14ac:dyDescent="0.35">
      <c r="A117" s="56" t="s">
        <v>185</v>
      </c>
      <c r="B117" s="58">
        <v>12000</v>
      </c>
      <c r="C117" s="58" t="s">
        <v>29</v>
      </c>
      <c r="D117" s="58">
        <v>1085</v>
      </c>
      <c r="E117" s="58">
        <v>3</v>
      </c>
      <c r="F117" s="58">
        <v>0.27726432532347506</v>
      </c>
      <c r="G117" s="58">
        <v>7</v>
      </c>
      <c r="H117" s="58">
        <v>29.87</v>
      </c>
      <c r="I117" s="58">
        <v>226</v>
      </c>
      <c r="J117" s="58">
        <v>1.3000000000000114</v>
      </c>
      <c r="K117" s="58">
        <v>0.57854917668002281</v>
      </c>
      <c r="L117" s="58">
        <v>5625</v>
      </c>
      <c r="M117" s="58">
        <v>4050</v>
      </c>
      <c r="N117" s="58">
        <v>15136.95</v>
      </c>
      <c r="O117" s="58">
        <v>12000</v>
      </c>
      <c r="P117" s="58" t="s">
        <v>29</v>
      </c>
      <c r="Q117" s="58">
        <v>952</v>
      </c>
      <c r="R117" s="58">
        <v>0</v>
      </c>
      <c r="S117" s="58">
        <v>0</v>
      </c>
      <c r="T117" s="58">
        <v>0</v>
      </c>
      <c r="U117" s="58">
        <v>0</v>
      </c>
      <c r="V117" s="58">
        <v>0</v>
      </c>
      <c r="W117" s="58">
        <v>0</v>
      </c>
      <c r="X117" s="58">
        <v>0</v>
      </c>
      <c r="Y117" s="58">
        <v>3900</v>
      </c>
      <c r="Z117" s="58">
        <v>3450</v>
      </c>
      <c r="AA117" s="58">
        <v>15136.95</v>
      </c>
      <c r="AD117" s="18" t="str">
        <f t="array" ref="AD117">IFERROR(INDEX($A$1:$A$2000, MATCH(0, IF($AD$1*1=$C$1:$C$2090*1, COUNTIF($AD$1:$AD116, $A$1:$A$2000), ""), 0)),"")</f>
        <v/>
      </c>
      <c r="AE117" s="57" t="str">
        <f t="shared" si="15"/>
        <v/>
      </c>
      <c r="AF117" s="18" t="str">
        <f t="shared" si="16"/>
        <v/>
      </c>
      <c r="AG117" s="18" t="str">
        <f t="shared" si="17"/>
        <v/>
      </c>
      <c r="AH117" s="18" t="str">
        <f t="shared" si="18"/>
        <v/>
      </c>
      <c r="AI117" s="18" t="str">
        <f t="shared" si="19"/>
        <v/>
      </c>
      <c r="AJ117" s="18" t="str">
        <f t="shared" si="20"/>
        <v/>
      </c>
      <c r="AK117" s="18" t="str">
        <f t="shared" si="21"/>
        <v/>
      </c>
      <c r="AL117" s="18" t="str">
        <f t="shared" si="22"/>
        <v/>
      </c>
      <c r="AM117" s="18" t="str">
        <f t="shared" si="23"/>
        <v/>
      </c>
    </row>
    <row r="118" spans="1:39" x14ac:dyDescent="0.35">
      <c r="A118" s="56" t="s">
        <v>186</v>
      </c>
      <c r="B118" s="58">
        <v>12000</v>
      </c>
      <c r="C118" s="58" t="s">
        <v>30</v>
      </c>
      <c r="D118" s="58">
        <v>37</v>
      </c>
      <c r="E118" s="58">
        <v>0</v>
      </c>
      <c r="F118" s="58">
        <v>0</v>
      </c>
      <c r="G118" s="58">
        <v>0</v>
      </c>
      <c r="H118" s="58">
        <v>0</v>
      </c>
      <c r="I118" s="58">
        <v>0</v>
      </c>
      <c r="J118" s="58">
        <v>0</v>
      </c>
      <c r="K118" s="58">
        <v>0</v>
      </c>
      <c r="L118" s="58">
        <v>3000</v>
      </c>
      <c r="M118" s="58">
        <v>0</v>
      </c>
      <c r="N118" s="58">
        <v>15136.95</v>
      </c>
      <c r="O118" s="58">
        <v>0</v>
      </c>
      <c r="P118" s="58">
        <v>0</v>
      </c>
      <c r="Q118" s="58">
        <v>0</v>
      </c>
      <c r="R118" s="58">
        <v>0</v>
      </c>
      <c r="S118" s="58">
        <v>0</v>
      </c>
      <c r="T118" s="58">
        <v>0</v>
      </c>
      <c r="U118" s="58">
        <v>0</v>
      </c>
      <c r="V118" s="58">
        <v>0</v>
      </c>
      <c r="W118" s="58">
        <v>0</v>
      </c>
      <c r="X118" s="58">
        <v>0</v>
      </c>
      <c r="Y118" s="58">
        <v>0</v>
      </c>
      <c r="Z118" s="58">
        <v>0</v>
      </c>
      <c r="AA118" s="58">
        <v>0</v>
      </c>
      <c r="AD118" s="18" t="str">
        <f t="array" ref="AD118">IFERROR(INDEX($A$1:$A$2000, MATCH(0, IF($AD$1*1=$C$1:$C$2090*1, COUNTIF($AD$1:$AD117, $A$1:$A$2000), ""), 0)),"")</f>
        <v/>
      </c>
      <c r="AE118" s="57" t="str">
        <f t="shared" si="15"/>
        <v/>
      </c>
      <c r="AF118" s="18" t="str">
        <f t="shared" si="16"/>
        <v/>
      </c>
      <c r="AG118" s="18" t="str">
        <f t="shared" si="17"/>
        <v/>
      </c>
      <c r="AH118" s="18" t="str">
        <f t="shared" si="18"/>
        <v/>
      </c>
      <c r="AI118" s="18" t="str">
        <f t="shared" si="19"/>
        <v/>
      </c>
      <c r="AJ118" s="18" t="str">
        <f t="shared" si="20"/>
        <v/>
      </c>
      <c r="AK118" s="18" t="str">
        <f t="shared" si="21"/>
        <v/>
      </c>
      <c r="AL118" s="18" t="str">
        <f t="shared" si="22"/>
        <v/>
      </c>
      <c r="AM118" s="18" t="str">
        <f t="shared" si="23"/>
        <v/>
      </c>
    </row>
    <row r="119" spans="1:39" x14ac:dyDescent="0.35">
      <c r="A119" s="56" t="s">
        <v>187</v>
      </c>
      <c r="B119" s="58">
        <v>12000</v>
      </c>
      <c r="C119" s="58" t="s">
        <v>28</v>
      </c>
      <c r="D119" s="58">
        <v>222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3675</v>
      </c>
      <c r="M119" s="58">
        <v>75</v>
      </c>
      <c r="N119" s="58">
        <v>15136.95</v>
      </c>
      <c r="O119" s="58">
        <v>0</v>
      </c>
      <c r="P119" s="58">
        <v>0</v>
      </c>
      <c r="Q119" s="58">
        <v>0</v>
      </c>
      <c r="R119" s="58">
        <v>0</v>
      </c>
      <c r="S119" s="58">
        <v>0</v>
      </c>
      <c r="T119" s="58">
        <v>0</v>
      </c>
      <c r="U119" s="58">
        <v>0</v>
      </c>
      <c r="V119" s="58">
        <v>0</v>
      </c>
      <c r="W119" s="58">
        <v>0</v>
      </c>
      <c r="X119" s="58">
        <v>0</v>
      </c>
      <c r="Y119" s="58">
        <v>0</v>
      </c>
      <c r="Z119" s="58">
        <v>0</v>
      </c>
      <c r="AA119" s="58">
        <v>0</v>
      </c>
      <c r="AD119" s="18" t="str">
        <f t="array" ref="AD119">IFERROR(INDEX($A$1:$A$2000, MATCH(0, IF($AD$1*1=$C$1:$C$2090*1, COUNTIF($AD$1:$AD118, $A$1:$A$2000), ""), 0)),"")</f>
        <v/>
      </c>
      <c r="AE119" s="57" t="str">
        <f t="shared" si="15"/>
        <v/>
      </c>
      <c r="AF119" s="18" t="str">
        <f t="shared" si="16"/>
        <v/>
      </c>
      <c r="AG119" s="18" t="str">
        <f t="shared" si="17"/>
        <v/>
      </c>
      <c r="AH119" s="18" t="str">
        <f t="shared" si="18"/>
        <v/>
      </c>
      <c r="AI119" s="18" t="str">
        <f t="shared" si="19"/>
        <v/>
      </c>
      <c r="AJ119" s="18" t="str">
        <f t="shared" si="20"/>
        <v/>
      </c>
      <c r="AK119" s="18" t="str">
        <f t="shared" si="21"/>
        <v/>
      </c>
      <c r="AL119" s="18" t="str">
        <f t="shared" si="22"/>
        <v/>
      </c>
      <c r="AM119" s="18" t="str">
        <f t="shared" si="23"/>
        <v/>
      </c>
    </row>
    <row r="120" spans="1:39" x14ac:dyDescent="0.35">
      <c r="A120" s="56" t="s">
        <v>188</v>
      </c>
      <c r="B120" s="58">
        <v>12000</v>
      </c>
      <c r="C120" s="58" t="s">
        <v>32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2400</v>
      </c>
      <c r="M120" s="58">
        <v>0</v>
      </c>
      <c r="N120" s="58">
        <v>15136.95</v>
      </c>
      <c r="O120" s="58">
        <v>0</v>
      </c>
      <c r="P120" s="58">
        <v>0</v>
      </c>
      <c r="Q120" s="58">
        <v>0</v>
      </c>
      <c r="R120" s="58">
        <v>0</v>
      </c>
      <c r="S120" s="58">
        <v>0</v>
      </c>
      <c r="T120" s="58">
        <v>0</v>
      </c>
      <c r="U120" s="58">
        <v>0</v>
      </c>
      <c r="V120" s="58">
        <v>0</v>
      </c>
      <c r="W120" s="58">
        <v>0</v>
      </c>
      <c r="X120" s="58">
        <v>0</v>
      </c>
      <c r="Y120" s="58">
        <v>0</v>
      </c>
      <c r="Z120" s="58">
        <v>0</v>
      </c>
      <c r="AA120" s="58">
        <v>0</v>
      </c>
      <c r="AD120" s="18" t="str">
        <f t="array" ref="AD120">IFERROR(INDEX($A$1:$A$2000, MATCH(0, IF($AD$1*1=$C$1:$C$2090*1, COUNTIF($AD$1:$AD119, $A$1:$A$2000), ""), 0)),"")</f>
        <v/>
      </c>
      <c r="AE120" s="57" t="str">
        <f t="shared" si="15"/>
        <v/>
      </c>
      <c r="AF120" s="18" t="str">
        <f t="shared" si="16"/>
        <v/>
      </c>
      <c r="AG120" s="18" t="str">
        <f t="shared" si="17"/>
        <v/>
      </c>
      <c r="AH120" s="18" t="str">
        <f t="shared" si="18"/>
        <v/>
      </c>
      <c r="AI120" s="18" t="str">
        <f t="shared" si="19"/>
        <v/>
      </c>
      <c r="AJ120" s="18" t="str">
        <f t="shared" si="20"/>
        <v/>
      </c>
      <c r="AK120" s="18" t="str">
        <f t="shared" si="21"/>
        <v/>
      </c>
      <c r="AL120" s="18" t="str">
        <f t="shared" si="22"/>
        <v/>
      </c>
      <c r="AM120" s="18" t="str">
        <f t="shared" si="23"/>
        <v/>
      </c>
    </row>
    <row r="121" spans="1:39" x14ac:dyDescent="0.35">
      <c r="A121" s="56" t="s">
        <v>189</v>
      </c>
      <c r="B121" s="58">
        <v>12000</v>
      </c>
      <c r="C121" s="58" t="s">
        <v>35</v>
      </c>
      <c r="D121" s="58">
        <v>7980</v>
      </c>
      <c r="E121" s="58">
        <v>280</v>
      </c>
      <c r="F121" s="58">
        <v>3.6363636363636358</v>
      </c>
      <c r="G121" s="58">
        <v>4369</v>
      </c>
      <c r="H121" s="58">
        <v>137.11000000000001</v>
      </c>
      <c r="I121" s="58">
        <v>0.15</v>
      </c>
      <c r="J121" s="58">
        <v>-0.4</v>
      </c>
      <c r="K121" s="58">
        <v>-72.727272727272734</v>
      </c>
      <c r="L121" s="58">
        <v>277725</v>
      </c>
      <c r="M121" s="58">
        <v>76875</v>
      </c>
      <c r="N121" s="58">
        <v>15136.95</v>
      </c>
      <c r="O121" s="58">
        <v>12000</v>
      </c>
      <c r="P121" s="58" t="s">
        <v>35</v>
      </c>
      <c r="Q121" s="58">
        <v>6</v>
      </c>
      <c r="R121" s="58">
        <v>0</v>
      </c>
      <c r="S121" s="58">
        <v>0</v>
      </c>
      <c r="T121" s="58">
        <v>2</v>
      </c>
      <c r="U121" s="58">
        <v>0</v>
      </c>
      <c r="V121" s="58">
        <v>3145</v>
      </c>
      <c r="W121" s="58">
        <v>265</v>
      </c>
      <c r="X121" s="58">
        <v>9.2013888888888893</v>
      </c>
      <c r="Y121" s="58">
        <v>9450</v>
      </c>
      <c r="Z121" s="58">
        <v>12225</v>
      </c>
      <c r="AA121" s="58">
        <v>15136.95</v>
      </c>
      <c r="AD121" s="18" t="str">
        <f t="array" ref="AD121">IFERROR(INDEX($A$1:$A$2000, MATCH(0, IF($AD$1*1=$C$1:$C$2090*1, COUNTIF($AD$1:$AD120, $A$1:$A$2000), ""), 0)),"")</f>
        <v/>
      </c>
      <c r="AE121" s="57" t="str">
        <f t="shared" si="15"/>
        <v/>
      </c>
      <c r="AF121" s="18" t="str">
        <f t="shared" si="16"/>
        <v/>
      </c>
      <c r="AG121" s="18" t="str">
        <f t="shared" si="17"/>
        <v/>
      </c>
      <c r="AH121" s="18" t="str">
        <f t="shared" si="18"/>
        <v/>
      </c>
      <c r="AI121" s="18" t="str">
        <f t="shared" si="19"/>
        <v/>
      </c>
      <c r="AJ121" s="18" t="str">
        <f t="shared" si="20"/>
        <v/>
      </c>
      <c r="AK121" s="18" t="str">
        <f t="shared" si="21"/>
        <v/>
      </c>
      <c r="AL121" s="18" t="str">
        <f t="shared" si="22"/>
        <v/>
      </c>
      <c r="AM121" s="18" t="str">
        <f t="shared" si="23"/>
        <v/>
      </c>
    </row>
    <row r="122" spans="1:39" x14ac:dyDescent="0.35">
      <c r="A122" s="56" t="s">
        <v>190</v>
      </c>
      <c r="B122" s="58">
        <v>12000</v>
      </c>
      <c r="C122" s="58" t="s">
        <v>34</v>
      </c>
      <c r="D122" s="58">
        <v>840</v>
      </c>
      <c r="E122" s="58">
        <v>541</v>
      </c>
      <c r="F122" s="58">
        <v>180.93645484949832</v>
      </c>
      <c r="G122" s="58">
        <v>1212</v>
      </c>
      <c r="H122" s="58">
        <v>63.56</v>
      </c>
      <c r="I122" s="58">
        <v>1.35</v>
      </c>
      <c r="J122" s="58">
        <v>-0.79999999999999982</v>
      </c>
      <c r="K122" s="58">
        <v>-37.20930232558139</v>
      </c>
      <c r="L122" s="58">
        <v>203025</v>
      </c>
      <c r="M122" s="58">
        <v>38550</v>
      </c>
      <c r="N122" s="58">
        <v>15136.95</v>
      </c>
      <c r="O122" s="58">
        <v>12000</v>
      </c>
      <c r="P122" s="58" t="s">
        <v>34</v>
      </c>
      <c r="Q122" s="58">
        <v>0</v>
      </c>
      <c r="R122" s="58">
        <v>0</v>
      </c>
      <c r="S122" s="58">
        <v>0</v>
      </c>
      <c r="T122" s="58">
        <v>2</v>
      </c>
      <c r="U122" s="58">
        <v>0</v>
      </c>
      <c r="V122" s="58">
        <v>3135</v>
      </c>
      <c r="W122" s="58">
        <v>1596.55</v>
      </c>
      <c r="X122" s="58">
        <v>103.77652832396242</v>
      </c>
      <c r="Y122" s="58">
        <v>5250</v>
      </c>
      <c r="Z122" s="58">
        <v>5175</v>
      </c>
      <c r="AA122" s="58">
        <v>15136.95</v>
      </c>
      <c r="AD122" s="18" t="str">
        <f t="array" ref="AD122">IFERROR(INDEX($A$1:$A$2000, MATCH(0, IF($AD$1*1=$C$1:$C$2090*1, COUNTIF($AD$1:$AD121, $A$1:$A$2000), ""), 0)),"")</f>
        <v/>
      </c>
      <c r="AE122" s="57" t="str">
        <f t="shared" si="15"/>
        <v/>
      </c>
      <c r="AF122" s="18" t="str">
        <f t="shared" si="16"/>
        <v/>
      </c>
      <c r="AG122" s="18" t="str">
        <f t="shared" si="17"/>
        <v/>
      </c>
      <c r="AH122" s="18" t="str">
        <f t="shared" si="18"/>
        <v/>
      </c>
      <c r="AI122" s="18" t="str">
        <f t="shared" si="19"/>
        <v/>
      </c>
      <c r="AJ122" s="18" t="str">
        <f t="shared" si="20"/>
        <v/>
      </c>
      <c r="AK122" s="18" t="str">
        <f t="shared" si="21"/>
        <v/>
      </c>
      <c r="AL122" s="18" t="str">
        <f t="shared" si="22"/>
        <v/>
      </c>
      <c r="AM122" s="18" t="str">
        <f t="shared" si="23"/>
        <v/>
      </c>
    </row>
    <row r="123" spans="1:39" x14ac:dyDescent="0.35">
      <c r="A123" s="56" t="s">
        <v>191</v>
      </c>
      <c r="B123" s="58">
        <v>12000</v>
      </c>
      <c r="C123" s="58" t="s">
        <v>33</v>
      </c>
      <c r="D123" s="58">
        <v>25870</v>
      </c>
      <c r="E123" s="58">
        <v>-76</v>
      </c>
      <c r="F123" s="58">
        <v>-0.29291605642488244</v>
      </c>
      <c r="G123" s="58">
        <v>1921</v>
      </c>
      <c r="H123" s="58">
        <v>52.71</v>
      </c>
      <c r="I123" s="58">
        <v>5.25</v>
      </c>
      <c r="J123" s="58">
        <v>-1.25</v>
      </c>
      <c r="K123" s="58">
        <v>-19.230769230769234</v>
      </c>
      <c r="L123" s="58">
        <v>38850</v>
      </c>
      <c r="M123" s="58">
        <v>76650</v>
      </c>
      <c r="N123" s="58">
        <v>15136.95</v>
      </c>
      <c r="O123" s="58">
        <v>12000</v>
      </c>
      <c r="P123" s="58" t="s">
        <v>33</v>
      </c>
      <c r="Q123" s="58">
        <v>4933</v>
      </c>
      <c r="R123" s="58">
        <v>-12</v>
      </c>
      <c r="S123" s="58">
        <v>-0.24266936299292213</v>
      </c>
      <c r="T123" s="58">
        <v>19</v>
      </c>
      <c r="U123" s="58">
        <v>0</v>
      </c>
      <c r="V123" s="58">
        <v>3150</v>
      </c>
      <c r="W123" s="58">
        <v>-5.25</v>
      </c>
      <c r="X123" s="58">
        <v>-0.16638935108153077</v>
      </c>
      <c r="Y123" s="58">
        <v>14250</v>
      </c>
      <c r="Z123" s="58">
        <v>13275</v>
      </c>
      <c r="AA123" s="58">
        <v>15136.95</v>
      </c>
      <c r="AD123" s="18" t="str">
        <f t="array" ref="AD123">IFERROR(INDEX($A$1:$A$2000, MATCH(0, IF($AD$1*1=$C$1:$C$2090*1, COUNTIF($AD$1:$AD122, $A$1:$A$2000), ""), 0)),"")</f>
        <v/>
      </c>
      <c r="AE123" s="57" t="str">
        <f t="shared" si="15"/>
        <v/>
      </c>
      <c r="AF123" s="18" t="str">
        <f t="shared" si="16"/>
        <v/>
      </c>
      <c r="AG123" s="18" t="str">
        <f t="shared" si="17"/>
        <v/>
      </c>
      <c r="AH123" s="18" t="str">
        <f t="shared" si="18"/>
        <v/>
      </c>
      <c r="AI123" s="18" t="str">
        <f t="shared" si="19"/>
        <v/>
      </c>
      <c r="AJ123" s="18" t="str">
        <f t="shared" si="20"/>
        <v/>
      </c>
      <c r="AK123" s="18" t="str">
        <f t="shared" si="21"/>
        <v/>
      </c>
      <c r="AL123" s="18" t="str">
        <f t="shared" si="22"/>
        <v/>
      </c>
      <c r="AM123" s="18" t="str">
        <f t="shared" si="23"/>
        <v/>
      </c>
    </row>
    <row r="124" spans="1:39" x14ac:dyDescent="0.35">
      <c r="A124" s="56" t="s">
        <v>192</v>
      </c>
      <c r="B124" s="58">
        <v>12050</v>
      </c>
      <c r="C124" s="58" t="s">
        <v>34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10950</v>
      </c>
      <c r="M124" s="58">
        <v>0</v>
      </c>
      <c r="N124" s="58">
        <v>15136.95</v>
      </c>
      <c r="O124" s="58">
        <v>12050</v>
      </c>
      <c r="P124" s="58" t="s">
        <v>34</v>
      </c>
      <c r="Q124" s="58">
        <v>0</v>
      </c>
      <c r="R124" s="58">
        <v>0</v>
      </c>
      <c r="S124" s="58">
        <v>0</v>
      </c>
      <c r="T124" s="58">
        <v>0</v>
      </c>
      <c r="U124" s="58">
        <v>0</v>
      </c>
      <c r="V124" s="58">
        <v>0</v>
      </c>
      <c r="W124" s="58">
        <v>0</v>
      </c>
      <c r="X124" s="58">
        <v>0</v>
      </c>
      <c r="Y124" s="58">
        <v>7725</v>
      </c>
      <c r="Z124" s="58">
        <v>7725</v>
      </c>
      <c r="AA124" s="58">
        <v>15136.95</v>
      </c>
      <c r="AD124" s="18" t="str">
        <f t="array" ref="AD124">IFERROR(INDEX($A$1:$A$2000, MATCH(0, IF($AD$1*1=$C$1:$C$2090*1, COUNTIF($AD$1:$AD123, $A$1:$A$2000), ""), 0)),"")</f>
        <v/>
      </c>
      <c r="AE124" s="57" t="str">
        <f t="shared" si="15"/>
        <v/>
      </c>
      <c r="AF124" s="18" t="str">
        <f t="shared" si="16"/>
        <v/>
      </c>
      <c r="AG124" s="18" t="str">
        <f t="shared" si="17"/>
        <v/>
      </c>
      <c r="AH124" s="18" t="str">
        <f t="shared" si="18"/>
        <v/>
      </c>
      <c r="AI124" s="18" t="str">
        <f t="shared" si="19"/>
        <v/>
      </c>
      <c r="AJ124" s="18" t="str">
        <f t="shared" si="20"/>
        <v/>
      </c>
      <c r="AK124" s="18" t="str">
        <f t="shared" si="21"/>
        <v/>
      </c>
      <c r="AL124" s="18" t="str">
        <f t="shared" si="22"/>
        <v/>
      </c>
      <c r="AM124" s="18" t="str">
        <f t="shared" si="23"/>
        <v/>
      </c>
    </row>
    <row r="125" spans="1:39" x14ac:dyDescent="0.35">
      <c r="A125" s="56" t="s">
        <v>193</v>
      </c>
      <c r="B125" s="58">
        <v>12050</v>
      </c>
      <c r="C125" s="58" t="s">
        <v>35</v>
      </c>
      <c r="D125" s="58">
        <v>38</v>
      </c>
      <c r="E125" s="58">
        <v>-45</v>
      </c>
      <c r="F125" s="58">
        <v>-54.216867469879517</v>
      </c>
      <c r="G125" s="58">
        <v>97</v>
      </c>
      <c r="H125" s="58">
        <v>140.34</v>
      </c>
      <c r="I125" s="58">
        <v>0.25</v>
      </c>
      <c r="J125" s="58">
        <v>-0.2</v>
      </c>
      <c r="K125" s="58">
        <v>-44.44444444444445</v>
      </c>
      <c r="L125" s="58">
        <v>14400</v>
      </c>
      <c r="M125" s="58">
        <v>33225</v>
      </c>
      <c r="N125" s="58">
        <v>15136.95</v>
      </c>
      <c r="O125" s="58">
        <v>12050</v>
      </c>
      <c r="P125" s="58" t="s">
        <v>35</v>
      </c>
      <c r="Q125" s="58">
        <v>0</v>
      </c>
      <c r="R125" s="58">
        <v>0</v>
      </c>
      <c r="S125" s="58">
        <v>0</v>
      </c>
      <c r="T125" s="58">
        <v>0</v>
      </c>
      <c r="U125" s="58">
        <v>0</v>
      </c>
      <c r="V125" s="58">
        <v>0</v>
      </c>
      <c r="W125" s="58">
        <v>0</v>
      </c>
      <c r="X125" s="58">
        <v>0</v>
      </c>
      <c r="Y125" s="58">
        <v>6375</v>
      </c>
      <c r="Z125" s="58">
        <v>9300</v>
      </c>
      <c r="AA125" s="58">
        <v>15136.95</v>
      </c>
      <c r="AD125" s="18" t="str">
        <f t="array" ref="AD125">IFERROR(INDEX($A$1:$A$2000, MATCH(0, IF($AD$1*1=$C$1:$C$2090*1, COUNTIF($AD$1:$AD124, $A$1:$A$2000), ""), 0)),"")</f>
        <v/>
      </c>
      <c r="AE125" s="57" t="str">
        <f t="shared" si="15"/>
        <v/>
      </c>
      <c r="AF125" s="18" t="str">
        <f t="shared" si="16"/>
        <v/>
      </c>
      <c r="AG125" s="18" t="str">
        <f t="shared" si="17"/>
        <v/>
      </c>
      <c r="AH125" s="18" t="str">
        <f t="shared" si="18"/>
        <v/>
      </c>
      <c r="AI125" s="18" t="str">
        <f t="shared" si="19"/>
        <v/>
      </c>
      <c r="AJ125" s="18" t="str">
        <f t="shared" si="20"/>
        <v/>
      </c>
      <c r="AK125" s="18" t="str">
        <f t="shared" si="21"/>
        <v/>
      </c>
      <c r="AL125" s="18" t="str">
        <f t="shared" si="22"/>
        <v/>
      </c>
      <c r="AM125" s="18" t="str">
        <f t="shared" si="23"/>
        <v/>
      </c>
    </row>
    <row r="126" spans="1:39" x14ac:dyDescent="0.35">
      <c r="A126" s="56" t="s">
        <v>194</v>
      </c>
      <c r="B126" s="58">
        <v>12050</v>
      </c>
      <c r="C126" s="58" t="s">
        <v>33</v>
      </c>
      <c r="D126" s="58">
        <v>178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6225</v>
      </c>
      <c r="M126" s="58">
        <v>0</v>
      </c>
      <c r="N126" s="58">
        <v>15136.95</v>
      </c>
      <c r="O126" s="58">
        <v>12050</v>
      </c>
      <c r="P126" s="58" t="s">
        <v>33</v>
      </c>
      <c r="Q126" s="58">
        <v>2</v>
      </c>
      <c r="R126" s="58">
        <v>0</v>
      </c>
      <c r="S126" s="58">
        <v>0</v>
      </c>
      <c r="T126" s="58">
        <v>0</v>
      </c>
      <c r="U126" s="58">
        <v>0</v>
      </c>
      <c r="V126" s="58">
        <v>0</v>
      </c>
      <c r="W126" s="58">
        <v>0</v>
      </c>
      <c r="X126" s="58">
        <v>0</v>
      </c>
      <c r="Y126" s="58">
        <v>6975</v>
      </c>
      <c r="Z126" s="58">
        <v>6375</v>
      </c>
      <c r="AA126" s="58">
        <v>15136.95</v>
      </c>
      <c r="AD126" s="18" t="str">
        <f t="array" ref="AD126">IFERROR(INDEX($A$1:$A$2000, MATCH(0, IF($AD$1*1=$C$1:$C$2090*1, COUNTIF($AD$1:$AD125, $A$1:$A$2000), ""), 0)),"")</f>
        <v/>
      </c>
      <c r="AE126" s="57" t="str">
        <f t="shared" si="15"/>
        <v/>
      </c>
      <c r="AF126" s="18" t="str">
        <f t="shared" si="16"/>
        <v/>
      </c>
      <c r="AG126" s="18" t="str">
        <f t="shared" si="17"/>
        <v/>
      </c>
      <c r="AH126" s="18" t="str">
        <f t="shared" si="18"/>
        <v/>
      </c>
      <c r="AI126" s="18" t="str">
        <f t="shared" si="19"/>
        <v/>
      </c>
      <c r="AJ126" s="18" t="str">
        <f t="shared" si="20"/>
        <v/>
      </c>
      <c r="AK126" s="18" t="str">
        <f t="shared" si="21"/>
        <v/>
      </c>
      <c r="AL126" s="18" t="str">
        <f t="shared" si="22"/>
        <v/>
      </c>
      <c r="AM126" s="18" t="str">
        <f t="shared" si="23"/>
        <v/>
      </c>
    </row>
    <row r="127" spans="1:39" x14ac:dyDescent="0.35">
      <c r="A127" s="56" t="s">
        <v>195</v>
      </c>
      <c r="B127" s="58">
        <v>0</v>
      </c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58">
        <v>0</v>
      </c>
      <c r="I127" s="58">
        <v>0</v>
      </c>
      <c r="J127" s="58">
        <v>0</v>
      </c>
      <c r="K127" s="58">
        <v>0</v>
      </c>
      <c r="L127" s="58">
        <v>0</v>
      </c>
      <c r="M127" s="58">
        <v>0</v>
      </c>
      <c r="N127" s="58">
        <v>0</v>
      </c>
      <c r="O127" s="58">
        <v>12100</v>
      </c>
      <c r="P127" s="58" t="s">
        <v>27</v>
      </c>
      <c r="Q127" s="58">
        <v>3</v>
      </c>
      <c r="R127" s="58">
        <v>0</v>
      </c>
      <c r="S127" s="58">
        <v>0</v>
      </c>
      <c r="T127" s="58">
        <v>0</v>
      </c>
      <c r="U127" s="58">
        <v>0</v>
      </c>
      <c r="V127" s="58">
        <v>0</v>
      </c>
      <c r="W127" s="58">
        <v>0</v>
      </c>
      <c r="X127" s="58">
        <v>0</v>
      </c>
      <c r="Y127" s="58">
        <v>2250</v>
      </c>
      <c r="Z127" s="58">
        <v>0</v>
      </c>
      <c r="AA127" s="58">
        <v>15136.95</v>
      </c>
      <c r="AD127" s="18" t="str">
        <f t="array" ref="AD127">IFERROR(INDEX($A$1:$A$2000, MATCH(0, IF($AD$1*1=$C$1:$C$2090*1, COUNTIF($AD$1:$AD126, $A$1:$A$2000), ""), 0)),"")</f>
        <v/>
      </c>
      <c r="AE127" s="57" t="str">
        <f t="shared" si="15"/>
        <v/>
      </c>
      <c r="AF127" s="18" t="str">
        <f t="shared" si="16"/>
        <v/>
      </c>
      <c r="AG127" s="18" t="str">
        <f t="shared" si="17"/>
        <v/>
      </c>
      <c r="AH127" s="18" t="str">
        <f t="shared" si="18"/>
        <v/>
      </c>
      <c r="AI127" s="18" t="str">
        <f t="shared" si="19"/>
        <v/>
      </c>
      <c r="AJ127" s="18" t="str">
        <f t="shared" si="20"/>
        <v/>
      </c>
      <c r="AK127" s="18" t="str">
        <f t="shared" si="21"/>
        <v/>
      </c>
      <c r="AL127" s="18" t="str">
        <f t="shared" si="22"/>
        <v/>
      </c>
      <c r="AM127" s="18" t="str">
        <f t="shared" si="23"/>
        <v/>
      </c>
    </row>
    <row r="128" spans="1:39" x14ac:dyDescent="0.35">
      <c r="A128" s="56" t="s">
        <v>196</v>
      </c>
      <c r="B128" s="58">
        <v>12100</v>
      </c>
      <c r="C128" s="58" t="s">
        <v>32</v>
      </c>
      <c r="D128" s="58">
        <v>532</v>
      </c>
      <c r="E128" s="58">
        <v>0</v>
      </c>
      <c r="F128" s="58">
        <v>0</v>
      </c>
      <c r="G128" s="58">
        <v>0</v>
      </c>
      <c r="H128" s="58">
        <v>0</v>
      </c>
      <c r="I128" s="58">
        <v>0</v>
      </c>
      <c r="J128" s="58">
        <v>0</v>
      </c>
      <c r="K128" s="58">
        <v>0</v>
      </c>
      <c r="L128" s="58">
        <v>0</v>
      </c>
      <c r="M128" s="58">
        <v>75</v>
      </c>
      <c r="N128" s="58">
        <v>15136.95</v>
      </c>
      <c r="O128" s="58">
        <v>0</v>
      </c>
      <c r="P128" s="58">
        <v>0</v>
      </c>
      <c r="Q128" s="58">
        <v>0</v>
      </c>
      <c r="R128" s="58">
        <v>0</v>
      </c>
      <c r="S128" s="58">
        <v>0</v>
      </c>
      <c r="T128" s="58">
        <v>0</v>
      </c>
      <c r="U128" s="58">
        <v>0</v>
      </c>
      <c r="V128" s="58">
        <v>0</v>
      </c>
      <c r="W128" s="58">
        <v>0</v>
      </c>
      <c r="X128" s="58">
        <v>0</v>
      </c>
      <c r="Y128" s="58">
        <v>0</v>
      </c>
      <c r="Z128" s="58">
        <v>0</v>
      </c>
      <c r="AA128" s="58">
        <v>0</v>
      </c>
      <c r="AD128" s="18" t="str">
        <f t="array" ref="AD128">IFERROR(INDEX($A$1:$A$2000, MATCH(0, IF($AD$1*1=$C$1:$C$2090*1, COUNTIF($AD$1:$AD127, $A$1:$A$2000), ""), 0)),"")</f>
        <v/>
      </c>
      <c r="AE128" s="57" t="str">
        <f t="shared" si="15"/>
        <v/>
      </c>
      <c r="AF128" s="18" t="str">
        <f t="shared" si="16"/>
        <v/>
      </c>
      <c r="AG128" s="18" t="str">
        <f t="shared" si="17"/>
        <v/>
      </c>
      <c r="AH128" s="18" t="str">
        <f t="shared" si="18"/>
        <v/>
      </c>
      <c r="AI128" s="18" t="str">
        <f t="shared" si="19"/>
        <v/>
      </c>
      <c r="AJ128" s="18" t="str">
        <f t="shared" si="20"/>
        <v/>
      </c>
      <c r="AK128" s="18" t="str">
        <f t="shared" si="21"/>
        <v/>
      </c>
      <c r="AL128" s="18" t="str">
        <f t="shared" si="22"/>
        <v/>
      </c>
      <c r="AM128" s="18" t="str">
        <f t="shared" si="23"/>
        <v/>
      </c>
    </row>
    <row r="129" spans="1:39" x14ac:dyDescent="0.35">
      <c r="A129" s="56" t="s">
        <v>197</v>
      </c>
      <c r="B129" s="58">
        <v>12100</v>
      </c>
      <c r="C129" s="58" t="s">
        <v>35</v>
      </c>
      <c r="D129" s="58">
        <v>786</v>
      </c>
      <c r="E129" s="58">
        <v>90</v>
      </c>
      <c r="F129" s="58">
        <v>12.931034482758619</v>
      </c>
      <c r="G129" s="58">
        <v>1934</v>
      </c>
      <c r="H129" s="58">
        <v>135.54</v>
      </c>
      <c r="I129" s="58">
        <v>0.2</v>
      </c>
      <c r="J129" s="58">
        <v>-0.35000000000000003</v>
      </c>
      <c r="K129" s="58">
        <v>-63.636363636363633</v>
      </c>
      <c r="L129" s="58">
        <v>68925</v>
      </c>
      <c r="M129" s="58">
        <v>54150</v>
      </c>
      <c r="N129" s="58">
        <v>15136.95</v>
      </c>
      <c r="O129" s="58">
        <v>12100</v>
      </c>
      <c r="P129" s="58" t="s">
        <v>35</v>
      </c>
      <c r="Q129" s="58">
        <v>0</v>
      </c>
      <c r="R129" s="58">
        <v>0</v>
      </c>
      <c r="S129" s="58">
        <v>0</v>
      </c>
      <c r="T129" s="58">
        <v>0</v>
      </c>
      <c r="U129" s="58">
        <v>0</v>
      </c>
      <c r="V129" s="58">
        <v>0</v>
      </c>
      <c r="W129" s="58">
        <v>0</v>
      </c>
      <c r="X129" s="58">
        <v>0</v>
      </c>
      <c r="Y129" s="58">
        <v>6375</v>
      </c>
      <c r="Z129" s="58">
        <v>9300</v>
      </c>
      <c r="AA129" s="58">
        <v>15136.95</v>
      </c>
      <c r="AD129" s="18" t="str">
        <f t="array" ref="AD129">IFERROR(INDEX($A$1:$A$2000, MATCH(0, IF($AD$1*1=$C$1:$C$2090*1, COUNTIF($AD$1:$AD128, $A$1:$A$2000), ""), 0)),"")</f>
        <v/>
      </c>
      <c r="AE129" s="57" t="str">
        <f t="shared" si="15"/>
        <v/>
      </c>
      <c r="AF129" s="18" t="str">
        <f t="shared" si="16"/>
        <v/>
      </c>
      <c r="AG129" s="18" t="str">
        <f t="shared" si="17"/>
        <v/>
      </c>
      <c r="AH129" s="18" t="str">
        <f t="shared" si="18"/>
        <v/>
      </c>
      <c r="AI129" s="18" t="str">
        <f t="shared" si="19"/>
        <v/>
      </c>
      <c r="AJ129" s="18" t="str">
        <f t="shared" si="20"/>
        <v/>
      </c>
      <c r="AK129" s="18" t="str">
        <f t="shared" si="21"/>
        <v/>
      </c>
      <c r="AL129" s="18" t="str">
        <f t="shared" si="22"/>
        <v/>
      </c>
      <c r="AM129" s="18" t="str">
        <f t="shared" si="23"/>
        <v/>
      </c>
    </row>
    <row r="130" spans="1:39" x14ac:dyDescent="0.35">
      <c r="A130" s="56" t="s">
        <v>198</v>
      </c>
      <c r="B130" s="58">
        <v>12100</v>
      </c>
      <c r="C130" s="58" t="s">
        <v>33</v>
      </c>
      <c r="D130" s="58">
        <v>308</v>
      </c>
      <c r="E130" s="58">
        <v>1</v>
      </c>
      <c r="F130" s="58">
        <v>0.32573289902280128</v>
      </c>
      <c r="G130" s="58">
        <v>1</v>
      </c>
      <c r="H130" s="58">
        <v>53.1</v>
      </c>
      <c r="I130" s="58">
        <v>6.95</v>
      </c>
      <c r="J130" s="58">
        <v>0</v>
      </c>
      <c r="K130" s="58">
        <v>0</v>
      </c>
      <c r="L130" s="58">
        <v>6375</v>
      </c>
      <c r="M130" s="58">
        <v>17625</v>
      </c>
      <c r="N130" s="58">
        <v>15136.95</v>
      </c>
      <c r="O130" s="58">
        <v>12100</v>
      </c>
      <c r="P130" s="58" t="s">
        <v>33</v>
      </c>
      <c r="Q130" s="58">
        <v>70</v>
      </c>
      <c r="R130" s="58">
        <v>0</v>
      </c>
      <c r="S130" s="58">
        <v>0</v>
      </c>
      <c r="T130" s="58">
        <v>0</v>
      </c>
      <c r="U130" s="58">
        <v>0</v>
      </c>
      <c r="V130" s="58">
        <v>0</v>
      </c>
      <c r="W130" s="58">
        <v>0</v>
      </c>
      <c r="X130" s="58">
        <v>0</v>
      </c>
      <c r="Y130" s="58">
        <v>11475</v>
      </c>
      <c r="Z130" s="58">
        <v>11400</v>
      </c>
      <c r="AA130" s="58">
        <v>15136.95</v>
      </c>
      <c r="AD130" s="18" t="str">
        <f t="array" ref="AD130">IFERROR(INDEX($A$1:$A$2000, MATCH(0, IF($AD$1*1=$C$1:$C$2090*1, COUNTIF($AD$1:$AD129, $A$1:$A$2000), ""), 0)),"")</f>
        <v/>
      </c>
      <c r="AE130" s="57" t="str">
        <f t="shared" si="15"/>
        <v/>
      </c>
      <c r="AF130" s="18" t="str">
        <f t="shared" si="16"/>
        <v/>
      </c>
      <c r="AG130" s="18" t="str">
        <f t="shared" si="17"/>
        <v/>
      </c>
      <c r="AH130" s="18" t="str">
        <f t="shared" si="18"/>
        <v/>
      </c>
      <c r="AI130" s="18" t="str">
        <f t="shared" si="19"/>
        <v/>
      </c>
      <c r="AJ130" s="18" t="str">
        <f t="shared" si="20"/>
        <v/>
      </c>
      <c r="AK130" s="18" t="str">
        <f t="shared" si="21"/>
        <v/>
      </c>
      <c r="AL130" s="18" t="str">
        <f t="shared" si="22"/>
        <v/>
      </c>
      <c r="AM130" s="18" t="str">
        <f t="shared" si="23"/>
        <v/>
      </c>
    </row>
    <row r="131" spans="1:39" x14ac:dyDescent="0.35">
      <c r="A131" s="56" t="s">
        <v>199</v>
      </c>
      <c r="B131" s="58">
        <v>12100</v>
      </c>
      <c r="C131" s="58" t="s">
        <v>34</v>
      </c>
      <c r="D131" s="58">
        <v>0</v>
      </c>
      <c r="E131" s="58">
        <v>0</v>
      </c>
      <c r="F131" s="58">
        <v>0</v>
      </c>
      <c r="G131" s="58">
        <v>0</v>
      </c>
      <c r="H131" s="58">
        <v>0</v>
      </c>
      <c r="I131" s="58">
        <v>0</v>
      </c>
      <c r="J131" s="58">
        <v>0</v>
      </c>
      <c r="K131" s="58">
        <v>0</v>
      </c>
      <c r="L131" s="58">
        <v>25125</v>
      </c>
      <c r="M131" s="58">
        <v>0</v>
      </c>
      <c r="N131" s="58">
        <v>15136.95</v>
      </c>
      <c r="O131" s="58">
        <v>12100</v>
      </c>
      <c r="P131" s="58" t="s">
        <v>34</v>
      </c>
      <c r="Q131" s="58">
        <v>0</v>
      </c>
      <c r="R131" s="58">
        <v>0</v>
      </c>
      <c r="S131" s="58">
        <v>0</v>
      </c>
      <c r="T131" s="58">
        <v>0</v>
      </c>
      <c r="U131" s="58">
        <v>0</v>
      </c>
      <c r="V131" s="58">
        <v>0</v>
      </c>
      <c r="W131" s="58">
        <v>0</v>
      </c>
      <c r="X131" s="58">
        <v>0</v>
      </c>
      <c r="Y131" s="58">
        <v>7725</v>
      </c>
      <c r="Z131" s="58">
        <v>7725</v>
      </c>
      <c r="AA131" s="58">
        <v>15136.95</v>
      </c>
      <c r="AD131" s="18" t="str">
        <f t="array" ref="AD131">IFERROR(INDEX($A$1:$A$2000, MATCH(0, IF($AD$1*1=$C$1:$C$2090*1, COUNTIF($AD$1:$AD130, $A$1:$A$2000), ""), 0)),"")</f>
        <v/>
      </c>
      <c r="AE131" s="57" t="str">
        <f t="shared" ref="AE131:AE194" si="24">IFERROR(VLOOKUP(AD131,$A$2:$AA$2000,2,0),"")</f>
        <v/>
      </c>
      <c r="AF131" s="18" t="str">
        <f t="shared" ref="AF131:AF194" si="25">IFERROR(VLOOKUP(AD131,$A$2:$AA$2000,22,0),"")</f>
        <v/>
      </c>
      <c r="AG131" s="18" t="str">
        <f t="shared" ref="AG131:AG194" si="26">IFERROR(VLOOKUP(AD131,$A$2:$AA$2000,18,0),"")</f>
        <v/>
      </c>
      <c r="AH131" s="18" t="str">
        <f t="shared" ref="AH131:AH194" si="27">IFERROR(VLOOKUP(AD131,$A$2:$AA$2000,17,0),"")</f>
        <v/>
      </c>
      <c r="AI131" s="18" t="str">
        <f t="shared" ref="AI131:AI194" si="28">IFERROR(VLOOKUP(AD131,$A$2:$AA$2000,20,0),"")</f>
        <v/>
      </c>
      <c r="AJ131" s="18" t="str">
        <f t="shared" ref="AJ131:AJ194" si="29">IFERROR(VLOOKUP(AD131,$A$2:$AA$2000,9,0),"")</f>
        <v/>
      </c>
      <c r="AK131" s="18" t="str">
        <f t="shared" ref="AK131:AK194" si="30">IFERROR(VLOOKUP(AD131,$A$2:$AA$2000,5,0),"")</f>
        <v/>
      </c>
      <c r="AL131" s="18" t="str">
        <f t="shared" ref="AL131:AL194" si="31">IFERROR(VLOOKUP(AD131,$A$2:$AA$2000,4,0),"")</f>
        <v/>
      </c>
      <c r="AM131" s="18" t="str">
        <f t="shared" ref="AM131:AM194" si="32">IFERROR(VLOOKUP(AD131,$A$2:$AA$2000,7,0),"")</f>
        <v/>
      </c>
    </row>
    <row r="132" spans="1:39" x14ac:dyDescent="0.35">
      <c r="A132" s="56" t="s">
        <v>200</v>
      </c>
      <c r="B132" s="58">
        <v>12150</v>
      </c>
      <c r="C132" s="58" t="s">
        <v>36</v>
      </c>
      <c r="D132" s="58">
        <v>0</v>
      </c>
      <c r="E132" s="58">
        <v>0</v>
      </c>
      <c r="F132" s="58">
        <v>0</v>
      </c>
      <c r="G132" s="58">
        <v>0</v>
      </c>
      <c r="H132" s="58">
        <v>0</v>
      </c>
      <c r="I132" s="58">
        <v>0</v>
      </c>
      <c r="J132" s="58">
        <v>0</v>
      </c>
      <c r="K132" s="58">
        <v>0</v>
      </c>
      <c r="L132" s="58">
        <v>1500</v>
      </c>
      <c r="M132" s="58">
        <v>0</v>
      </c>
      <c r="N132" s="58">
        <v>15136.95</v>
      </c>
      <c r="O132" s="58">
        <v>12150</v>
      </c>
      <c r="P132" s="58" t="s">
        <v>36</v>
      </c>
      <c r="Q132" s="58">
        <v>0</v>
      </c>
      <c r="R132" s="58">
        <v>0</v>
      </c>
      <c r="S132" s="58">
        <v>0</v>
      </c>
      <c r="T132" s="58">
        <v>0</v>
      </c>
      <c r="U132" s="58">
        <v>0</v>
      </c>
      <c r="V132" s="58">
        <v>0</v>
      </c>
      <c r="W132" s="58">
        <v>0</v>
      </c>
      <c r="X132" s="58">
        <v>0</v>
      </c>
      <c r="Y132" s="58">
        <v>4875</v>
      </c>
      <c r="Z132" s="58">
        <v>4875</v>
      </c>
      <c r="AA132" s="58">
        <v>15136.95</v>
      </c>
      <c r="AD132" s="18" t="str">
        <f t="array" ref="AD132">IFERROR(INDEX($A$1:$A$2000, MATCH(0, IF($AD$1*1=$C$1:$C$2090*1, COUNTIF($AD$1:$AD131, $A$1:$A$2000), ""), 0)),"")</f>
        <v/>
      </c>
      <c r="AE132" s="57" t="str">
        <f t="shared" si="24"/>
        <v/>
      </c>
      <c r="AF132" s="18" t="str">
        <f t="shared" si="25"/>
        <v/>
      </c>
      <c r="AG132" s="18" t="str">
        <f t="shared" si="26"/>
        <v/>
      </c>
      <c r="AH132" s="18" t="str">
        <f t="shared" si="27"/>
        <v/>
      </c>
      <c r="AI132" s="18" t="str">
        <f t="shared" si="28"/>
        <v/>
      </c>
      <c r="AJ132" s="18" t="str">
        <f t="shared" si="29"/>
        <v/>
      </c>
      <c r="AK132" s="18" t="str">
        <f t="shared" si="30"/>
        <v/>
      </c>
      <c r="AL132" s="18" t="str">
        <f t="shared" si="31"/>
        <v/>
      </c>
      <c r="AM132" s="18" t="str">
        <f t="shared" si="32"/>
        <v/>
      </c>
    </row>
    <row r="133" spans="1:39" x14ac:dyDescent="0.35">
      <c r="A133" s="56" t="s">
        <v>201</v>
      </c>
      <c r="B133" s="58">
        <v>12150</v>
      </c>
      <c r="C133" s="58" t="s">
        <v>38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300</v>
      </c>
      <c r="M133" s="58">
        <v>0</v>
      </c>
      <c r="N133" s="58">
        <v>15136.95</v>
      </c>
      <c r="O133" s="58">
        <v>12150</v>
      </c>
      <c r="P133" s="58" t="s">
        <v>38</v>
      </c>
      <c r="Q133" s="58">
        <v>0</v>
      </c>
      <c r="R133" s="58">
        <v>0</v>
      </c>
      <c r="S133" s="58">
        <v>0</v>
      </c>
      <c r="T133" s="58">
        <v>0</v>
      </c>
      <c r="U133" s="58">
        <v>0</v>
      </c>
      <c r="V133" s="58">
        <v>0</v>
      </c>
      <c r="W133" s="58">
        <v>0</v>
      </c>
      <c r="X133" s="58">
        <v>0</v>
      </c>
      <c r="Y133" s="58">
        <v>4875</v>
      </c>
      <c r="Z133" s="58">
        <v>4875</v>
      </c>
      <c r="AA133" s="58">
        <v>15136.95</v>
      </c>
      <c r="AD133" s="18" t="str">
        <f t="array" ref="AD133">IFERROR(INDEX($A$1:$A$2000, MATCH(0, IF($AD$1*1=$C$1:$C$2090*1, COUNTIF($AD$1:$AD132, $A$1:$A$2000), ""), 0)),"")</f>
        <v/>
      </c>
      <c r="AE133" s="57" t="str">
        <f t="shared" si="24"/>
        <v/>
      </c>
      <c r="AF133" s="18" t="str">
        <f t="shared" si="25"/>
        <v/>
      </c>
      <c r="AG133" s="18" t="str">
        <f t="shared" si="26"/>
        <v/>
      </c>
      <c r="AH133" s="18" t="str">
        <f t="shared" si="27"/>
        <v/>
      </c>
      <c r="AI133" s="18" t="str">
        <f t="shared" si="28"/>
        <v/>
      </c>
      <c r="AJ133" s="18" t="str">
        <f t="shared" si="29"/>
        <v/>
      </c>
      <c r="AK133" s="18" t="str">
        <f t="shared" si="30"/>
        <v/>
      </c>
      <c r="AL133" s="18" t="str">
        <f t="shared" si="31"/>
        <v/>
      </c>
      <c r="AM133" s="18" t="str">
        <f t="shared" si="32"/>
        <v/>
      </c>
    </row>
    <row r="134" spans="1:39" x14ac:dyDescent="0.35">
      <c r="A134" s="56" t="s">
        <v>202</v>
      </c>
      <c r="B134" s="58">
        <v>0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58">
        <v>12150</v>
      </c>
      <c r="P134" s="58" t="s">
        <v>26</v>
      </c>
      <c r="Q134" s="58">
        <v>0</v>
      </c>
      <c r="R134" s="58">
        <v>0</v>
      </c>
      <c r="S134" s="58">
        <v>0</v>
      </c>
      <c r="T134" s="58">
        <v>0</v>
      </c>
      <c r="U134" s="58">
        <v>0</v>
      </c>
      <c r="V134" s="58">
        <v>0</v>
      </c>
      <c r="W134" s="58">
        <v>0</v>
      </c>
      <c r="X134" s="58">
        <v>0</v>
      </c>
      <c r="Y134" s="58">
        <v>7725</v>
      </c>
      <c r="Z134" s="58">
        <v>7725</v>
      </c>
      <c r="AA134" s="58">
        <v>15136.95</v>
      </c>
      <c r="AD134" s="18" t="str">
        <f t="array" ref="AD134">IFERROR(INDEX($A$1:$A$2000, MATCH(0, IF($AD$1*1=$C$1:$C$2090*1, COUNTIF($AD$1:$AD133, $A$1:$A$2000), ""), 0)),"")</f>
        <v/>
      </c>
      <c r="AE134" s="57" t="str">
        <f t="shared" si="24"/>
        <v/>
      </c>
      <c r="AF134" s="18" t="str">
        <f t="shared" si="25"/>
        <v/>
      </c>
      <c r="AG134" s="18" t="str">
        <f t="shared" si="26"/>
        <v/>
      </c>
      <c r="AH134" s="18" t="str">
        <f t="shared" si="27"/>
        <v/>
      </c>
      <c r="AI134" s="18" t="str">
        <f t="shared" si="28"/>
        <v/>
      </c>
      <c r="AJ134" s="18" t="str">
        <f t="shared" si="29"/>
        <v/>
      </c>
      <c r="AK134" s="18" t="str">
        <f t="shared" si="30"/>
        <v/>
      </c>
      <c r="AL134" s="18" t="str">
        <f t="shared" si="31"/>
        <v/>
      </c>
      <c r="AM134" s="18" t="str">
        <f t="shared" si="32"/>
        <v/>
      </c>
    </row>
    <row r="135" spans="1:39" x14ac:dyDescent="0.35">
      <c r="A135" s="56" t="s">
        <v>203</v>
      </c>
      <c r="B135" s="58">
        <v>12150</v>
      </c>
      <c r="C135" s="58" t="s">
        <v>67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300</v>
      </c>
      <c r="M135" s="58">
        <v>0</v>
      </c>
      <c r="N135" s="58">
        <v>15136.95</v>
      </c>
      <c r="O135" s="58">
        <v>12150</v>
      </c>
      <c r="P135" s="58" t="s">
        <v>67</v>
      </c>
      <c r="Q135" s="58">
        <v>0</v>
      </c>
      <c r="R135" s="58">
        <v>0</v>
      </c>
      <c r="S135" s="58">
        <v>0</v>
      </c>
      <c r="T135" s="58">
        <v>0</v>
      </c>
      <c r="U135" s="58">
        <v>0</v>
      </c>
      <c r="V135" s="58">
        <v>0</v>
      </c>
      <c r="W135" s="58">
        <v>0</v>
      </c>
      <c r="X135" s="58">
        <v>0</v>
      </c>
      <c r="Y135" s="58">
        <v>4875</v>
      </c>
      <c r="Z135" s="58">
        <v>4875</v>
      </c>
      <c r="AA135" s="58">
        <v>15136.95</v>
      </c>
      <c r="AD135" s="18" t="str">
        <f t="array" ref="AD135">IFERROR(INDEX($A$1:$A$2000, MATCH(0, IF($AD$1*1=$C$1:$C$2090*1, COUNTIF($AD$1:$AD134, $A$1:$A$2000), ""), 0)),"")</f>
        <v/>
      </c>
      <c r="AE135" s="57" t="str">
        <f t="shared" si="24"/>
        <v/>
      </c>
      <c r="AF135" s="18" t="str">
        <f t="shared" si="25"/>
        <v/>
      </c>
      <c r="AG135" s="18" t="str">
        <f t="shared" si="26"/>
        <v/>
      </c>
      <c r="AH135" s="18" t="str">
        <f t="shared" si="27"/>
        <v/>
      </c>
      <c r="AI135" s="18" t="str">
        <f t="shared" si="28"/>
        <v/>
      </c>
      <c r="AJ135" s="18" t="str">
        <f t="shared" si="29"/>
        <v/>
      </c>
      <c r="AK135" s="18" t="str">
        <f t="shared" si="30"/>
        <v/>
      </c>
      <c r="AL135" s="18" t="str">
        <f t="shared" si="31"/>
        <v/>
      </c>
      <c r="AM135" s="18" t="str">
        <f t="shared" si="32"/>
        <v/>
      </c>
    </row>
    <row r="136" spans="1:39" x14ac:dyDescent="0.35">
      <c r="A136" s="56" t="s">
        <v>204</v>
      </c>
      <c r="B136" s="58">
        <v>12150</v>
      </c>
      <c r="C136" s="58" t="s">
        <v>2071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75</v>
      </c>
      <c r="M136" s="58">
        <v>0</v>
      </c>
      <c r="N136" s="58">
        <v>15136.95</v>
      </c>
      <c r="O136" s="58">
        <v>12150</v>
      </c>
      <c r="P136" s="58" t="s">
        <v>2071</v>
      </c>
      <c r="Q136" s="58">
        <v>0</v>
      </c>
      <c r="R136" s="58">
        <v>0</v>
      </c>
      <c r="S136" s="58">
        <v>0</v>
      </c>
      <c r="T136" s="58">
        <v>0</v>
      </c>
      <c r="U136" s="58">
        <v>0</v>
      </c>
      <c r="V136" s="58">
        <v>0</v>
      </c>
      <c r="W136" s="58">
        <v>0</v>
      </c>
      <c r="X136" s="58">
        <v>0</v>
      </c>
      <c r="Y136" s="58">
        <v>4875</v>
      </c>
      <c r="Z136" s="58">
        <v>4875</v>
      </c>
      <c r="AA136" s="58">
        <v>15136.95</v>
      </c>
      <c r="AD136" s="18" t="str">
        <f t="array" ref="AD136">IFERROR(INDEX($A$1:$A$2000, MATCH(0, IF($AD$1*1=$C$1:$C$2090*1, COUNTIF($AD$1:$AD135, $A$1:$A$2000), ""), 0)),"")</f>
        <v/>
      </c>
      <c r="AE136" s="57" t="str">
        <f t="shared" si="24"/>
        <v/>
      </c>
      <c r="AF136" s="18" t="str">
        <f t="shared" si="25"/>
        <v/>
      </c>
      <c r="AG136" s="18" t="str">
        <f t="shared" si="26"/>
        <v/>
      </c>
      <c r="AH136" s="18" t="str">
        <f t="shared" si="27"/>
        <v/>
      </c>
      <c r="AI136" s="18" t="str">
        <f t="shared" si="28"/>
        <v/>
      </c>
      <c r="AJ136" s="18" t="str">
        <f t="shared" si="29"/>
        <v/>
      </c>
      <c r="AK136" s="18" t="str">
        <f t="shared" si="30"/>
        <v/>
      </c>
      <c r="AL136" s="18" t="str">
        <f t="shared" si="31"/>
        <v/>
      </c>
      <c r="AM136" s="18" t="str">
        <f t="shared" si="32"/>
        <v/>
      </c>
    </row>
    <row r="137" spans="1:39" x14ac:dyDescent="0.35">
      <c r="A137" s="56" t="s">
        <v>205</v>
      </c>
      <c r="B137" s="58">
        <v>12150</v>
      </c>
      <c r="C137" s="58" t="s">
        <v>33</v>
      </c>
      <c r="D137" s="58">
        <v>58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6150</v>
      </c>
      <c r="M137" s="58">
        <v>0</v>
      </c>
      <c r="N137" s="58">
        <v>15136.95</v>
      </c>
      <c r="O137" s="58">
        <v>12150</v>
      </c>
      <c r="P137" s="58" t="s">
        <v>33</v>
      </c>
      <c r="Q137" s="58">
        <v>1</v>
      </c>
      <c r="R137" s="58">
        <v>0</v>
      </c>
      <c r="S137" s="58">
        <v>0</v>
      </c>
      <c r="T137" s="58">
        <v>0</v>
      </c>
      <c r="U137" s="58">
        <v>0</v>
      </c>
      <c r="V137" s="58">
        <v>0</v>
      </c>
      <c r="W137" s="58">
        <v>0</v>
      </c>
      <c r="X137" s="58">
        <v>0</v>
      </c>
      <c r="Y137" s="58">
        <v>14175</v>
      </c>
      <c r="Z137" s="58">
        <v>6450</v>
      </c>
      <c r="AA137" s="58">
        <v>15136.95</v>
      </c>
      <c r="AD137" s="18" t="str">
        <f t="array" ref="AD137">IFERROR(INDEX($A$1:$A$2000, MATCH(0, IF($AD$1*1=$C$1:$C$2090*1, COUNTIF($AD$1:$AD136, $A$1:$A$2000), ""), 0)),"")</f>
        <v/>
      </c>
      <c r="AE137" s="57" t="str">
        <f t="shared" si="24"/>
        <v/>
      </c>
      <c r="AF137" s="18" t="str">
        <f t="shared" si="25"/>
        <v/>
      </c>
      <c r="AG137" s="18" t="str">
        <f t="shared" si="26"/>
        <v/>
      </c>
      <c r="AH137" s="18" t="str">
        <f t="shared" si="27"/>
        <v/>
      </c>
      <c r="AI137" s="18" t="str">
        <f t="shared" si="28"/>
        <v/>
      </c>
      <c r="AJ137" s="18" t="str">
        <f t="shared" si="29"/>
        <v/>
      </c>
      <c r="AK137" s="18" t="str">
        <f t="shared" si="30"/>
        <v/>
      </c>
      <c r="AL137" s="18" t="str">
        <f t="shared" si="31"/>
        <v/>
      </c>
      <c r="AM137" s="18" t="str">
        <f t="shared" si="32"/>
        <v/>
      </c>
    </row>
    <row r="138" spans="1:39" x14ac:dyDescent="0.35">
      <c r="A138" s="56" t="s">
        <v>206</v>
      </c>
      <c r="B138" s="58">
        <v>12150</v>
      </c>
      <c r="C138" s="58" t="s">
        <v>37</v>
      </c>
      <c r="D138" s="58">
        <v>0</v>
      </c>
      <c r="E138" s="58">
        <v>0</v>
      </c>
      <c r="F138" s="58">
        <v>0</v>
      </c>
      <c r="G138" s="58">
        <v>0</v>
      </c>
      <c r="H138" s="58">
        <v>0</v>
      </c>
      <c r="I138" s="58">
        <v>0</v>
      </c>
      <c r="J138" s="58">
        <v>0</v>
      </c>
      <c r="K138" s="58">
        <v>0</v>
      </c>
      <c r="L138" s="58">
        <v>300</v>
      </c>
      <c r="M138" s="58">
        <v>0</v>
      </c>
      <c r="N138" s="58">
        <v>15136.95</v>
      </c>
      <c r="O138" s="58">
        <v>12150</v>
      </c>
      <c r="P138" s="58" t="s">
        <v>37</v>
      </c>
      <c r="Q138" s="58">
        <v>0</v>
      </c>
      <c r="R138" s="58">
        <v>0</v>
      </c>
      <c r="S138" s="58">
        <v>0</v>
      </c>
      <c r="T138" s="58">
        <v>0</v>
      </c>
      <c r="U138" s="58">
        <v>0</v>
      </c>
      <c r="V138" s="58">
        <v>0</v>
      </c>
      <c r="W138" s="58">
        <v>0</v>
      </c>
      <c r="X138" s="58">
        <v>0</v>
      </c>
      <c r="Y138" s="58">
        <v>4875</v>
      </c>
      <c r="Z138" s="58">
        <v>4875</v>
      </c>
      <c r="AA138" s="58">
        <v>15136.95</v>
      </c>
      <c r="AD138" s="18" t="str">
        <f t="array" ref="AD138">IFERROR(INDEX($A$1:$A$2000, MATCH(0, IF($AD$1*1=$C$1:$C$2090*1, COUNTIF($AD$1:$AD137, $A$1:$A$2000), ""), 0)),"")</f>
        <v/>
      </c>
      <c r="AE138" s="57" t="str">
        <f t="shared" si="24"/>
        <v/>
      </c>
      <c r="AF138" s="18" t="str">
        <f t="shared" si="25"/>
        <v/>
      </c>
      <c r="AG138" s="18" t="str">
        <f t="shared" si="26"/>
        <v/>
      </c>
      <c r="AH138" s="18" t="str">
        <f t="shared" si="27"/>
        <v/>
      </c>
      <c r="AI138" s="18" t="str">
        <f t="shared" si="28"/>
        <v/>
      </c>
      <c r="AJ138" s="18" t="str">
        <f t="shared" si="29"/>
        <v/>
      </c>
      <c r="AK138" s="18" t="str">
        <f t="shared" si="30"/>
        <v/>
      </c>
      <c r="AL138" s="18" t="str">
        <f t="shared" si="31"/>
        <v/>
      </c>
      <c r="AM138" s="18" t="str">
        <f t="shared" si="32"/>
        <v/>
      </c>
    </row>
    <row r="139" spans="1:39" x14ac:dyDescent="0.35">
      <c r="A139" s="56" t="s">
        <v>207</v>
      </c>
      <c r="B139" s="58">
        <v>12150</v>
      </c>
      <c r="C139" s="58" t="s">
        <v>34</v>
      </c>
      <c r="D139" s="58">
        <v>0</v>
      </c>
      <c r="E139" s="58">
        <v>0</v>
      </c>
      <c r="F139" s="58">
        <v>0</v>
      </c>
      <c r="G139" s="58">
        <v>0</v>
      </c>
      <c r="H139" s="58">
        <v>0</v>
      </c>
      <c r="I139" s="58">
        <v>0</v>
      </c>
      <c r="J139" s="58">
        <v>0</v>
      </c>
      <c r="K139" s="58">
        <v>0</v>
      </c>
      <c r="L139" s="58">
        <v>10950</v>
      </c>
      <c r="M139" s="58">
        <v>0</v>
      </c>
      <c r="N139" s="58">
        <v>15136.95</v>
      </c>
      <c r="O139" s="58">
        <v>12150</v>
      </c>
      <c r="P139" s="58" t="s">
        <v>34</v>
      </c>
      <c r="Q139" s="58">
        <v>0</v>
      </c>
      <c r="R139" s="58">
        <v>0</v>
      </c>
      <c r="S139" s="58">
        <v>0</v>
      </c>
      <c r="T139" s="58">
        <v>0</v>
      </c>
      <c r="U139" s="58">
        <v>0</v>
      </c>
      <c r="V139" s="58">
        <v>0</v>
      </c>
      <c r="W139" s="58">
        <v>0</v>
      </c>
      <c r="X139" s="58">
        <v>0</v>
      </c>
      <c r="Y139" s="58">
        <v>7725</v>
      </c>
      <c r="Z139" s="58">
        <v>7725</v>
      </c>
      <c r="AA139" s="58">
        <v>15136.95</v>
      </c>
      <c r="AD139" s="18" t="str">
        <f t="array" ref="AD139">IFERROR(INDEX($A$1:$A$2000, MATCH(0, IF($AD$1*1=$C$1:$C$2090*1, COUNTIF($AD$1:$AD138, $A$1:$A$2000), ""), 0)),"")</f>
        <v/>
      </c>
      <c r="AE139" s="57" t="str">
        <f t="shared" si="24"/>
        <v/>
      </c>
      <c r="AF139" s="18" t="str">
        <f t="shared" si="25"/>
        <v/>
      </c>
      <c r="AG139" s="18" t="str">
        <f t="shared" si="26"/>
        <v/>
      </c>
      <c r="AH139" s="18" t="str">
        <f t="shared" si="27"/>
        <v/>
      </c>
      <c r="AI139" s="18" t="str">
        <f t="shared" si="28"/>
        <v/>
      </c>
      <c r="AJ139" s="18" t="str">
        <f t="shared" si="29"/>
        <v/>
      </c>
      <c r="AK139" s="18" t="str">
        <f t="shared" si="30"/>
        <v/>
      </c>
      <c r="AL139" s="18" t="str">
        <f t="shared" si="31"/>
        <v/>
      </c>
      <c r="AM139" s="18" t="str">
        <f t="shared" si="32"/>
        <v/>
      </c>
    </row>
    <row r="140" spans="1:39" x14ac:dyDescent="0.35">
      <c r="A140" s="56" t="s">
        <v>208</v>
      </c>
      <c r="B140" s="58">
        <v>12150</v>
      </c>
      <c r="C140" s="58" t="s">
        <v>35</v>
      </c>
      <c r="D140" s="58">
        <v>35</v>
      </c>
      <c r="E140" s="58">
        <v>0</v>
      </c>
      <c r="F140" s="58">
        <v>0</v>
      </c>
      <c r="G140" s="58">
        <v>4</v>
      </c>
      <c r="H140" s="58">
        <v>126.41</v>
      </c>
      <c r="I140" s="58">
        <v>0.2</v>
      </c>
      <c r="J140" s="58">
        <v>-0.2</v>
      </c>
      <c r="K140" s="58">
        <v>-50</v>
      </c>
      <c r="L140" s="58">
        <v>1950</v>
      </c>
      <c r="M140" s="58">
        <v>27000</v>
      </c>
      <c r="N140" s="58">
        <v>15136.95</v>
      </c>
      <c r="O140" s="58">
        <v>12150</v>
      </c>
      <c r="P140" s="58" t="s">
        <v>35</v>
      </c>
      <c r="Q140" s="58">
        <v>0</v>
      </c>
      <c r="R140" s="58">
        <v>0</v>
      </c>
      <c r="S140" s="58">
        <v>0</v>
      </c>
      <c r="T140" s="58">
        <v>0</v>
      </c>
      <c r="U140" s="58">
        <v>0</v>
      </c>
      <c r="V140" s="58">
        <v>0</v>
      </c>
      <c r="W140" s="58">
        <v>0</v>
      </c>
      <c r="X140" s="58">
        <v>0</v>
      </c>
      <c r="Y140" s="58">
        <v>6375</v>
      </c>
      <c r="Z140" s="58">
        <v>9300</v>
      </c>
      <c r="AA140" s="58">
        <v>15136.95</v>
      </c>
      <c r="AD140" s="18" t="str">
        <f t="array" ref="AD140">IFERROR(INDEX($A$1:$A$2000, MATCH(0, IF($AD$1*1=$C$1:$C$2090*1, COUNTIF($AD$1:$AD139, $A$1:$A$2000), ""), 0)),"")</f>
        <v/>
      </c>
      <c r="AE140" s="57" t="str">
        <f t="shared" si="24"/>
        <v/>
      </c>
      <c r="AF140" s="18" t="str">
        <f t="shared" si="25"/>
        <v/>
      </c>
      <c r="AG140" s="18" t="str">
        <f t="shared" si="26"/>
        <v/>
      </c>
      <c r="AH140" s="18" t="str">
        <f t="shared" si="27"/>
        <v/>
      </c>
      <c r="AI140" s="18" t="str">
        <f t="shared" si="28"/>
        <v/>
      </c>
      <c r="AJ140" s="18" t="str">
        <f t="shared" si="29"/>
        <v/>
      </c>
      <c r="AK140" s="18" t="str">
        <f t="shared" si="30"/>
        <v/>
      </c>
      <c r="AL140" s="18" t="str">
        <f t="shared" si="31"/>
        <v/>
      </c>
      <c r="AM140" s="18" t="str">
        <f t="shared" si="32"/>
        <v/>
      </c>
    </row>
    <row r="141" spans="1:39" x14ac:dyDescent="0.35">
      <c r="A141" s="56" t="s">
        <v>209</v>
      </c>
      <c r="B141" s="58">
        <v>0</v>
      </c>
      <c r="C141" s="58">
        <v>0</v>
      </c>
      <c r="D141" s="58">
        <v>0</v>
      </c>
      <c r="E141" s="58">
        <v>0</v>
      </c>
      <c r="F141" s="58">
        <v>0</v>
      </c>
      <c r="G141" s="58">
        <v>0</v>
      </c>
      <c r="H141" s="58">
        <v>0</v>
      </c>
      <c r="I141" s="58">
        <v>0</v>
      </c>
      <c r="J141" s="58">
        <v>0</v>
      </c>
      <c r="K141" s="58">
        <v>0</v>
      </c>
      <c r="L141" s="58">
        <v>0</v>
      </c>
      <c r="M141" s="58">
        <v>0</v>
      </c>
      <c r="N141" s="58">
        <v>0</v>
      </c>
      <c r="O141" s="58">
        <v>12200</v>
      </c>
      <c r="P141" s="58" t="s">
        <v>36</v>
      </c>
      <c r="Q141" s="58">
        <v>0</v>
      </c>
      <c r="R141" s="58">
        <v>0</v>
      </c>
      <c r="S141" s="58">
        <v>0</v>
      </c>
      <c r="T141" s="58">
        <v>0</v>
      </c>
      <c r="U141" s="58">
        <v>0</v>
      </c>
      <c r="V141" s="58">
        <v>0</v>
      </c>
      <c r="W141" s="58">
        <v>0</v>
      </c>
      <c r="X141" s="58">
        <v>0</v>
      </c>
      <c r="Y141" s="58">
        <v>4875</v>
      </c>
      <c r="Z141" s="58">
        <v>4875</v>
      </c>
      <c r="AA141" s="58">
        <v>15136.95</v>
      </c>
      <c r="AD141" s="18" t="str">
        <f t="array" ref="AD141">IFERROR(INDEX($A$1:$A$2000, MATCH(0, IF($AD$1*1=$C$1:$C$2090*1, COUNTIF($AD$1:$AD140, $A$1:$A$2000), ""), 0)),"")</f>
        <v/>
      </c>
      <c r="AE141" s="57" t="str">
        <f t="shared" si="24"/>
        <v/>
      </c>
      <c r="AF141" s="18" t="str">
        <f t="shared" si="25"/>
        <v/>
      </c>
      <c r="AG141" s="18" t="str">
        <f t="shared" si="26"/>
        <v/>
      </c>
      <c r="AH141" s="18" t="str">
        <f t="shared" si="27"/>
        <v/>
      </c>
      <c r="AI141" s="18" t="str">
        <f t="shared" si="28"/>
        <v/>
      </c>
      <c r="AJ141" s="18" t="str">
        <f t="shared" si="29"/>
        <v/>
      </c>
      <c r="AK141" s="18" t="str">
        <f t="shared" si="30"/>
        <v/>
      </c>
      <c r="AL141" s="18" t="str">
        <f t="shared" si="31"/>
        <v/>
      </c>
      <c r="AM141" s="18" t="str">
        <f t="shared" si="32"/>
        <v/>
      </c>
    </row>
    <row r="142" spans="1:39" x14ac:dyDescent="0.35">
      <c r="A142" s="56" t="s">
        <v>210</v>
      </c>
      <c r="B142" s="58">
        <v>12200</v>
      </c>
      <c r="C142" s="58" t="s">
        <v>35</v>
      </c>
      <c r="D142" s="58">
        <v>942</v>
      </c>
      <c r="E142" s="58">
        <v>93</v>
      </c>
      <c r="F142" s="58">
        <v>10.954063604240282</v>
      </c>
      <c r="G142" s="58">
        <v>3125</v>
      </c>
      <c r="H142" s="58">
        <v>133.29</v>
      </c>
      <c r="I142" s="58">
        <v>0.2</v>
      </c>
      <c r="J142" s="58">
        <v>-0.4</v>
      </c>
      <c r="K142" s="58">
        <v>-66.666666666666657</v>
      </c>
      <c r="L142" s="58">
        <v>71025</v>
      </c>
      <c r="M142" s="58">
        <v>37500</v>
      </c>
      <c r="N142" s="58">
        <v>15136.95</v>
      </c>
      <c r="O142" s="58">
        <v>12200</v>
      </c>
      <c r="P142" s="58" t="s">
        <v>35</v>
      </c>
      <c r="Q142" s="58">
        <v>0</v>
      </c>
      <c r="R142" s="58">
        <v>0</v>
      </c>
      <c r="S142" s="58">
        <v>0</v>
      </c>
      <c r="T142" s="58">
        <v>0</v>
      </c>
      <c r="U142" s="58">
        <v>0</v>
      </c>
      <c r="V142" s="58">
        <v>0</v>
      </c>
      <c r="W142" s="58">
        <v>0</v>
      </c>
      <c r="X142" s="58">
        <v>0</v>
      </c>
      <c r="Y142" s="58">
        <v>6375</v>
      </c>
      <c r="Z142" s="58">
        <v>9300</v>
      </c>
      <c r="AA142" s="58">
        <v>15136.95</v>
      </c>
      <c r="AD142" s="18" t="str">
        <f t="array" ref="AD142">IFERROR(INDEX($A$1:$A$2000, MATCH(0, IF($AD$1*1=$C$1:$C$2090*1, COUNTIF($AD$1:$AD141, $A$1:$A$2000), ""), 0)),"")</f>
        <v/>
      </c>
      <c r="AE142" s="57" t="str">
        <f t="shared" si="24"/>
        <v/>
      </c>
      <c r="AF142" s="18" t="str">
        <f t="shared" si="25"/>
        <v/>
      </c>
      <c r="AG142" s="18" t="str">
        <f t="shared" si="26"/>
        <v/>
      </c>
      <c r="AH142" s="18" t="str">
        <f t="shared" si="27"/>
        <v/>
      </c>
      <c r="AI142" s="18" t="str">
        <f t="shared" si="28"/>
        <v/>
      </c>
      <c r="AJ142" s="18" t="str">
        <f t="shared" si="29"/>
        <v/>
      </c>
      <c r="AK142" s="18" t="str">
        <f t="shared" si="30"/>
        <v/>
      </c>
      <c r="AL142" s="18" t="str">
        <f t="shared" si="31"/>
        <v/>
      </c>
      <c r="AM142" s="18" t="str">
        <f t="shared" si="32"/>
        <v/>
      </c>
    </row>
    <row r="143" spans="1:39" x14ac:dyDescent="0.35">
      <c r="A143" s="56" t="s">
        <v>211</v>
      </c>
      <c r="B143" s="58">
        <v>0</v>
      </c>
      <c r="C143" s="58">
        <v>0</v>
      </c>
      <c r="D143" s="58">
        <v>0</v>
      </c>
      <c r="E143" s="58">
        <v>0</v>
      </c>
      <c r="F143" s="58">
        <v>0</v>
      </c>
      <c r="G143" s="58">
        <v>0</v>
      </c>
      <c r="H143" s="58">
        <v>0</v>
      </c>
      <c r="I143" s="58">
        <v>0</v>
      </c>
      <c r="J143" s="58">
        <v>0</v>
      </c>
      <c r="K143" s="58">
        <v>0</v>
      </c>
      <c r="L143" s="58">
        <v>0</v>
      </c>
      <c r="M143" s="58">
        <v>0</v>
      </c>
      <c r="N143" s="58">
        <v>0</v>
      </c>
      <c r="O143" s="58">
        <v>12200</v>
      </c>
      <c r="P143" s="58" t="s">
        <v>38</v>
      </c>
      <c r="Q143" s="58">
        <v>0</v>
      </c>
      <c r="R143" s="58">
        <v>0</v>
      </c>
      <c r="S143" s="58">
        <v>0</v>
      </c>
      <c r="T143" s="58">
        <v>0</v>
      </c>
      <c r="U143" s="58">
        <v>0</v>
      </c>
      <c r="V143" s="58">
        <v>0</v>
      </c>
      <c r="W143" s="58">
        <v>0</v>
      </c>
      <c r="X143" s="58">
        <v>0</v>
      </c>
      <c r="Y143" s="58">
        <v>4875</v>
      </c>
      <c r="Z143" s="58">
        <v>4875</v>
      </c>
      <c r="AA143" s="58">
        <v>15136.95</v>
      </c>
      <c r="AD143" s="18" t="str">
        <f t="array" ref="AD143">IFERROR(INDEX($A$1:$A$2000, MATCH(0, IF($AD$1*1=$C$1:$C$2090*1, COUNTIF($AD$1:$AD142, $A$1:$A$2000), ""), 0)),"")</f>
        <v/>
      </c>
      <c r="AE143" s="57" t="str">
        <f t="shared" si="24"/>
        <v/>
      </c>
      <c r="AF143" s="18" t="str">
        <f t="shared" si="25"/>
        <v/>
      </c>
      <c r="AG143" s="18" t="str">
        <f t="shared" si="26"/>
        <v/>
      </c>
      <c r="AH143" s="18" t="str">
        <f t="shared" si="27"/>
        <v/>
      </c>
      <c r="AI143" s="18" t="str">
        <f t="shared" si="28"/>
        <v/>
      </c>
      <c r="AJ143" s="18" t="str">
        <f t="shared" si="29"/>
        <v/>
      </c>
      <c r="AK143" s="18" t="str">
        <f t="shared" si="30"/>
        <v/>
      </c>
      <c r="AL143" s="18" t="str">
        <f t="shared" si="31"/>
        <v/>
      </c>
      <c r="AM143" s="18" t="str">
        <f t="shared" si="32"/>
        <v/>
      </c>
    </row>
    <row r="144" spans="1:39" x14ac:dyDescent="0.35">
      <c r="A144" s="56" t="s">
        <v>212</v>
      </c>
      <c r="B144" s="58">
        <v>12200</v>
      </c>
      <c r="C144" s="58" t="s">
        <v>26</v>
      </c>
      <c r="D144" s="58">
        <v>0</v>
      </c>
      <c r="E144" s="58">
        <v>0</v>
      </c>
      <c r="F144" s="58">
        <v>0</v>
      </c>
      <c r="G144" s="58">
        <v>0</v>
      </c>
      <c r="H144" s="58">
        <v>0</v>
      </c>
      <c r="I144" s="58">
        <v>0</v>
      </c>
      <c r="J144" s="58">
        <v>0</v>
      </c>
      <c r="K144" s="58">
        <v>0</v>
      </c>
      <c r="L144" s="58">
        <v>1500</v>
      </c>
      <c r="M144" s="58">
        <v>0</v>
      </c>
      <c r="N144" s="58">
        <v>15136.95</v>
      </c>
      <c r="O144" s="58">
        <v>12200</v>
      </c>
      <c r="P144" s="58" t="s">
        <v>26</v>
      </c>
      <c r="Q144" s="58">
        <v>0</v>
      </c>
      <c r="R144" s="58">
        <v>0</v>
      </c>
      <c r="S144" s="58">
        <v>0</v>
      </c>
      <c r="T144" s="58">
        <v>0</v>
      </c>
      <c r="U144" s="58">
        <v>0</v>
      </c>
      <c r="V144" s="58">
        <v>0</v>
      </c>
      <c r="W144" s="58">
        <v>0</v>
      </c>
      <c r="X144" s="58">
        <v>0</v>
      </c>
      <c r="Y144" s="58">
        <v>7725</v>
      </c>
      <c r="Z144" s="58">
        <v>7725</v>
      </c>
      <c r="AA144" s="58">
        <v>15136.95</v>
      </c>
      <c r="AD144" s="18" t="str">
        <f t="array" ref="AD144">IFERROR(INDEX($A$1:$A$2000, MATCH(0, IF($AD$1*1=$C$1:$C$2090*1, COUNTIF($AD$1:$AD143, $A$1:$A$2000), ""), 0)),"")</f>
        <v/>
      </c>
      <c r="AE144" s="57" t="str">
        <f t="shared" si="24"/>
        <v/>
      </c>
      <c r="AF144" s="18" t="str">
        <f t="shared" si="25"/>
        <v/>
      </c>
      <c r="AG144" s="18" t="str">
        <f t="shared" si="26"/>
        <v/>
      </c>
      <c r="AH144" s="18" t="str">
        <f t="shared" si="27"/>
        <v/>
      </c>
      <c r="AI144" s="18" t="str">
        <f t="shared" si="28"/>
        <v/>
      </c>
      <c r="AJ144" s="18" t="str">
        <f t="shared" si="29"/>
        <v/>
      </c>
      <c r="AK144" s="18" t="str">
        <f t="shared" si="30"/>
        <v/>
      </c>
      <c r="AL144" s="18" t="str">
        <f t="shared" si="31"/>
        <v/>
      </c>
      <c r="AM144" s="18" t="str">
        <f t="shared" si="32"/>
        <v/>
      </c>
    </row>
    <row r="145" spans="1:39" x14ac:dyDescent="0.35">
      <c r="A145" s="56" t="s">
        <v>213</v>
      </c>
      <c r="B145" s="58">
        <v>0</v>
      </c>
      <c r="C145" s="58">
        <v>0</v>
      </c>
      <c r="D145" s="58">
        <v>0</v>
      </c>
      <c r="E145" s="58">
        <v>0</v>
      </c>
      <c r="F145" s="58">
        <v>0</v>
      </c>
      <c r="G145" s="58">
        <v>0</v>
      </c>
      <c r="H145" s="58">
        <v>0</v>
      </c>
      <c r="I145" s="58">
        <v>0</v>
      </c>
      <c r="J145" s="58">
        <v>0</v>
      </c>
      <c r="K145" s="58">
        <v>0</v>
      </c>
      <c r="L145" s="58">
        <v>0</v>
      </c>
      <c r="M145" s="58">
        <v>0</v>
      </c>
      <c r="N145" s="58">
        <v>0</v>
      </c>
      <c r="O145" s="58">
        <v>12200</v>
      </c>
      <c r="P145" s="58" t="s">
        <v>67</v>
      </c>
      <c r="Q145" s="58">
        <v>0</v>
      </c>
      <c r="R145" s="58">
        <v>0</v>
      </c>
      <c r="S145" s="58">
        <v>0</v>
      </c>
      <c r="T145" s="58">
        <v>0</v>
      </c>
      <c r="U145" s="58">
        <v>0</v>
      </c>
      <c r="V145" s="58">
        <v>0</v>
      </c>
      <c r="W145" s="58">
        <v>0</v>
      </c>
      <c r="X145" s="58">
        <v>0</v>
      </c>
      <c r="Y145" s="58">
        <v>4875</v>
      </c>
      <c r="Z145" s="58">
        <v>4875</v>
      </c>
      <c r="AA145" s="58">
        <v>15136.95</v>
      </c>
      <c r="AD145" s="18" t="str">
        <f t="array" ref="AD145">IFERROR(INDEX($A$1:$A$2000, MATCH(0, IF($AD$1*1=$C$1:$C$2090*1, COUNTIF($AD$1:$AD144, $A$1:$A$2000), ""), 0)),"")</f>
        <v/>
      </c>
      <c r="AE145" s="57" t="str">
        <f t="shared" si="24"/>
        <v/>
      </c>
      <c r="AF145" s="18" t="str">
        <f t="shared" si="25"/>
        <v/>
      </c>
      <c r="AG145" s="18" t="str">
        <f t="shared" si="26"/>
        <v/>
      </c>
      <c r="AH145" s="18" t="str">
        <f t="shared" si="27"/>
        <v/>
      </c>
      <c r="AI145" s="18" t="str">
        <f t="shared" si="28"/>
        <v/>
      </c>
      <c r="AJ145" s="18" t="str">
        <f t="shared" si="29"/>
        <v/>
      </c>
      <c r="AK145" s="18" t="str">
        <f t="shared" si="30"/>
        <v/>
      </c>
      <c r="AL145" s="18" t="str">
        <f t="shared" si="31"/>
        <v/>
      </c>
      <c r="AM145" s="18" t="str">
        <f t="shared" si="32"/>
        <v/>
      </c>
    </row>
    <row r="146" spans="1:39" x14ac:dyDescent="0.35">
      <c r="A146" s="56" t="s">
        <v>214</v>
      </c>
      <c r="B146" s="58">
        <v>12200</v>
      </c>
      <c r="C146" s="58" t="s">
        <v>2071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975</v>
      </c>
      <c r="M146" s="58">
        <v>0</v>
      </c>
      <c r="N146" s="58">
        <v>15136.95</v>
      </c>
      <c r="O146" s="58">
        <v>12200</v>
      </c>
      <c r="P146" s="58" t="s">
        <v>2071</v>
      </c>
      <c r="Q146" s="58">
        <v>0</v>
      </c>
      <c r="R146" s="58">
        <v>0</v>
      </c>
      <c r="S146" s="58">
        <v>0</v>
      </c>
      <c r="T146" s="58">
        <v>0</v>
      </c>
      <c r="U146" s="58">
        <v>0</v>
      </c>
      <c r="V146" s="58">
        <v>0</v>
      </c>
      <c r="W146" s="58">
        <v>0</v>
      </c>
      <c r="X146" s="58">
        <v>0</v>
      </c>
      <c r="Y146" s="58">
        <v>4875</v>
      </c>
      <c r="Z146" s="58">
        <v>4875</v>
      </c>
      <c r="AA146" s="58">
        <v>15136.95</v>
      </c>
      <c r="AD146" s="18" t="str">
        <f t="array" ref="AD146">IFERROR(INDEX($A$1:$A$2000, MATCH(0, IF($AD$1*1=$C$1:$C$2090*1, COUNTIF($AD$1:$AD145, $A$1:$A$2000), ""), 0)),"")</f>
        <v/>
      </c>
      <c r="AE146" s="57" t="str">
        <f t="shared" si="24"/>
        <v/>
      </c>
      <c r="AF146" s="18" t="str">
        <f t="shared" si="25"/>
        <v/>
      </c>
      <c r="AG146" s="18" t="str">
        <f t="shared" si="26"/>
        <v/>
      </c>
      <c r="AH146" s="18" t="str">
        <f t="shared" si="27"/>
        <v/>
      </c>
      <c r="AI146" s="18" t="str">
        <f t="shared" si="28"/>
        <v/>
      </c>
      <c r="AJ146" s="18" t="str">
        <f t="shared" si="29"/>
        <v/>
      </c>
      <c r="AK146" s="18" t="str">
        <f t="shared" si="30"/>
        <v/>
      </c>
      <c r="AL146" s="18" t="str">
        <f t="shared" si="31"/>
        <v/>
      </c>
      <c r="AM146" s="18" t="str">
        <f t="shared" si="32"/>
        <v/>
      </c>
    </row>
    <row r="147" spans="1:39" x14ac:dyDescent="0.35">
      <c r="A147" s="56" t="s">
        <v>215</v>
      </c>
      <c r="B147" s="58">
        <v>0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58">
        <v>12200</v>
      </c>
      <c r="P147" s="58" t="s">
        <v>27</v>
      </c>
      <c r="Q147" s="58">
        <v>6</v>
      </c>
      <c r="R147" s="58">
        <v>0</v>
      </c>
      <c r="S147" s="58">
        <v>0</v>
      </c>
      <c r="T147" s="58">
        <v>1</v>
      </c>
      <c r="U147" s="58">
        <v>0</v>
      </c>
      <c r="V147" s="58">
        <v>2100.25</v>
      </c>
      <c r="W147" s="58">
        <v>0.25</v>
      </c>
      <c r="X147" s="58">
        <v>1.1904761904761904E-2</v>
      </c>
      <c r="Y147" s="58">
        <v>2550</v>
      </c>
      <c r="Z147" s="58">
        <v>150</v>
      </c>
      <c r="AA147" s="58">
        <v>15136.95</v>
      </c>
      <c r="AD147" s="18" t="str">
        <f t="array" ref="AD147">IFERROR(INDEX($A$1:$A$2000, MATCH(0, IF($AD$1*1=$C$1:$C$2090*1, COUNTIF($AD$1:$AD146, $A$1:$A$2000), ""), 0)),"")</f>
        <v/>
      </c>
      <c r="AE147" s="57" t="str">
        <f t="shared" si="24"/>
        <v/>
      </c>
      <c r="AF147" s="18" t="str">
        <f t="shared" si="25"/>
        <v/>
      </c>
      <c r="AG147" s="18" t="str">
        <f t="shared" si="26"/>
        <v/>
      </c>
      <c r="AH147" s="18" t="str">
        <f t="shared" si="27"/>
        <v/>
      </c>
      <c r="AI147" s="18" t="str">
        <f t="shared" si="28"/>
        <v/>
      </c>
      <c r="AJ147" s="18" t="str">
        <f t="shared" si="29"/>
        <v/>
      </c>
      <c r="AK147" s="18" t="str">
        <f t="shared" si="30"/>
        <v/>
      </c>
      <c r="AL147" s="18" t="str">
        <f t="shared" si="31"/>
        <v/>
      </c>
      <c r="AM147" s="18" t="str">
        <f t="shared" si="32"/>
        <v/>
      </c>
    </row>
    <row r="148" spans="1:39" x14ac:dyDescent="0.35">
      <c r="A148" s="56" t="s">
        <v>216</v>
      </c>
      <c r="B148" s="58">
        <v>12200</v>
      </c>
      <c r="C148" s="58" t="s">
        <v>29</v>
      </c>
      <c r="D148" s="58">
        <v>1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1650</v>
      </c>
      <c r="M148" s="58">
        <v>0</v>
      </c>
      <c r="N148" s="58">
        <v>15136.95</v>
      </c>
      <c r="O148" s="58">
        <v>0</v>
      </c>
      <c r="P148" s="58">
        <v>0</v>
      </c>
      <c r="Q148" s="58">
        <v>0</v>
      </c>
      <c r="R148" s="58">
        <v>0</v>
      </c>
      <c r="S148" s="58">
        <v>0</v>
      </c>
      <c r="T148" s="58">
        <v>0</v>
      </c>
      <c r="U148" s="58">
        <v>0</v>
      </c>
      <c r="V148" s="58">
        <v>0</v>
      </c>
      <c r="W148" s="58">
        <v>0</v>
      </c>
      <c r="X148" s="58">
        <v>0</v>
      </c>
      <c r="Y148" s="58">
        <v>0</v>
      </c>
      <c r="Z148" s="58">
        <v>0</v>
      </c>
      <c r="AA148" s="58">
        <v>0</v>
      </c>
      <c r="AD148" s="18" t="str">
        <f t="array" ref="AD148">IFERROR(INDEX($A$1:$A$2000, MATCH(0, IF($AD$1*1=$C$1:$C$2090*1, COUNTIF($AD$1:$AD147, $A$1:$A$2000), ""), 0)),"")</f>
        <v/>
      </c>
      <c r="AE148" s="57" t="str">
        <f t="shared" si="24"/>
        <v/>
      </c>
      <c r="AF148" s="18" t="str">
        <f t="shared" si="25"/>
        <v/>
      </c>
      <c r="AG148" s="18" t="str">
        <f t="shared" si="26"/>
        <v/>
      </c>
      <c r="AH148" s="18" t="str">
        <f t="shared" si="27"/>
        <v/>
      </c>
      <c r="AI148" s="18" t="str">
        <f t="shared" si="28"/>
        <v/>
      </c>
      <c r="AJ148" s="18" t="str">
        <f t="shared" si="29"/>
        <v/>
      </c>
      <c r="AK148" s="18" t="str">
        <f t="shared" si="30"/>
        <v/>
      </c>
      <c r="AL148" s="18" t="str">
        <f t="shared" si="31"/>
        <v/>
      </c>
      <c r="AM148" s="18" t="str">
        <f t="shared" si="32"/>
        <v/>
      </c>
    </row>
    <row r="149" spans="1:39" x14ac:dyDescent="0.35">
      <c r="A149" s="56" t="s">
        <v>217</v>
      </c>
      <c r="B149" s="58">
        <v>12200</v>
      </c>
      <c r="C149" s="58" t="s">
        <v>34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25050</v>
      </c>
      <c r="M149" s="58">
        <v>0</v>
      </c>
      <c r="N149" s="58">
        <v>15136.95</v>
      </c>
      <c r="O149" s="58">
        <v>12200</v>
      </c>
      <c r="P149" s="58" t="s">
        <v>34</v>
      </c>
      <c r="Q149" s="58">
        <v>0</v>
      </c>
      <c r="R149" s="58">
        <v>0</v>
      </c>
      <c r="S149" s="58">
        <v>0</v>
      </c>
      <c r="T149" s="58">
        <v>0</v>
      </c>
      <c r="U149" s="58">
        <v>0</v>
      </c>
      <c r="V149" s="58">
        <v>0</v>
      </c>
      <c r="W149" s="58">
        <v>0</v>
      </c>
      <c r="X149" s="58">
        <v>0</v>
      </c>
      <c r="Y149" s="58">
        <v>7725</v>
      </c>
      <c r="Z149" s="58">
        <v>7725</v>
      </c>
      <c r="AA149" s="58">
        <v>15136.95</v>
      </c>
      <c r="AD149" s="18" t="str">
        <f t="array" ref="AD149">IFERROR(INDEX($A$1:$A$2000, MATCH(0, IF($AD$1*1=$C$1:$C$2090*1, COUNTIF($AD$1:$AD148, $A$1:$A$2000), ""), 0)),"")</f>
        <v/>
      </c>
      <c r="AE149" s="57" t="str">
        <f t="shared" si="24"/>
        <v/>
      </c>
      <c r="AF149" s="18" t="str">
        <f t="shared" si="25"/>
        <v/>
      </c>
      <c r="AG149" s="18" t="str">
        <f t="shared" si="26"/>
        <v/>
      </c>
      <c r="AH149" s="18" t="str">
        <f t="shared" si="27"/>
        <v/>
      </c>
      <c r="AI149" s="18" t="str">
        <f t="shared" si="28"/>
        <v/>
      </c>
      <c r="AJ149" s="18" t="str">
        <f t="shared" si="29"/>
        <v/>
      </c>
      <c r="AK149" s="18" t="str">
        <f t="shared" si="30"/>
        <v/>
      </c>
      <c r="AL149" s="18" t="str">
        <f t="shared" si="31"/>
        <v/>
      </c>
      <c r="AM149" s="18" t="str">
        <f t="shared" si="32"/>
        <v/>
      </c>
    </row>
    <row r="150" spans="1:39" x14ac:dyDescent="0.35">
      <c r="A150" s="56" t="s">
        <v>218</v>
      </c>
      <c r="B150" s="58">
        <v>12200</v>
      </c>
      <c r="C150" s="58" t="s">
        <v>33</v>
      </c>
      <c r="D150" s="58">
        <v>271</v>
      </c>
      <c r="E150" s="58">
        <v>0</v>
      </c>
      <c r="F150" s="58">
        <v>0</v>
      </c>
      <c r="G150" s="58">
        <v>1</v>
      </c>
      <c r="H150" s="58">
        <v>0</v>
      </c>
      <c r="I150" s="58">
        <v>6.75</v>
      </c>
      <c r="J150" s="58">
        <v>-9.9999999999999645E-2</v>
      </c>
      <c r="K150" s="58">
        <v>-1.459854014598535</v>
      </c>
      <c r="L150" s="58">
        <v>6825</v>
      </c>
      <c r="M150" s="58">
        <v>13650</v>
      </c>
      <c r="N150" s="58">
        <v>15136.95</v>
      </c>
      <c r="O150" s="58">
        <v>12200</v>
      </c>
      <c r="P150" s="58" t="s">
        <v>33</v>
      </c>
      <c r="Q150" s="58">
        <v>120</v>
      </c>
      <c r="R150" s="58">
        <v>0</v>
      </c>
      <c r="S150" s="58">
        <v>0</v>
      </c>
      <c r="T150" s="58">
        <v>1</v>
      </c>
      <c r="U150" s="58">
        <v>0</v>
      </c>
      <c r="V150" s="58">
        <v>2935.1</v>
      </c>
      <c r="W150" s="58">
        <v>-2.0999999999999091</v>
      </c>
      <c r="X150" s="58">
        <v>-7.1496663489034079E-2</v>
      </c>
      <c r="Y150" s="58">
        <v>11550</v>
      </c>
      <c r="Z150" s="58">
        <v>11775</v>
      </c>
      <c r="AA150" s="58">
        <v>15136.95</v>
      </c>
      <c r="AD150" s="18" t="str">
        <f t="array" ref="AD150">IFERROR(INDEX($A$1:$A$2000, MATCH(0, IF($AD$1*1=$C$1:$C$2090*1, COUNTIF($AD$1:$AD149, $A$1:$A$2000), ""), 0)),"")</f>
        <v/>
      </c>
      <c r="AE150" s="57" t="str">
        <f t="shared" si="24"/>
        <v/>
      </c>
      <c r="AF150" s="18" t="str">
        <f t="shared" si="25"/>
        <v/>
      </c>
      <c r="AG150" s="18" t="str">
        <f t="shared" si="26"/>
        <v/>
      </c>
      <c r="AH150" s="18" t="str">
        <f t="shared" si="27"/>
        <v/>
      </c>
      <c r="AI150" s="18" t="str">
        <f t="shared" si="28"/>
        <v/>
      </c>
      <c r="AJ150" s="18" t="str">
        <f t="shared" si="29"/>
        <v/>
      </c>
      <c r="AK150" s="18" t="str">
        <f t="shared" si="30"/>
        <v/>
      </c>
      <c r="AL150" s="18" t="str">
        <f t="shared" si="31"/>
        <v/>
      </c>
      <c r="AM150" s="18" t="str">
        <f t="shared" si="32"/>
        <v/>
      </c>
    </row>
    <row r="151" spans="1:39" x14ac:dyDescent="0.35">
      <c r="A151" s="56" t="s">
        <v>219</v>
      </c>
      <c r="B151" s="58">
        <v>0</v>
      </c>
      <c r="C151" s="58">
        <v>0</v>
      </c>
      <c r="D151" s="58">
        <v>0</v>
      </c>
      <c r="E151" s="58">
        <v>0</v>
      </c>
      <c r="F151" s="58">
        <v>0</v>
      </c>
      <c r="G151" s="58">
        <v>0</v>
      </c>
      <c r="H151" s="58">
        <v>0</v>
      </c>
      <c r="I151" s="58">
        <v>0</v>
      </c>
      <c r="J151" s="58">
        <v>0</v>
      </c>
      <c r="K151" s="58">
        <v>0</v>
      </c>
      <c r="L151" s="58">
        <v>0</v>
      </c>
      <c r="M151" s="58">
        <v>0</v>
      </c>
      <c r="N151" s="58">
        <v>0</v>
      </c>
      <c r="O151" s="58">
        <v>12200</v>
      </c>
      <c r="P151" s="58" t="s">
        <v>37</v>
      </c>
      <c r="Q151" s="58">
        <v>0</v>
      </c>
      <c r="R151" s="58">
        <v>0</v>
      </c>
      <c r="S151" s="58">
        <v>0</v>
      </c>
      <c r="T151" s="58">
        <v>0</v>
      </c>
      <c r="U151" s="58">
        <v>0</v>
      </c>
      <c r="V151" s="58">
        <v>0</v>
      </c>
      <c r="W151" s="58">
        <v>0</v>
      </c>
      <c r="X151" s="58">
        <v>0</v>
      </c>
      <c r="Y151" s="58">
        <v>4875</v>
      </c>
      <c r="Z151" s="58">
        <v>4875</v>
      </c>
      <c r="AA151" s="58">
        <v>15136.95</v>
      </c>
      <c r="AD151" s="18" t="str">
        <f t="array" ref="AD151">IFERROR(INDEX($A$1:$A$2000, MATCH(0, IF($AD$1*1=$C$1:$C$2090*1, COUNTIF($AD$1:$AD150, $A$1:$A$2000), ""), 0)),"")</f>
        <v/>
      </c>
      <c r="AE151" s="57" t="str">
        <f t="shared" si="24"/>
        <v/>
      </c>
      <c r="AF151" s="18" t="str">
        <f t="shared" si="25"/>
        <v/>
      </c>
      <c r="AG151" s="18" t="str">
        <f t="shared" si="26"/>
        <v/>
      </c>
      <c r="AH151" s="18" t="str">
        <f t="shared" si="27"/>
        <v/>
      </c>
      <c r="AI151" s="18" t="str">
        <f t="shared" si="28"/>
        <v/>
      </c>
      <c r="AJ151" s="18" t="str">
        <f t="shared" si="29"/>
        <v/>
      </c>
      <c r="AK151" s="18" t="str">
        <f t="shared" si="30"/>
        <v/>
      </c>
      <c r="AL151" s="18" t="str">
        <f t="shared" si="31"/>
        <v/>
      </c>
      <c r="AM151" s="18" t="str">
        <f t="shared" si="32"/>
        <v/>
      </c>
    </row>
    <row r="152" spans="1:39" x14ac:dyDescent="0.35">
      <c r="A152" s="56" t="s">
        <v>220</v>
      </c>
      <c r="B152" s="58">
        <v>12250</v>
      </c>
      <c r="C152" s="58" t="s">
        <v>35</v>
      </c>
      <c r="D152" s="58">
        <v>144</v>
      </c>
      <c r="E152" s="58">
        <v>1</v>
      </c>
      <c r="F152" s="58">
        <v>0.69930069930069927</v>
      </c>
      <c r="G152" s="58">
        <v>2</v>
      </c>
      <c r="H152" s="58">
        <v>116.23</v>
      </c>
      <c r="I152" s="58">
        <v>0.05</v>
      </c>
      <c r="J152" s="58">
        <v>-0.5</v>
      </c>
      <c r="K152" s="58">
        <v>-90.909090909090907</v>
      </c>
      <c r="L152" s="58">
        <v>75</v>
      </c>
      <c r="M152" s="58">
        <v>27900</v>
      </c>
      <c r="N152" s="58">
        <v>15136.95</v>
      </c>
      <c r="O152" s="58">
        <v>12250</v>
      </c>
      <c r="P152" s="58" t="s">
        <v>35</v>
      </c>
      <c r="Q152" s="58">
        <v>0</v>
      </c>
      <c r="R152" s="58">
        <v>0</v>
      </c>
      <c r="S152" s="58">
        <v>0</v>
      </c>
      <c r="T152" s="58">
        <v>0</v>
      </c>
      <c r="U152" s="58">
        <v>0</v>
      </c>
      <c r="V152" s="58">
        <v>0</v>
      </c>
      <c r="W152" s="58">
        <v>0</v>
      </c>
      <c r="X152" s="58">
        <v>0</v>
      </c>
      <c r="Y152" s="58">
        <v>6375</v>
      </c>
      <c r="Z152" s="58">
        <v>9300</v>
      </c>
      <c r="AA152" s="58">
        <v>15136.95</v>
      </c>
      <c r="AD152" s="18" t="str">
        <f t="array" ref="AD152">IFERROR(INDEX($A$1:$A$2000, MATCH(0, IF($AD$1*1=$C$1:$C$2090*1, COUNTIF($AD$1:$AD151, $A$1:$A$2000), ""), 0)),"")</f>
        <v/>
      </c>
      <c r="AE152" s="57" t="str">
        <f t="shared" si="24"/>
        <v/>
      </c>
      <c r="AF152" s="18" t="str">
        <f t="shared" si="25"/>
        <v/>
      </c>
      <c r="AG152" s="18" t="str">
        <f t="shared" si="26"/>
        <v/>
      </c>
      <c r="AH152" s="18" t="str">
        <f t="shared" si="27"/>
        <v/>
      </c>
      <c r="AI152" s="18" t="str">
        <f t="shared" si="28"/>
        <v/>
      </c>
      <c r="AJ152" s="18" t="str">
        <f t="shared" si="29"/>
        <v/>
      </c>
      <c r="AK152" s="18" t="str">
        <f t="shared" si="30"/>
        <v/>
      </c>
      <c r="AL152" s="18" t="str">
        <f t="shared" si="31"/>
        <v/>
      </c>
      <c r="AM152" s="18" t="str">
        <f t="shared" si="32"/>
        <v/>
      </c>
    </row>
    <row r="153" spans="1:39" x14ac:dyDescent="0.35">
      <c r="A153" s="56" t="s">
        <v>221</v>
      </c>
      <c r="B153" s="58">
        <v>12250</v>
      </c>
      <c r="C153" s="58" t="s">
        <v>36</v>
      </c>
      <c r="D153" s="58">
        <v>0</v>
      </c>
      <c r="E153" s="58">
        <v>0</v>
      </c>
      <c r="F153" s="58">
        <v>0</v>
      </c>
      <c r="G153" s="58">
        <v>0</v>
      </c>
      <c r="H153" s="58">
        <v>0</v>
      </c>
      <c r="I153" s="58">
        <v>0</v>
      </c>
      <c r="J153" s="58">
        <v>0</v>
      </c>
      <c r="K153" s="58">
        <v>0</v>
      </c>
      <c r="L153" s="58">
        <v>0</v>
      </c>
      <c r="M153" s="58">
        <v>0</v>
      </c>
      <c r="N153" s="58">
        <v>15136.95</v>
      </c>
      <c r="O153" s="58">
        <v>12250</v>
      </c>
      <c r="P153" s="58" t="s">
        <v>36</v>
      </c>
      <c r="Q153" s="58">
        <v>0</v>
      </c>
      <c r="R153" s="58">
        <v>0</v>
      </c>
      <c r="S153" s="58">
        <v>0</v>
      </c>
      <c r="T153" s="58">
        <v>0</v>
      </c>
      <c r="U153" s="58">
        <v>0</v>
      </c>
      <c r="V153" s="58">
        <v>0</v>
      </c>
      <c r="W153" s="58">
        <v>0</v>
      </c>
      <c r="X153" s="58">
        <v>0</v>
      </c>
      <c r="Y153" s="58">
        <v>4875</v>
      </c>
      <c r="Z153" s="58">
        <v>4875</v>
      </c>
      <c r="AA153" s="58">
        <v>15136.95</v>
      </c>
      <c r="AD153" s="18" t="str">
        <f t="array" ref="AD153">IFERROR(INDEX($A$1:$A$2000, MATCH(0, IF($AD$1*1=$C$1:$C$2090*1, COUNTIF($AD$1:$AD152, $A$1:$A$2000), ""), 0)),"")</f>
        <v/>
      </c>
      <c r="AE153" s="57" t="str">
        <f t="shared" si="24"/>
        <v/>
      </c>
      <c r="AF153" s="18" t="str">
        <f t="shared" si="25"/>
        <v/>
      </c>
      <c r="AG153" s="18" t="str">
        <f t="shared" si="26"/>
        <v/>
      </c>
      <c r="AH153" s="18" t="str">
        <f t="shared" si="27"/>
        <v/>
      </c>
      <c r="AI153" s="18" t="str">
        <f t="shared" si="28"/>
        <v/>
      </c>
      <c r="AJ153" s="18" t="str">
        <f t="shared" si="29"/>
        <v/>
      </c>
      <c r="AK153" s="18" t="str">
        <f t="shared" si="30"/>
        <v/>
      </c>
      <c r="AL153" s="18" t="str">
        <f t="shared" si="31"/>
        <v/>
      </c>
      <c r="AM153" s="18" t="str">
        <f t="shared" si="32"/>
        <v/>
      </c>
    </row>
    <row r="154" spans="1:39" x14ac:dyDescent="0.35">
      <c r="A154" s="56" t="s">
        <v>222</v>
      </c>
      <c r="B154" s="58">
        <v>0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58">
        <v>12250</v>
      </c>
      <c r="P154" s="58" t="s">
        <v>37</v>
      </c>
      <c r="Q154" s="58">
        <v>0</v>
      </c>
      <c r="R154" s="58">
        <v>0</v>
      </c>
      <c r="S154" s="58">
        <v>0</v>
      </c>
      <c r="T154" s="58">
        <v>0</v>
      </c>
      <c r="U154" s="58">
        <v>0</v>
      </c>
      <c r="V154" s="58">
        <v>0</v>
      </c>
      <c r="W154" s="58">
        <v>0</v>
      </c>
      <c r="X154" s="58">
        <v>0</v>
      </c>
      <c r="Y154" s="58">
        <v>4875</v>
      </c>
      <c r="Z154" s="58">
        <v>4875</v>
      </c>
      <c r="AA154" s="58">
        <v>15136.95</v>
      </c>
      <c r="AD154" s="18" t="str">
        <f t="array" ref="AD154">IFERROR(INDEX($A$1:$A$2000, MATCH(0, IF($AD$1*1=$C$1:$C$2090*1, COUNTIF($AD$1:$AD153, $A$1:$A$2000), ""), 0)),"")</f>
        <v/>
      </c>
      <c r="AE154" s="57" t="str">
        <f t="shared" si="24"/>
        <v/>
      </c>
      <c r="AF154" s="18" t="str">
        <f t="shared" si="25"/>
        <v/>
      </c>
      <c r="AG154" s="18" t="str">
        <f t="shared" si="26"/>
        <v/>
      </c>
      <c r="AH154" s="18" t="str">
        <f t="shared" si="27"/>
        <v/>
      </c>
      <c r="AI154" s="18" t="str">
        <f t="shared" si="28"/>
        <v/>
      </c>
      <c r="AJ154" s="18" t="str">
        <f t="shared" si="29"/>
        <v/>
      </c>
      <c r="AK154" s="18" t="str">
        <f t="shared" si="30"/>
        <v/>
      </c>
      <c r="AL154" s="18" t="str">
        <f t="shared" si="31"/>
        <v/>
      </c>
      <c r="AM154" s="18" t="str">
        <f t="shared" si="32"/>
        <v/>
      </c>
    </row>
    <row r="155" spans="1:39" x14ac:dyDescent="0.35">
      <c r="A155" s="56" t="s">
        <v>223</v>
      </c>
      <c r="B155" s="58">
        <v>0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58">
        <v>12250</v>
      </c>
      <c r="P155" s="58" t="s">
        <v>38</v>
      </c>
      <c r="Q155" s="58">
        <v>0</v>
      </c>
      <c r="R155" s="58">
        <v>0</v>
      </c>
      <c r="S155" s="58">
        <v>0</v>
      </c>
      <c r="T155" s="58">
        <v>0</v>
      </c>
      <c r="U155" s="58">
        <v>0</v>
      </c>
      <c r="V155" s="58">
        <v>0</v>
      </c>
      <c r="W155" s="58">
        <v>0</v>
      </c>
      <c r="X155" s="58">
        <v>0</v>
      </c>
      <c r="Y155" s="58">
        <v>4875</v>
      </c>
      <c r="Z155" s="58">
        <v>4875</v>
      </c>
      <c r="AA155" s="58">
        <v>15136.95</v>
      </c>
      <c r="AD155" s="18" t="str">
        <f t="array" ref="AD155">IFERROR(INDEX($A$1:$A$2000, MATCH(0, IF($AD$1*1=$C$1:$C$2090*1, COUNTIF($AD$1:$AD154, $A$1:$A$2000), ""), 0)),"")</f>
        <v/>
      </c>
      <c r="AE155" s="57" t="str">
        <f t="shared" si="24"/>
        <v/>
      </c>
      <c r="AF155" s="18" t="str">
        <f t="shared" si="25"/>
        <v/>
      </c>
      <c r="AG155" s="18" t="str">
        <f t="shared" si="26"/>
        <v/>
      </c>
      <c r="AH155" s="18" t="str">
        <f t="shared" si="27"/>
        <v/>
      </c>
      <c r="AI155" s="18" t="str">
        <f t="shared" si="28"/>
        <v/>
      </c>
      <c r="AJ155" s="18" t="str">
        <f t="shared" si="29"/>
        <v/>
      </c>
      <c r="AK155" s="18" t="str">
        <f t="shared" si="30"/>
        <v/>
      </c>
      <c r="AL155" s="18" t="str">
        <f t="shared" si="31"/>
        <v/>
      </c>
      <c r="AM155" s="18" t="str">
        <f t="shared" si="32"/>
        <v/>
      </c>
    </row>
    <row r="156" spans="1:39" x14ac:dyDescent="0.35">
      <c r="A156" s="56" t="s">
        <v>224</v>
      </c>
      <c r="B156" s="58">
        <v>0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58">
        <v>12250</v>
      </c>
      <c r="P156" s="58" t="s">
        <v>26</v>
      </c>
      <c r="Q156" s="58">
        <v>0</v>
      </c>
      <c r="R156" s="58">
        <v>0</v>
      </c>
      <c r="S156" s="58">
        <v>0</v>
      </c>
      <c r="T156" s="58">
        <v>0</v>
      </c>
      <c r="U156" s="58">
        <v>0</v>
      </c>
      <c r="V156" s="58">
        <v>0</v>
      </c>
      <c r="W156" s="58">
        <v>0</v>
      </c>
      <c r="X156" s="58">
        <v>0</v>
      </c>
      <c r="Y156" s="58">
        <v>7725</v>
      </c>
      <c r="Z156" s="58">
        <v>7725</v>
      </c>
      <c r="AA156" s="58">
        <v>15136.95</v>
      </c>
      <c r="AD156" s="18" t="str">
        <f t="array" ref="AD156">IFERROR(INDEX($A$1:$A$2000, MATCH(0, IF($AD$1*1=$C$1:$C$2090*1, COUNTIF($AD$1:$AD155, $A$1:$A$2000), ""), 0)),"")</f>
        <v/>
      </c>
      <c r="AE156" s="57" t="str">
        <f t="shared" si="24"/>
        <v/>
      </c>
      <c r="AF156" s="18" t="str">
        <f t="shared" si="25"/>
        <v/>
      </c>
      <c r="AG156" s="18" t="str">
        <f t="shared" si="26"/>
        <v/>
      </c>
      <c r="AH156" s="18" t="str">
        <f t="shared" si="27"/>
        <v/>
      </c>
      <c r="AI156" s="18" t="str">
        <f t="shared" si="28"/>
        <v/>
      </c>
      <c r="AJ156" s="18" t="str">
        <f t="shared" si="29"/>
        <v/>
      </c>
      <c r="AK156" s="18" t="str">
        <f t="shared" si="30"/>
        <v/>
      </c>
      <c r="AL156" s="18" t="str">
        <f t="shared" si="31"/>
        <v/>
      </c>
      <c r="AM156" s="18" t="str">
        <f t="shared" si="32"/>
        <v/>
      </c>
    </row>
    <row r="157" spans="1:39" x14ac:dyDescent="0.35">
      <c r="A157" s="56" t="s">
        <v>225</v>
      </c>
      <c r="B157" s="58">
        <v>0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58">
        <v>12250</v>
      </c>
      <c r="P157" s="58" t="s">
        <v>67</v>
      </c>
      <c r="Q157" s="58">
        <v>0</v>
      </c>
      <c r="R157" s="58">
        <v>0</v>
      </c>
      <c r="S157" s="58">
        <v>0</v>
      </c>
      <c r="T157" s="58">
        <v>0</v>
      </c>
      <c r="U157" s="58">
        <v>0</v>
      </c>
      <c r="V157" s="58">
        <v>0</v>
      </c>
      <c r="W157" s="58">
        <v>0</v>
      </c>
      <c r="X157" s="58">
        <v>0</v>
      </c>
      <c r="Y157" s="58">
        <v>4875</v>
      </c>
      <c r="Z157" s="58">
        <v>4875</v>
      </c>
      <c r="AA157" s="58">
        <v>15136.95</v>
      </c>
      <c r="AD157" s="18" t="str">
        <f t="array" ref="AD157">IFERROR(INDEX($A$1:$A$2000, MATCH(0, IF($AD$1*1=$C$1:$C$2090*1, COUNTIF($AD$1:$AD156, $A$1:$A$2000), ""), 0)),"")</f>
        <v/>
      </c>
      <c r="AE157" s="57" t="str">
        <f t="shared" si="24"/>
        <v/>
      </c>
      <c r="AF157" s="18" t="str">
        <f t="shared" si="25"/>
        <v/>
      </c>
      <c r="AG157" s="18" t="str">
        <f t="shared" si="26"/>
        <v/>
      </c>
      <c r="AH157" s="18" t="str">
        <f t="shared" si="27"/>
        <v/>
      </c>
      <c r="AI157" s="18" t="str">
        <f t="shared" si="28"/>
        <v/>
      </c>
      <c r="AJ157" s="18" t="str">
        <f t="shared" si="29"/>
        <v/>
      </c>
      <c r="AK157" s="18" t="str">
        <f t="shared" si="30"/>
        <v/>
      </c>
      <c r="AL157" s="18" t="str">
        <f t="shared" si="31"/>
        <v/>
      </c>
      <c r="AM157" s="18" t="str">
        <f t="shared" si="32"/>
        <v/>
      </c>
    </row>
    <row r="158" spans="1:39" x14ac:dyDescent="0.35">
      <c r="A158" s="56" t="s">
        <v>226</v>
      </c>
      <c r="B158" s="58">
        <v>12250</v>
      </c>
      <c r="C158" s="58" t="s">
        <v>2071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15136.95</v>
      </c>
      <c r="O158" s="58">
        <v>12250</v>
      </c>
      <c r="P158" s="58" t="s">
        <v>2071</v>
      </c>
      <c r="Q158" s="58">
        <v>0</v>
      </c>
      <c r="R158" s="58">
        <v>0</v>
      </c>
      <c r="S158" s="58">
        <v>0</v>
      </c>
      <c r="T158" s="58">
        <v>0</v>
      </c>
      <c r="U158" s="58">
        <v>0</v>
      </c>
      <c r="V158" s="58">
        <v>0</v>
      </c>
      <c r="W158" s="58">
        <v>0</v>
      </c>
      <c r="X158" s="58">
        <v>0</v>
      </c>
      <c r="Y158" s="58">
        <v>4875</v>
      </c>
      <c r="Z158" s="58">
        <v>4875</v>
      </c>
      <c r="AA158" s="58">
        <v>15136.95</v>
      </c>
      <c r="AD158" s="18" t="str">
        <f t="array" ref="AD158">IFERROR(INDEX($A$1:$A$2000, MATCH(0, IF($AD$1*1=$C$1:$C$2090*1, COUNTIF($AD$1:$AD157, $A$1:$A$2000), ""), 0)),"")</f>
        <v/>
      </c>
      <c r="AE158" s="57" t="str">
        <f t="shared" si="24"/>
        <v/>
      </c>
      <c r="AF158" s="18" t="str">
        <f t="shared" si="25"/>
        <v/>
      </c>
      <c r="AG158" s="18" t="str">
        <f t="shared" si="26"/>
        <v/>
      </c>
      <c r="AH158" s="18" t="str">
        <f t="shared" si="27"/>
        <v/>
      </c>
      <c r="AI158" s="18" t="str">
        <f t="shared" si="28"/>
        <v/>
      </c>
      <c r="AJ158" s="18" t="str">
        <f t="shared" si="29"/>
        <v/>
      </c>
      <c r="AK158" s="18" t="str">
        <f t="shared" si="30"/>
        <v/>
      </c>
      <c r="AL158" s="18" t="str">
        <f t="shared" si="31"/>
        <v/>
      </c>
      <c r="AM158" s="18" t="str">
        <f t="shared" si="32"/>
        <v/>
      </c>
    </row>
    <row r="159" spans="1:39" x14ac:dyDescent="0.35">
      <c r="A159" s="56" t="s">
        <v>227</v>
      </c>
      <c r="B159" s="58">
        <v>12250</v>
      </c>
      <c r="C159" s="58" t="s">
        <v>34</v>
      </c>
      <c r="D159" s="58">
        <v>0</v>
      </c>
      <c r="E159" s="58">
        <v>0</v>
      </c>
      <c r="F159" s="58">
        <v>0</v>
      </c>
      <c r="G159" s="58">
        <v>0</v>
      </c>
      <c r="H159" s="58">
        <v>0</v>
      </c>
      <c r="I159" s="58">
        <v>0</v>
      </c>
      <c r="J159" s="58">
        <v>0</v>
      </c>
      <c r="K159" s="58">
        <v>0</v>
      </c>
      <c r="L159" s="58">
        <v>10950</v>
      </c>
      <c r="M159" s="58">
        <v>0</v>
      </c>
      <c r="N159" s="58">
        <v>15136.95</v>
      </c>
      <c r="O159" s="58">
        <v>12250</v>
      </c>
      <c r="P159" s="58" t="s">
        <v>34</v>
      </c>
      <c r="Q159" s="58">
        <v>0</v>
      </c>
      <c r="R159" s="58">
        <v>0</v>
      </c>
      <c r="S159" s="58">
        <v>0</v>
      </c>
      <c r="T159" s="58">
        <v>0</v>
      </c>
      <c r="U159" s="58">
        <v>0</v>
      </c>
      <c r="V159" s="58">
        <v>0</v>
      </c>
      <c r="W159" s="58">
        <v>0</v>
      </c>
      <c r="X159" s="58">
        <v>0</v>
      </c>
      <c r="Y159" s="58">
        <v>7725</v>
      </c>
      <c r="Z159" s="58">
        <v>7725</v>
      </c>
      <c r="AA159" s="58">
        <v>15136.95</v>
      </c>
      <c r="AD159" s="18" t="str">
        <f t="array" ref="AD159">IFERROR(INDEX($A$1:$A$2000, MATCH(0, IF($AD$1*1=$C$1:$C$2090*1, COUNTIF($AD$1:$AD158, $A$1:$A$2000), ""), 0)),"")</f>
        <v/>
      </c>
      <c r="AE159" s="57" t="str">
        <f t="shared" si="24"/>
        <v/>
      </c>
      <c r="AF159" s="18" t="str">
        <f t="shared" si="25"/>
        <v/>
      </c>
      <c r="AG159" s="18" t="str">
        <f t="shared" si="26"/>
        <v/>
      </c>
      <c r="AH159" s="18" t="str">
        <f t="shared" si="27"/>
        <v/>
      </c>
      <c r="AI159" s="18" t="str">
        <f t="shared" si="28"/>
        <v/>
      </c>
      <c r="AJ159" s="18" t="str">
        <f t="shared" si="29"/>
        <v/>
      </c>
      <c r="AK159" s="18" t="str">
        <f t="shared" si="30"/>
        <v/>
      </c>
      <c r="AL159" s="18" t="str">
        <f t="shared" si="31"/>
        <v/>
      </c>
      <c r="AM159" s="18" t="str">
        <f t="shared" si="32"/>
        <v/>
      </c>
    </row>
    <row r="160" spans="1:39" x14ac:dyDescent="0.35">
      <c r="A160" s="56" t="s">
        <v>228</v>
      </c>
      <c r="B160" s="58">
        <v>12250</v>
      </c>
      <c r="C160" s="58" t="s">
        <v>33</v>
      </c>
      <c r="D160" s="58">
        <v>62</v>
      </c>
      <c r="E160" s="58">
        <v>0</v>
      </c>
      <c r="F160" s="58">
        <v>0</v>
      </c>
      <c r="G160" s="58">
        <v>0</v>
      </c>
      <c r="H160" s="58">
        <v>0</v>
      </c>
      <c r="I160" s="58">
        <v>0</v>
      </c>
      <c r="J160" s="58">
        <v>0</v>
      </c>
      <c r="K160" s="58">
        <v>0</v>
      </c>
      <c r="L160" s="58">
        <v>6150</v>
      </c>
      <c r="M160" s="58">
        <v>0</v>
      </c>
      <c r="N160" s="58">
        <v>15136.95</v>
      </c>
      <c r="O160" s="58">
        <v>12250</v>
      </c>
      <c r="P160" s="58" t="s">
        <v>33</v>
      </c>
      <c r="Q160" s="58">
        <v>1</v>
      </c>
      <c r="R160" s="58">
        <v>0</v>
      </c>
      <c r="S160" s="58">
        <v>0</v>
      </c>
      <c r="T160" s="58">
        <v>0</v>
      </c>
      <c r="U160" s="58">
        <v>0</v>
      </c>
      <c r="V160" s="58">
        <v>0</v>
      </c>
      <c r="W160" s="58">
        <v>0</v>
      </c>
      <c r="X160" s="58">
        <v>0</v>
      </c>
      <c r="Y160" s="58">
        <v>14175</v>
      </c>
      <c r="Z160" s="58">
        <v>6375</v>
      </c>
      <c r="AA160" s="58">
        <v>15136.95</v>
      </c>
      <c r="AD160" s="18" t="str">
        <f t="array" ref="AD160">IFERROR(INDEX($A$1:$A$2000, MATCH(0, IF($AD$1*1=$C$1:$C$2090*1, COUNTIF($AD$1:$AD159, $A$1:$A$2000), ""), 0)),"")</f>
        <v/>
      </c>
      <c r="AE160" s="57" t="str">
        <f t="shared" si="24"/>
        <v/>
      </c>
      <c r="AF160" s="18" t="str">
        <f t="shared" si="25"/>
        <v/>
      </c>
      <c r="AG160" s="18" t="str">
        <f t="shared" si="26"/>
        <v/>
      </c>
      <c r="AH160" s="18" t="str">
        <f t="shared" si="27"/>
        <v/>
      </c>
      <c r="AI160" s="18" t="str">
        <f t="shared" si="28"/>
        <v/>
      </c>
      <c r="AJ160" s="18" t="str">
        <f t="shared" si="29"/>
        <v/>
      </c>
      <c r="AK160" s="18" t="str">
        <f t="shared" si="30"/>
        <v/>
      </c>
      <c r="AL160" s="18" t="str">
        <f t="shared" si="31"/>
        <v/>
      </c>
      <c r="AM160" s="18" t="str">
        <f t="shared" si="32"/>
        <v/>
      </c>
    </row>
    <row r="161" spans="1:39" x14ac:dyDescent="0.35">
      <c r="A161" s="56" t="s">
        <v>229</v>
      </c>
      <c r="B161" s="58">
        <v>12300</v>
      </c>
      <c r="C161" s="58" t="s">
        <v>34</v>
      </c>
      <c r="D161" s="58">
        <v>0</v>
      </c>
      <c r="E161" s="58">
        <v>0</v>
      </c>
      <c r="F161" s="58">
        <v>0</v>
      </c>
      <c r="G161" s="58">
        <v>0</v>
      </c>
      <c r="H161" s="58">
        <v>0</v>
      </c>
      <c r="I161" s="58">
        <v>0</v>
      </c>
      <c r="J161" s="58">
        <v>0</v>
      </c>
      <c r="K161" s="58">
        <v>0</v>
      </c>
      <c r="L161" s="58">
        <v>25050</v>
      </c>
      <c r="M161" s="58">
        <v>0</v>
      </c>
      <c r="N161" s="58">
        <v>15136.95</v>
      </c>
      <c r="O161" s="58">
        <v>12300</v>
      </c>
      <c r="P161" s="58" t="s">
        <v>34</v>
      </c>
      <c r="Q161" s="58">
        <v>0</v>
      </c>
      <c r="R161" s="58">
        <v>0</v>
      </c>
      <c r="S161" s="58">
        <v>0</v>
      </c>
      <c r="T161" s="58">
        <v>0</v>
      </c>
      <c r="U161" s="58">
        <v>0</v>
      </c>
      <c r="V161" s="58">
        <v>0</v>
      </c>
      <c r="W161" s="58">
        <v>0</v>
      </c>
      <c r="X161" s="58">
        <v>0</v>
      </c>
      <c r="Y161" s="58">
        <v>7725</v>
      </c>
      <c r="Z161" s="58">
        <v>7725</v>
      </c>
      <c r="AA161" s="58">
        <v>15136.95</v>
      </c>
      <c r="AD161" s="18" t="str">
        <f t="array" ref="AD161">IFERROR(INDEX($A$1:$A$2000, MATCH(0, IF($AD$1*1=$C$1:$C$2090*1, COUNTIF($AD$1:$AD160, $A$1:$A$2000), ""), 0)),"")</f>
        <v/>
      </c>
      <c r="AE161" s="57" t="str">
        <f t="shared" si="24"/>
        <v/>
      </c>
      <c r="AF161" s="18" t="str">
        <f t="shared" si="25"/>
        <v/>
      </c>
      <c r="AG161" s="18" t="str">
        <f t="shared" si="26"/>
        <v/>
      </c>
      <c r="AH161" s="18" t="str">
        <f t="shared" si="27"/>
        <v/>
      </c>
      <c r="AI161" s="18" t="str">
        <f t="shared" si="28"/>
        <v/>
      </c>
      <c r="AJ161" s="18" t="str">
        <f t="shared" si="29"/>
        <v/>
      </c>
      <c r="AK161" s="18" t="str">
        <f t="shared" si="30"/>
        <v/>
      </c>
      <c r="AL161" s="18" t="str">
        <f t="shared" si="31"/>
        <v/>
      </c>
      <c r="AM161" s="18" t="str">
        <f t="shared" si="32"/>
        <v/>
      </c>
    </row>
    <row r="162" spans="1:39" x14ac:dyDescent="0.35">
      <c r="A162" s="56" t="s">
        <v>230</v>
      </c>
      <c r="B162" s="58">
        <v>0</v>
      </c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58">
        <v>0</v>
      </c>
      <c r="I162" s="58">
        <v>0</v>
      </c>
      <c r="J162" s="58">
        <v>0</v>
      </c>
      <c r="K162" s="58">
        <v>0</v>
      </c>
      <c r="L162" s="58">
        <v>0</v>
      </c>
      <c r="M162" s="58">
        <v>0</v>
      </c>
      <c r="N162" s="58">
        <v>0</v>
      </c>
      <c r="O162" s="58">
        <v>12300</v>
      </c>
      <c r="P162" s="58" t="s">
        <v>36</v>
      </c>
      <c r="Q162" s="58">
        <v>0</v>
      </c>
      <c r="R162" s="58">
        <v>0</v>
      </c>
      <c r="S162" s="58">
        <v>0</v>
      </c>
      <c r="T162" s="58">
        <v>0</v>
      </c>
      <c r="U162" s="58">
        <v>0</v>
      </c>
      <c r="V162" s="58">
        <v>0</v>
      </c>
      <c r="W162" s="58">
        <v>0</v>
      </c>
      <c r="X162" s="58">
        <v>0</v>
      </c>
      <c r="Y162" s="58">
        <v>4875</v>
      </c>
      <c r="Z162" s="58">
        <v>4875</v>
      </c>
      <c r="AA162" s="58">
        <v>15136.95</v>
      </c>
      <c r="AD162" s="18" t="str">
        <f t="array" ref="AD162">IFERROR(INDEX($A$1:$A$2000, MATCH(0, IF($AD$1*1=$C$1:$C$2090*1, COUNTIF($AD$1:$AD161, $A$1:$A$2000), ""), 0)),"")</f>
        <v/>
      </c>
      <c r="AE162" s="57" t="str">
        <f t="shared" si="24"/>
        <v/>
      </c>
      <c r="AF162" s="18" t="str">
        <f t="shared" si="25"/>
        <v/>
      </c>
      <c r="AG162" s="18" t="str">
        <f t="shared" si="26"/>
        <v/>
      </c>
      <c r="AH162" s="18" t="str">
        <f t="shared" si="27"/>
        <v/>
      </c>
      <c r="AI162" s="18" t="str">
        <f t="shared" si="28"/>
        <v/>
      </c>
      <c r="AJ162" s="18" t="str">
        <f t="shared" si="29"/>
        <v/>
      </c>
      <c r="AK162" s="18" t="str">
        <f t="shared" si="30"/>
        <v/>
      </c>
      <c r="AL162" s="18" t="str">
        <f t="shared" si="31"/>
        <v/>
      </c>
      <c r="AM162" s="18" t="str">
        <f t="shared" si="32"/>
        <v/>
      </c>
    </row>
    <row r="163" spans="1:39" x14ac:dyDescent="0.35">
      <c r="A163" s="56" t="s">
        <v>231</v>
      </c>
      <c r="B163" s="58">
        <v>0</v>
      </c>
      <c r="C163" s="58">
        <v>0</v>
      </c>
      <c r="D163" s="58">
        <v>0</v>
      </c>
      <c r="E163" s="58">
        <v>0</v>
      </c>
      <c r="F163" s="58">
        <v>0</v>
      </c>
      <c r="G163" s="58">
        <v>0</v>
      </c>
      <c r="H163" s="58">
        <v>0</v>
      </c>
      <c r="I163" s="58">
        <v>0</v>
      </c>
      <c r="J163" s="58">
        <v>0</v>
      </c>
      <c r="K163" s="58">
        <v>0</v>
      </c>
      <c r="L163" s="58">
        <v>0</v>
      </c>
      <c r="M163" s="58">
        <v>0</v>
      </c>
      <c r="N163" s="58">
        <v>0</v>
      </c>
      <c r="O163" s="58">
        <v>12300</v>
      </c>
      <c r="P163" s="58" t="s">
        <v>37</v>
      </c>
      <c r="Q163" s="58">
        <v>0</v>
      </c>
      <c r="R163" s="58">
        <v>0</v>
      </c>
      <c r="S163" s="58">
        <v>0</v>
      </c>
      <c r="T163" s="58">
        <v>0</v>
      </c>
      <c r="U163" s="58">
        <v>0</v>
      </c>
      <c r="V163" s="58">
        <v>0</v>
      </c>
      <c r="W163" s="58">
        <v>0</v>
      </c>
      <c r="X163" s="58">
        <v>0</v>
      </c>
      <c r="Y163" s="58">
        <v>4875</v>
      </c>
      <c r="Z163" s="58">
        <v>4875</v>
      </c>
      <c r="AA163" s="58">
        <v>15136.95</v>
      </c>
      <c r="AD163" s="18" t="str">
        <f t="array" ref="AD163">IFERROR(INDEX($A$1:$A$2000, MATCH(0, IF($AD$1*1=$C$1:$C$2090*1, COUNTIF($AD$1:$AD162, $A$1:$A$2000), ""), 0)),"")</f>
        <v/>
      </c>
      <c r="AE163" s="57" t="str">
        <f t="shared" si="24"/>
        <v/>
      </c>
      <c r="AF163" s="18" t="str">
        <f t="shared" si="25"/>
        <v/>
      </c>
      <c r="AG163" s="18" t="str">
        <f t="shared" si="26"/>
        <v/>
      </c>
      <c r="AH163" s="18" t="str">
        <f t="shared" si="27"/>
        <v/>
      </c>
      <c r="AI163" s="18" t="str">
        <f t="shared" si="28"/>
        <v/>
      </c>
      <c r="AJ163" s="18" t="str">
        <f t="shared" si="29"/>
        <v/>
      </c>
      <c r="AK163" s="18" t="str">
        <f t="shared" si="30"/>
        <v/>
      </c>
      <c r="AL163" s="18" t="str">
        <f t="shared" si="31"/>
        <v/>
      </c>
      <c r="AM163" s="18" t="str">
        <f t="shared" si="32"/>
        <v/>
      </c>
    </row>
    <row r="164" spans="1:39" x14ac:dyDescent="0.35">
      <c r="A164" s="56" t="s">
        <v>232</v>
      </c>
      <c r="B164" s="58">
        <v>0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58">
        <v>12300</v>
      </c>
      <c r="P164" s="58" t="s">
        <v>38</v>
      </c>
      <c r="Q164" s="58">
        <v>0</v>
      </c>
      <c r="R164" s="58">
        <v>0</v>
      </c>
      <c r="S164" s="58">
        <v>0</v>
      </c>
      <c r="T164" s="58">
        <v>0</v>
      </c>
      <c r="U164" s="58">
        <v>0</v>
      </c>
      <c r="V164" s="58">
        <v>0</v>
      </c>
      <c r="W164" s="58">
        <v>0</v>
      </c>
      <c r="X164" s="58">
        <v>0</v>
      </c>
      <c r="Y164" s="58">
        <v>4875</v>
      </c>
      <c r="Z164" s="58">
        <v>4875</v>
      </c>
      <c r="AA164" s="58">
        <v>15136.95</v>
      </c>
      <c r="AD164" s="18" t="str">
        <f t="array" ref="AD164">IFERROR(INDEX($A$1:$A$2000, MATCH(0, IF($AD$1*1=$C$1:$C$2090*1, COUNTIF($AD$1:$AD163, $A$1:$A$2000), ""), 0)),"")</f>
        <v/>
      </c>
      <c r="AE164" s="57" t="str">
        <f t="shared" si="24"/>
        <v/>
      </c>
      <c r="AF164" s="18" t="str">
        <f t="shared" si="25"/>
        <v/>
      </c>
      <c r="AG164" s="18" t="str">
        <f t="shared" si="26"/>
        <v/>
      </c>
      <c r="AH164" s="18" t="str">
        <f t="shared" si="27"/>
        <v/>
      </c>
      <c r="AI164" s="18" t="str">
        <f t="shared" si="28"/>
        <v/>
      </c>
      <c r="AJ164" s="18" t="str">
        <f t="shared" si="29"/>
        <v/>
      </c>
      <c r="AK164" s="18" t="str">
        <f t="shared" si="30"/>
        <v/>
      </c>
      <c r="AL164" s="18" t="str">
        <f t="shared" si="31"/>
        <v/>
      </c>
      <c r="AM164" s="18" t="str">
        <f t="shared" si="32"/>
        <v/>
      </c>
    </row>
    <row r="165" spans="1:39" x14ac:dyDescent="0.35">
      <c r="A165" s="56" t="s">
        <v>233</v>
      </c>
      <c r="B165" s="58">
        <v>12300</v>
      </c>
      <c r="C165" s="58" t="s">
        <v>26</v>
      </c>
      <c r="D165" s="58">
        <v>0</v>
      </c>
      <c r="E165" s="58">
        <v>0</v>
      </c>
      <c r="F165" s="58">
        <v>0</v>
      </c>
      <c r="G165" s="58">
        <v>0</v>
      </c>
      <c r="H165" s="58">
        <v>0</v>
      </c>
      <c r="I165" s="58">
        <v>0</v>
      </c>
      <c r="J165" s="58">
        <v>0</v>
      </c>
      <c r="K165" s="58">
        <v>0</v>
      </c>
      <c r="L165" s="58">
        <v>1500</v>
      </c>
      <c r="M165" s="58">
        <v>0</v>
      </c>
      <c r="N165" s="58">
        <v>15136.95</v>
      </c>
      <c r="O165" s="58">
        <v>12300</v>
      </c>
      <c r="P165" s="58" t="s">
        <v>26</v>
      </c>
      <c r="Q165" s="58">
        <v>0</v>
      </c>
      <c r="R165" s="58">
        <v>0</v>
      </c>
      <c r="S165" s="58">
        <v>0</v>
      </c>
      <c r="T165" s="58">
        <v>0</v>
      </c>
      <c r="U165" s="58">
        <v>0</v>
      </c>
      <c r="V165" s="58">
        <v>0</v>
      </c>
      <c r="W165" s="58">
        <v>0</v>
      </c>
      <c r="X165" s="58">
        <v>0</v>
      </c>
      <c r="Y165" s="58">
        <v>12675</v>
      </c>
      <c r="Z165" s="58">
        <v>7725</v>
      </c>
      <c r="AA165" s="58">
        <v>15136.95</v>
      </c>
      <c r="AD165" s="18" t="str">
        <f t="array" ref="AD165">IFERROR(INDEX($A$1:$A$2000, MATCH(0, IF($AD$1*1=$C$1:$C$2090*1, COUNTIF($AD$1:$AD164, $A$1:$A$2000), ""), 0)),"")</f>
        <v/>
      </c>
      <c r="AE165" s="57" t="str">
        <f t="shared" si="24"/>
        <v/>
      </c>
      <c r="AF165" s="18" t="str">
        <f t="shared" si="25"/>
        <v/>
      </c>
      <c r="AG165" s="18" t="str">
        <f t="shared" si="26"/>
        <v/>
      </c>
      <c r="AH165" s="18" t="str">
        <f t="shared" si="27"/>
        <v/>
      </c>
      <c r="AI165" s="18" t="str">
        <f t="shared" si="28"/>
        <v/>
      </c>
      <c r="AJ165" s="18" t="str">
        <f t="shared" si="29"/>
        <v/>
      </c>
      <c r="AK165" s="18" t="str">
        <f t="shared" si="30"/>
        <v/>
      </c>
      <c r="AL165" s="18" t="str">
        <f t="shared" si="31"/>
        <v/>
      </c>
      <c r="AM165" s="18" t="str">
        <f t="shared" si="32"/>
        <v/>
      </c>
    </row>
    <row r="166" spans="1:39" x14ac:dyDescent="0.35">
      <c r="A166" s="56" t="s">
        <v>234</v>
      </c>
      <c r="B166" s="58">
        <v>0</v>
      </c>
      <c r="C166" s="58">
        <v>0</v>
      </c>
      <c r="D166" s="58">
        <v>0</v>
      </c>
      <c r="E166" s="58">
        <v>0</v>
      </c>
      <c r="F166" s="58">
        <v>0</v>
      </c>
      <c r="G166" s="58">
        <v>0</v>
      </c>
      <c r="H166" s="58">
        <v>0</v>
      </c>
      <c r="I166" s="58">
        <v>0</v>
      </c>
      <c r="J166" s="58">
        <v>0</v>
      </c>
      <c r="K166" s="58">
        <v>0</v>
      </c>
      <c r="L166" s="58">
        <v>0</v>
      </c>
      <c r="M166" s="58">
        <v>0</v>
      </c>
      <c r="N166" s="58">
        <v>0</v>
      </c>
      <c r="O166" s="58">
        <v>12300</v>
      </c>
      <c r="P166" s="58" t="s">
        <v>67</v>
      </c>
      <c r="Q166" s="58">
        <v>0</v>
      </c>
      <c r="R166" s="58">
        <v>0</v>
      </c>
      <c r="S166" s="58">
        <v>0</v>
      </c>
      <c r="T166" s="58">
        <v>0</v>
      </c>
      <c r="U166" s="58">
        <v>0</v>
      </c>
      <c r="V166" s="58">
        <v>0</v>
      </c>
      <c r="W166" s="58">
        <v>0</v>
      </c>
      <c r="X166" s="58">
        <v>0</v>
      </c>
      <c r="Y166" s="58">
        <v>4875</v>
      </c>
      <c r="Z166" s="58">
        <v>4875</v>
      </c>
      <c r="AA166" s="58">
        <v>15136.95</v>
      </c>
      <c r="AD166" s="18" t="str">
        <f t="array" ref="AD166">IFERROR(INDEX($A$1:$A$2000, MATCH(0, IF($AD$1*1=$C$1:$C$2090*1, COUNTIF($AD$1:$AD165, $A$1:$A$2000), ""), 0)),"")</f>
        <v/>
      </c>
      <c r="AE166" s="57" t="str">
        <f t="shared" si="24"/>
        <v/>
      </c>
      <c r="AF166" s="18" t="str">
        <f t="shared" si="25"/>
        <v/>
      </c>
      <c r="AG166" s="18" t="str">
        <f t="shared" si="26"/>
        <v/>
      </c>
      <c r="AH166" s="18" t="str">
        <f t="shared" si="27"/>
        <v/>
      </c>
      <c r="AI166" s="18" t="str">
        <f t="shared" si="28"/>
        <v/>
      </c>
      <c r="AJ166" s="18" t="str">
        <f t="shared" si="29"/>
        <v/>
      </c>
      <c r="AK166" s="18" t="str">
        <f t="shared" si="30"/>
        <v/>
      </c>
      <c r="AL166" s="18" t="str">
        <f t="shared" si="31"/>
        <v/>
      </c>
      <c r="AM166" s="18" t="str">
        <f t="shared" si="32"/>
        <v/>
      </c>
    </row>
    <row r="167" spans="1:39" x14ac:dyDescent="0.35">
      <c r="A167" s="56" t="s">
        <v>235</v>
      </c>
      <c r="B167" s="58">
        <v>12300</v>
      </c>
      <c r="C167" s="58" t="s">
        <v>2071</v>
      </c>
      <c r="D167" s="58">
        <v>0</v>
      </c>
      <c r="E167" s="58">
        <v>0</v>
      </c>
      <c r="F167" s="58">
        <v>0</v>
      </c>
      <c r="G167" s="58">
        <v>0</v>
      </c>
      <c r="H167" s="58">
        <v>0</v>
      </c>
      <c r="I167" s="58">
        <v>0</v>
      </c>
      <c r="J167" s="58">
        <v>0</v>
      </c>
      <c r="K167" s="58">
        <v>0</v>
      </c>
      <c r="L167" s="58">
        <v>1350</v>
      </c>
      <c r="M167" s="58">
        <v>0</v>
      </c>
      <c r="N167" s="58">
        <v>15136.95</v>
      </c>
      <c r="O167" s="58">
        <v>12300</v>
      </c>
      <c r="P167" s="58" t="s">
        <v>2071</v>
      </c>
      <c r="Q167" s="58">
        <v>0</v>
      </c>
      <c r="R167" s="58">
        <v>0</v>
      </c>
      <c r="S167" s="58">
        <v>0</v>
      </c>
      <c r="T167" s="58">
        <v>0</v>
      </c>
      <c r="U167" s="58">
        <v>0</v>
      </c>
      <c r="V167" s="58">
        <v>0</v>
      </c>
      <c r="W167" s="58">
        <v>0</v>
      </c>
      <c r="X167" s="58">
        <v>0</v>
      </c>
      <c r="Y167" s="58">
        <v>9825</v>
      </c>
      <c r="Z167" s="58">
        <v>4875</v>
      </c>
      <c r="AA167" s="58">
        <v>15136.95</v>
      </c>
      <c r="AD167" s="18" t="str">
        <f t="array" ref="AD167">IFERROR(INDEX($A$1:$A$2000, MATCH(0, IF($AD$1*1=$C$1:$C$2090*1, COUNTIF($AD$1:$AD166, $A$1:$A$2000), ""), 0)),"")</f>
        <v/>
      </c>
      <c r="AE167" s="57" t="str">
        <f t="shared" si="24"/>
        <v/>
      </c>
      <c r="AF167" s="18" t="str">
        <f t="shared" si="25"/>
        <v/>
      </c>
      <c r="AG167" s="18" t="str">
        <f t="shared" si="26"/>
        <v/>
      </c>
      <c r="AH167" s="18" t="str">
        <f t="shared" si="27"/>
        <v/>
      </c>
      <c r="AI167" s="18" t="str">
        <f t="shared" si="28"/>
        <v/>
      </c>
      <c r="AJ167" s="18" t="str">
        <f t="shared" si="29"/>
        <v/>
      </c>
      <c r="AK167" s="18" t="str">
        <f t="shared" si="30"/>
        <v/>
      </c>
      <c r="AL167" s="18" t="str">
        <f t="shared" si="31"/>
        <v/>
      </c>
      <c r="AM167" s="18" t="str">
        <f t="shared" si="32"/>
        <v/>
      </c>
    </row>
    <row r="168" spans="1:39" x14ac:dyDescent="0.35">
      <c r="A168" s="56" t="s">
        <v>236</v>
      </c>
      <c r="B168" s="58">
        <v>12300</v>
      </c>
      <c r="C168" s="58" t="s">
        <v>29</v>
      </c>
      <c r="D168" s="58">
        <v>1</v>
      </c>
      <c r="E168" s="58">
        <v>0</v>
      </c>
      <c r="F168" s="58">
        <v>0</v>
      </c>
      <c r="G168" s="58">
        <v>0</v>
      </c>
      <c r="H168" s="58">
        <v>0</v>
      </c>
      <c r="I168" s="58">
        <v>0</v>
      </c>
      <c r="J168" s="58">
        <v>0</v>
      </c>
      <c r="K168" s="58">
        <v>0</v>
      </c>
      <c r="L168" s="58">
        <v>750</v>
      </c>
      <c r="M168" s="58">
        <v>0</v>
      </c>
      <c r="N168" s="58">
        <v>15136.95</v>
      </c>
      <c r="O168" s="58">
        <v>0</v>
      </c>
      <c r="P168" s="58">
        <v>0</v>
      </c>
      <c r="Q168" s="58">
        <v>0</v>
      </c>
      <c r="R168" s="58">
        <v>0</v>
      </c>
      <c r="S168" s="58">
        <v>0</v>
      </c>
      <c r="T168" s="58">
        <v>0</v>
      </c>
      <c r="U168" s="58">
        <v>0</v>
      </c>
      <c r="V168" s="58">
        <v>0</v>
      </c>
      <c r="W168" s="58">
        <v>0</v>
      </c>
      <c r="X168" s="58">
        <v>0</v>
      </c>
      <c r="Y168" s="58">
        <v>0</v>
      </c>
      <c r="Z168" s="58">
        <v>0</v>
      </c>
      <c r="AA168" s="58">
        <v>0</v>
      </c>
      <c r="AD168" s="18" t="str">
        <f t="array" ref="AD168">IFERROR(INDEX($A$1:$A$2000, MATCH(0, IF($AD$1*1=$C$1:$C$2090*1, COUNTIF($AD$1:$AD167, $A$1:$A$2000), ""), 0)),"")</f>
        <v/>
      </c>
      <c r="AE168" s="57" t="str">
        <f t="shared" si="24"/>
        <v/>
      </c>
      <c r="AF168" s="18" t="str">
        <f t="shared" si="25"/>
        <v/>
      </c>
      <c r="AG168" s="18" t="str">
        <f t="shared" si="26"/>
        <v/>
      </c>
      <c r="AH168" s="18" t="str">
        <f t="shared" si="27"/>
        <v/>
      </c>
      <c r="AI168" s="18" t="str">
        <f t="shared" si="28"/>
        <v/>
      </c>
      <c r="AJ168" s="18" t="str">
        <f t="shared" si="29"/>
        <v/>
      </c>
      <c r="AK168" s="18" t="str">
        <f t="shared" si="30"/>
        <v/>
      </c>
      <c r="AL168" s="18" t="str">
        <f t="shared" si="31"/>
        <v/>
      </c>
      <c r="AM168" s="18" t="str">
        <f t="shared" si="32"/>
        <v/>
      </c>
    </row>
    <row r="169" spans="1:39" x14ac:dyDescent="0.35">
      <c r="A169" s="56" t="s">
        <v>237</v>
      </c>
      <c r="B169" s="58">
        <v>12300</v>
      </c>
      <c r="C169" s="58" t="s">
        <v>35</v>
      </c>
      <c r="D169" s="58">
        <v>614</v>
      </c>
      <c r="E169" s="58">
        <v>61</v>
      </c>
      <c r="F169" s="58">
        <v>11.030741410488243</v>
      </c>
      <c r="G169" s="58">
        <v>269</v>
      </c>
      <c r="H169" s="58">
        <v>126.33</v>
      </c>
      <c r="I169" s="58">
        <v>0.15</v>
      </c>
      <c r="J169" s="58">
        <v>-0.5</v>
      </c>
      <c r="K169" s="58">
        <v>-76.92307692307692</v>
      </c>
      <c r="L169" s="58">
        <v>30450</v>
      </c>
      <c r="M169" s="58">
        <v>38250</v>
      </c>
      <c r="N169" s="58">
        <v>15136.95</v>
      </c>
      <c r="O169" s="58">
        <v>12300</v>
      </c>
      <c r="P169" s="58" t="s">
        <v>35</v>
      </c>
      <c r="Q169" s="58">
        <v>0</v>
      </c>
      <c r="R169" s="58">
        <v>0</v>
      </c>
      <c r="S169" s="58">
        <v>0</v>
      </c>
      <c r="T169" s="58">
        <v>0</v>
      </c>
      <c r="U169" s="58">
        <v>0</v>
      </c>
      <c r="V169" s="58">
        <v>0</v>
      </c>
      <c r="W169" s="58">
        <v>0</v>
      </c>
      <c r="X169" s="58">
        <v>0</v>
      </c>
      <c r="Y169" s="58">
        <v>6375</v>
      </c>
      <c r="Z169" s="58">
        <v>9300</v>
      </c>
      <c r="AA169" s="58">
        <v>15136.95</v>
      </c>
      <c r="AD169" s="18" t="str">
        <f t="array" ref="AD169">IFERROR(INDEX($A$1:$A$2000, MATCH(0, IF($AD$1*1=$C$1:$C$2090*1, COUNTIF($AD$1:$AD168, $A$1:$A$2000), ""), 0)),"")</f>
        <v/>
      </c>
      <c r="AE169" s="57" t="str">
        <f t="shared" si="24"/>
        <v/>
      </c>
      <c r="AF169" s="18" t="str">
        <f t="shared" si="25"/>
        <v/>
      </c>
      <c r="AG169" s="18" t="str">
        <f t="shared" si="26"/>
        <v/>
      </c>
      <c r="AH169" s="18" t="str">
        <f t="shared" si="27"/>
        <v/>
      </c>
      <c r="AI169" s="18" t="str">
        <f t="shared" si="28"/>
        <v/>
      </c>
      <c r="AJ169" s="18" t="str">
        <f t="shared" si="29"/>
        <v/>
      </c>
      <c r="AK169" s="18" t="str">
        <f t="shared" si="30"/>
        <v/>
      </c>
      <c r="AL169" s="18" t="str">
        <f t="shared" si="31"/>
        <v/>
      </c>
      <c r="AM169" s="18" t="str">
        <f t="shared" si="32"/>
        <v/>
      </c>
    </row>
    <row r="170" spans="1:39" x14ac:dyDescent="0.35">
      <c r="A170" s="56" t="s">
        <v>238</v>
      </c>
      <c r="B170" s="58">
        <v>12300</v>
      </c>
      <c r="C170" s="58" t="s">
        <v>33</v>
      </c>
      <c r="D170" s="58">
        <v>236</v>
      </c>
      <c r="E170" s="58">
        <v>-3</v>
      </c>
      <c r="F170" s="58">
        <v>-1.2552301255230125</v>
      </c>
      <c r="G170" s="58">
        <v>71</v>
      </c>
      <c r="H170" s="58">
        <v>48.96</v>
      </c>
      <c r="I170" s="58">
        <v>6.2</v>
      </c>
      <c r="J170" s="58">
        <v>-0.59999999999999964</v>
      </c>
      <c r="K170" s="58">
        <v>-8.8235294117647012</v>
      </c>
      <c r="L170" s="58">
        <v>6075</v>
      </c>
      <c r="M170" s="58">
        <v>10275</v>
      </c>
      <c r="N170" s="58">
        <v>15136.95</v>
      </c>
      <c r="O170" s="58">
        <v>12300</v>
      </c>
      <c r="P170" s="58" t="s">
        <v>33</v>
      </c>
      <c r="Q170" s="58">
        <v>45</v>
      </c>
      <c r="R170" s="58">
        <v>0</v>
      </c>
      <c r="S170" s="58">
        <v>0</v>
      </c>
      <c r="T170" s="58">
        <v>0</v>
      </c>
      <c r="U170" s="58">
        <v>0</v>
      </c>
      <c r="V170" s="58">
        <v>0</v>
      </c>
      <c r="W170" s="58">
        <v>0</v>
      </c>
      <c r="X170" s="58">
        <v>0</v>
      </c>
      <c r="Y170" s="58">
        <v>11475</v>
      </c>
      <c r="Z170" s="58">
        <v>14400</v>
      </c>
      <c r="AA170" s="58">
        <v>15136.95</v>
      </c>
      <c r="AD170" s="18" t="str">
        <f t="array" ref="AD170">IFERROR(INDEX($A$1:$A$2000, MATCH(0, IF($AD$1*1=$C$1:$C$2090*1, COUNTIF($AD$1:$AD169, $A$1:$A$2000), ""), 0)),"")</f>
        <v/>
      </c>
      <c r="AE170" s="57" t="str">
        <f t="shared" si="24"/>
        <v/>
      </c>
      <c r="AF170" s="18" t="str">
        <f t="shared" si="25"/>
        <v/>
      </c>
      <c r="AG170" s="18" t="str">
        <f t="shared" si="26"/>
        <v/>
      </c>
      <c r="AH170" s="18" t="str">
        <f t="shared" si="27"/>
        <v/>
      </c>
      <c r="AI170" s="18" t="str">
        <f t="shared" si="28"/>
        <v/>
      </c>
      <c r="AJ170" s="18" t="str">
        <f t="shared" si="29"/>
        <v/>
      </c>
      <c r="AK170" s="18" t="str">
        <f t="shared" si="30"/>
        <v/>
      </c>
      <c r="AL170" s="18" t="str">
        <f t="shared" si="31"/>
        <v/>
      </c>
      <c r="AM170" s="18" t="str">
        <f t="shared" si="32"/>
        <v/>
      </c>
    </row>
    <row r="171" spans="1:39" x14ac:dyDescent="0.35">
      <c r="A171" s="56" t="s">
        <v>239</v>
      </c>
      <c r="B171" s="58">
        <v>12350</v>
      </c>
      <c r="C171" s="58" t="s">
        <v>33</v>
      </c>
      <c r="D171" s="58">
        <v>50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8850</v>
      </c>
      <c r="M171" s="58">
        <v>0</v>
      </c>
      <c r="N171" s="58">
        <v>15136.95</v>
      </c>
      <c r="O171" s="58">
        <v>12350</v>
      </c>
      <c r="P171" s="58" t="s">
        <v>33</v>
      </c>
      <c r="Q171" s="58">
        <v>0</v>
      </c>
      <c r="R171" s="58">
        <v>0</v>
      </c>
      <c r="S171" s="58">
        <v>0</v>
      </c>
      <c r="T171" s="58">
        <v>0</v>
      </c>
      <c r="U171" s="58">
        <v>0</v>
      </c>
      <c r="V171" s="58">
        <v>0</v>
      </c>
      <c r="W171" s="58">
        <v>0</v>
      </c>
      <c r="X171" s="58">
        <v>0</v>
      </c>
      <c r="Y171" s="58">
        <v>14175</v>
      </c>
      <c r="Z171" s="58">
        <v>6375</v>
      </c>
      <c r="AA171" s="58">
        <v>15136.95</v>
      </c>
      <c r="AD171" s="18" t="str">
        <f t="array" ref="AD171">IFERROR(INDEX($A$1:$A$2000, MATCH(0, IF($AD$1*1=$C$1:$C$2090*1, COUNTIF($AD$1:$AD170, $A$1:$A$2000), ""), 0)),"")</f>
        <v/>
      </c>
      <c r="AE171" s="57" t="str">
        <f t="shared" si="24"/>
        <v/>
      </c>
      <c r="AF171" s="18" t="str">
        <f t="shared" si="25"/>
        <v/>
      </c>
      <c r="AG171" s="18" t="str">
        <f t="shared" si="26"/>
        <v/>
      </c>
      <c r="AH171" s="18" t="str">
        <f t="shared" si="27"/>
        <v/>
      </c>
      <c r="AI171" s="18" t="str">
        <f t="shared" si="28"/>
        <v/>
      </c>
      <c r="AJ171" s="18" t="str">
        <f t="shared" si="29"/>
        <v/>
      </c>
      <c r="AK171" s="18" t="str">
        <f t="shared" si="30"/>
        <v/>
      </c>
      <c r="AL171" s="18" t="str">
        <f t="shared" si="31"/>
        <v/>
      </c>
      <c r="AM171" s="18" t="str">
        <f t="shared" si="32"/>
        <v/>
      </c>
    </row>
    <row r="172" spans="1:39" x14ac:dyDescent="0.35">
      <c r="A172" s="56" t="s">
        <v>240</v>
      </c>
      <c r="B172" s="58">
        <v>0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58">
        <v>12350</v>
      </c>
      <c r="P172" s="58" t="s">
        <v>36</v>
      </c>
      <c r="Q172" s="58">
        <v>0</v>
      </c>
      <c r="R172" s="58">
        <v>0</v>
      </c>
      <c r="S172" s="58">
        <v>0</v>
      </c>
      <c r="T172" s="58">
        <v>0</v>
      </c>
      <c r="U172" s="58">
        <v>0</v>
      </c>
      <c r="V172" s="58">
        <v>0</v>
      </c>
      <c r="W172" s="58">
        <v>0</v>
      </c>
      <c r="X172" s="58">
        <v>0</v>
      </c>
      <c r="Y172" s="58">
        <v>4875</v>
      </c>
      <c r="Z172" s="58">
        <v>4875</v>
      </c>
      <c r="AA172" s="58">
        <v>15136.95</v>
      </c>
      <c r="AD172" s="18" t="str">
        <f t="array" ref="AD172">IFERROR(INDEX($A$1:$A$2000, MATCH(0, IF($AD$1*1=$C$1:$C$2090*1, COUNTIF($AD$1:$AD171, $A$1:$A$2000), ""), 0)),"")</f>
        <v/>
      </c>
      <c r="AE172" s="57" t="str">
        <f t="shared" si="24"/>
        <v/>
      </c>
      <c r="AF172" s="18" t="str">
        <f t="shared" si="25"/>
        <v/>
      </c>
      <c r="AG172" s="18" t="str">
        <f t="shared" si="26"/>
        <v/>
      </c>
      <c r="AH172" s="18" t="str">
        <f t="shared" si="27"/>
        <v/>
      </c>
      <c r="AI172" s="18" t="str">
        <f t="shared" si="28"/>
        <v/>
      </c>
      <c r="AJ172" s="18" t="str">
        <f t="shared" si="29"/>
        <v/>
      </c>
      <c r="AK172" s="18" t="str">
        <f t="shared" si="30"/>
        <v/>
      </c>
      <c r="AL172" s="18" t="str">
        <f t="shared" si="31"/>
        <v/>
      </c>
      <c r="AM172" s="18" t="str">
        <f t="shared" si="32"/>
        <v/>
      </c>
    </row>
    <row r="173" spans="1:39" x14ac:dyDescent="0.35">
      <c r="A173" s="56" t="s">
        <v>241</v>
      </c>
      <c r="B173" s="58">
        <v>0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58">
        <v>12350</v>
      </c>
      <c r="P173" s="58" t="s">
        <v>38</v>
      </c>
      <c r="Q173" s="58">
        <v>0</v>
      </c>
      <c r="R173" s="58">
        <v>0</v>
      </c>
      <c r="S173" s="58">
        <v>0</v>
      </c>
      <c r="T173" s="58">
        <v>0</v>
      </c>
      <c r="U173" s="58">
        <v>0</v>
      </c>
      <c r="V173" s="58">
        <v>0</v>
      </c>
      <c r="W173" s="58">
        <v>0</v>
      </c>
      <c r="X173" s="58">
        <v>0</v>
      </c>
      <c r="Y173" s="58">
        <v>4875</v>
      </c>
      <c r="Z173" s="58">
        <v>4875</v>
      </c>
      <c r="AA173" s="58">
        <v>15136.95</v>
      </c>
      <c r="AD173" s="18" t="str">
        <f t="array" ref="AD173">IFERROR(INDEX($A$1:$A$2000, MATCH(0, IF($AD$1*1=$C$1:$C$2090*1, COUNTIF($AD$1:$AD172, $A$1:$A$2000), ""), 0)),"")</f>
        <v/>
      </c>
      <c r="AE173" s="57" t="str">
        <f t="shared" si="24"/>
        <v/>
      </c>
      <c r="AF173" s="18" t="str">
        <f t="shared" si="25"/>
        <v/>
      </c>
      <c r="AG173" s="18" t="str">
        <f t="shared" si="26"/>
        <v/>
      </c>
      <c r="AH173" s="18" t="str">
        <f t="shared" si="27"/>
        <v/>
      </c>
      <c r="AI173" s="18" t="str">
        <f t="shared" si="28"/>
        <v/>
      </c>
      <c r="AJ173" s="18" t="str">
        <f t="shared" si="29"/>
        <v/>
      </c>
      <c r="AK173" s="18" t="str">
        <f t="shared" si="30"/>
        <v/>
      </c>
      <c r="AL173" s="18" t="str">
        <f t="shared" si="31"/>
        <v/>
      </c>
      <c r="AM173" s="18" t="str">
        <f t="shared" si="32"/>
        <v/>
      </c>
    </row>
    <row r="174" spans="1:39" x14ac:dyDescent="0.35">
      <c r="A174" s="56" t="s">
        <v>242</v>
      </c>
      <c r="B174" s="58">
        <v>12350</v>
      </c>
      <c r="C174" s="58" t="s">
        <v>26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15136.95</v>
      </c>
      <c r="O174" s="58">
        <v>12350</v>
      </c>
      <c r="P174" s="58" t="s">
        <v>26</v>
      </c>
      <c r="Q174" s="58">
        <v>0</v>
      </c>
      <c r="R174" s="58">
        <v>0</v>
      </c>
      <c r="S174" s="58">
        <v>0</v>
      </c>
      <c r="T174" s="58">
        <v>0</v>
      </c>
      <c r="U174" s="58">
        <v>0</v>
      </c>
      <c r="V174" s="58">
        <v>0</v>
      </c>
      <c r="W174" s="58">
        <v>0</v>
      </c>
      <c r="X174" s="58">
        <v>0</v>
      </c>
      <c r="Y174" s="58">
        <v>12675</v>
      </c>
      <c r="Z174" s="58">
        <v>7725</v>
      </c>
      <c r="AA174" s="58">
        <v>15136.95</v>
      </c>
      <c r="AD174" s="18" t="str">
        <f t="array" ref="AD174">IFERROR(INDEX($A$1:$A$2000, MATCH(0, IF($AD$1*1=$C$1:$C$2090*1, COUNTIF($AD$1:$AD173, $A$1:$A$2000), ""), 0)),"")</f>
        <v/>
      </c>
      <c r="AE174" s="57" t="str">
        <f t="shared" si="24"/>
        <v/>
      </c>
      <c r="AF174" s="18" t="str">
        <f t="shared" si="25"/>
        <v/>
      </c>
      <c r="AG174" s="18" t="str">
        <f t="shared" si="26"/>
        <v/>
      </c>
      <c r="AH174" s="18" t="str">
        <f t="shared" si="27"/>
        <v/>
      </c>
      <c r="AI174" s="18" t="str">
        <f t="shared" si="28"/>
        <v/>
      </c>
      <c r="AJ174" s="18" t="str">
        <f t="shared" si="29"/>
        <v/>
      </c>
      <c r="AK174" s="18" t="str">
        <f t="shared" si="30"/>
        <v/>
      </c>
      <c r="AL174" s="18" t="str">
        <f t="shared" si="31"/>
        <v/>
      </c>
      <c r="AM174" s="18" t="str">
        <f t="shared" si="32"/>
        <v/>
      </c>
    </row>
    <row r="175" spans="1:39" x14ac:dyDescent="0.35">
      <c r="A175" s="56" t="s">
        <v>243</v>
      </c>
      <c r="B175" s="58">
        <v>0</v>
      </c>
      <c r="C175" s="58">
        <v>0</v>
      </c>
      <c r="D175" s="58">
        <v>0</v>
      </c>
      <c r="E175" s="58">
        <v>0</v>
      </c>
      <c r="F175" s="58">
        <v>0</v>
      </c>
      <c r="G175" s="58">
        <v>0</v>
      </c>
      <c r="H175" s="58">
        <v>0</v>
      </c>
      <c r="I175" s="58">
        <v>0</v>
      </c>
      <c r="J175" s="58">
        <v>0</v>
      </c>
      <c r="K175" s="58">
        <v>0</v>
      </c>
      <c r="L175" s="58">
        <v>0</v>
      </c>
      <c r="M175" s="58">
        <v>0</v>
      </c>
      <c r="N175" s="58">
        <v>0</v>
      </c>
      <c r="O175" s="58">
        <v>12350</v>
      </c>
      <c r="P175" s="58" t="s">
        <v>67</v>
      </c>
      <c r="Q175" s="58">
        <v>0</v>
      </c>
      <c r="R175" s="58">
        <v>0</v>
      </c>
      <c r="S175" s="58">
        <v>0</v>
      </c>
      <c r="T175" s="58">
        <v>0</v>
      </c>
      <c r="U175" s="58">
        <v>0</v>
      </c>
      <c r="V175" s="58">
        <v>0</v>
      </c>
      <c r="W175" s="58">
        <v>0</v>
      </c>
      <c r="X175" s="58">
        <v>0</v>
      </c>
      <c r="Y175" s="58">
        <v>4875</v>
      </c>
      <c r="Z175" s="58">
        <v>4875</v>
      </c>
      <c r="AA175" s="58">
        <v>15136.95</v>
      </c>
      <c r="AD175" s="18" t="str">
        <f t="array" ref="AD175">IFERROR(INDEX($A$1:$A$2000, MATCH(0, IF($AD$1*1=$C$1:$C$2090*1, COUNTIF($AD$1:$AD174, $A$1:$A$2000), ""), 0)),"")</f>
        <v/>
      </c>
      <c r="AE175" s="57" t="str">
        <f t="shared" si="24"/>
        <v/>
      </c>
      <c r="AF175" s="18" t="str">
        <f t="shared" si="25"/>
        <v/>
      </c>
      <c r="AG175" s="18" t="str">
        <f t="shared" si="26"/>
        <v/>
      </c>
      <c r="AH175" s="18" t="str">
        <f t="shared" si="27"/>
        <v/>
      </c>
      <c r="AI175" s="18" t="str">
        <f t="shared" si="28"/>
        <v/>
      </c>
      <c r="AJ175" s="18" t="str">
        <f t="shared" si="29"/>
        <v/>
      </c>
      <c r="AK175" s="18" t="str">
        <f t="shared" si="30"/>
        <v/>
      </c>
      <c r="AL175" s="18" t="str">
        <f t="shared" si="31"/>
        <v/>
      </c>
      <c r="AM175" s="18" t="str">
        <f t="shared" si="32"/>
        <v/>
      </c>
    </row>
    <row r="176" spans="1:39" x14ac:dyDescent="0.35">
      <c r="A176" s="56" t="s">
        <v>244</v>
      </c>
      <c r="B176" s="58">
        <v>0</v>
      </c>
      <c r="C176" s="58">
        <v>0</v>
      </c>
      <c r="D176" s="58">
        <v>0</v>
      </c>
      <c r="E176" s="58">
        <v>0</v>
      </c>
      <c r="F176" s="58">
        <v>0</v>
      </c>
      <c r="G176" s="58">
        <v>0</v>
      </c>
      <c r="H176" s="58">
        <v>0</v>
      </c>
      <c r="I176" s="58">
        <v>0</v>
      </c>
      <c r="J176" s="58">
        <v>0</v>
      </c>
      <c r="K176" s="58">
        <v>0</v>
      </c>
      <c r="L176" s="58">
        <v>0</v>
      </c>
      <c r="M176" s="58">
        <v>0</v>
      </c>
      <c r="N176" s="58">
        <v>0</v>
      </c>
      <c r="O176" s="58">
        <v>12350</v>
      </c>
      <c r="P176" s="58" t="s">
        <v>2071</v>
      </c>
      <c r="Q176" s="58">
        <v>0</v>
      </c>
      <c r="R176" s="58">
        <v>0</v>
      </c>
      <c r="S176" s="58">
        <v>0</v>
      </c>
      <c r="T176" s="58">
        <v>0</v>
      </c>
      <c r="U176" s="58">
        <v>0</v>
      </c>
      <c r="V176" s="58">
        <v>0</v>
      </c>
      <c r="W176" s="58">
        <v>0</v>
      </c>
      <c r="X176" s="58">
        <v>0</v>
      </c>
      <c r="Y176" s="58">
        <v>9825</v>
      </c>
      <c r="Z176" s="58">
        <v>4875</v>
      </c>
      <c r="AA176" s="58">
        <v>15136.95</v>
      </c>
      <c r="AD176" s="18" t="str">
        <f t="array" ref="AD176">IFERROR(INDEX($A$1:$A$2000, MATCH(0, IF($AD$1*1=$C$1:$C$2090*1, COUNTIF($AD$1:$AD175, $A$1:$A$2000), ""), 0)),"")</f>
        <v/>
      </c>
      <c r="AE176" s="57" t="str">
        <f t="shared" si="24"/>
        <v/>
      </c>
      <c r="AF176" s="18" t="str">
        <f t="shared" si="25"/>
        <v/>
      </c>
      <c r="AG176" s="18" t="str">
        <f t="shared" si="26"/>
        <v/>
      </c>
      <c r="AH176" s="18" t="str">
        <f t="shared" si="27"/>
        <v/>
      </c>
      <c r="AI176" s="18" t="str">
        <f t="shared" si="28"/>
        <v/>
      </c>
      <c r="AJ176" s="18" t="str">
        <f t="shared" si="29"/>
        <v/>
      </c>
      <c r="AK176" s="18" t="str">
        <f t="shared" si="30"/>
        <v/>
      </c>
      <c r="AL176" s="18" t="str">
        <f t="shared" si="31"/>
        <v/>
      </c>
      <c r="AM176" s="18" t="str">
        <f t="shared" si="32"/>
        <v/>
      </c>
    </row>
    <row r="177" spans="1:39" x14ac:dyDescent="0.35">
      <c r="A177" s="56" t="s">
        <v>245</v>
      </c>
      <c r="B177" s="58">
        <v>12350</v>
      </c>
      <c r="C177" s="58" t="s">
        <v>35</v>
      </c>
      <c r="D177" s="58">
        <v>20</v>
      </c>
      <c r="E177" s="58">
        <v>-1</v>
      </c>
      <c r="F177" s="58">
        <v>-4.7619047619047619</v>
      </c>
      <c r="G177" s="58">
        <v>18</v>
      </c>
      <c r="H177" s="58">
        <v>124.04</v>
      </c>
      <c r="I177" s="58">
        <v>0.2</v>
      </c>
      <c r="J177" s="58">
        <v>-0.55000000000000004</v>
      </c>
      <c r="K177" s="58">
        <v>-73.333333333333343</v>
      </c>
      <c r="L177" s="58">
        <v>75</v>
      </c>
      <c r="M177" s="58">
        <v>26925</v>
      </c>
      <c r="N177" s="58">
        <v>15136.95</v>
      </c>
      <c r="O177" s="58">
        <v>12350</v>
      </c>
      <c r="P177" s="58" t="s">
        <v>35</v>
      </c>
      <c r="Q177" s="58">
        <v>0</v>
      </c>
      <c r="R177" s="58">
        <v>0</v>
      </c>
      <c r="S177" s="58">
        <v>0</v>
      </c>
      <c r="T177" s="58">
        <v>0</v>
      </c>
      <c r="U177" s="58">
        <v>0</v>
      </c>
      <c r="V177" s="58">
        <v>0</v>
      </c>
      <c r="W177" s="58">
        <v>0</v>
      </c>
      <c r="X177" s="58">
        <v>0</v>
      </c>
      <c r="Y177" s="58">
        <v>6375</v>
      </c>
      <c r="Z177" s="58">
        <v>9300</v>
      </c>
      <c r="AA177" s="58">
        <v>15136.95</v>
      </c>
      <c r="AD177" s="18" t="str">
        <f t="array" ref="AD177">IFERROR(INDEX($A$1:$A$2000, MATCH(0, IF($AD$1*1=$C$1:$C$2090*1, COUNTIF($AD$1:$AD176, $A$1:$A$2000), ""), 0)),"")</f>
        <v/>
      </c>
      <c r="AE177" s="57" t="str">
        <f t="shared" si="24"/>
        <v/>
      </c>
      <c r="AF177" s="18" t="str">
        <f t="shared" si="25"/>
        <v/>
      </c>
      <c r="AG177" s="18" t="str">
        <f t="shared" si="26"/>
        <v/>
      </c>
      <c r="AH177" s="18" t="str">
        <f t="shared" si="27"/>
        <v/>
      </c>
      <c r="AI177" s="18" t="str">
        <f t="shared" si="28"/>
        <v/>
      </c>
      <c r="AJ177" s="18" t="str">
        <f t="shared" si="29"/>
        <v/>
      </c>
      <c r="AK177" s="18" t="str">
        <f t="shared" si="30"/>
        <v/>
      </c>
      <c r="AL177" s="18" t="str">
        <f t="shared" si="31"/>
        <v/>
      </c>
      <c r="AM177" s="18" t="str">
        <f t="shared" si="32"/>
        <v/>
      </c>
    </row>
    <row r="178" spans="1:39" x14ac:dyDescent="0.35">
      <c r="A178" s="56" t="s">
        <v>246</v>
      </c>
      <c r="B178" s="58">
        <v>12350</v>
      </c>
      <c r="C178" s="58" t="s">
        <v>34</v>
      </c>
      <c r="D178" s="58">
        <v>0</v>
      </c>
      <c r="E178" s="58">
        <v>0</v>
      </c>
      <c r="F178" s="58">
        <v>0</v>
      </c>
      <c r="G178" s="58">
        <v>0</v>
      </c>
      <c r="H178" s="58">
        <v>0</v>
      </c>
      <c r="I178" s="58">
        <v>0</v>
      </c>
      <c r="J178" s="58">
        <v>0</v>
      </c>
      <c r="K178" s="58">
        <v>0</v>
      </c>
      <c r="L178" s="58">
        <v>10950</v>
      </c>
      <c r="M178" s="58">
        <v>0</v>
      </c>
      <c r="N178" s="58">
        <v>15136.95</v>
      </c>
      <c r="O178" s="58">
        <v>12350</v>
      </c>
      <c r="P178" s="58" t="s">
        <v>34</v>
      </c>
      <c r="Q178" s="58">
        <v>0</v>
      </c>
      <c r="R178" s="58">
        <v>0</v>
      </c>
      <c r="S178" s="58">
        <v>0</v>
      </c>
      <c r="T178" s="58">
        <v>0</v>
      </c>
      <c r="U178" s="58">
        <v>0</v>
      </c>
      <c r="V178" s="58">
        <v>0</v>
      </c>
      <c r="W178" s="58">
        <v>0</v>
      </c>
      <c r="X178" s="58">
        <v>0</v>
      </c>
      <c r="Y178" s="58">
        <v>7725</v>
      </c>
      <c r="Z178" s="58">
        <v>7725</v>
      </c>
      <c r="AA178" s="58">
        <v>15136.95</v>
      </c>
      <c r="AD178" s="18" t="str">
        <f t="array" ref="AD178">IFERROR(INDEX($A$1:$A$2000, MATCH(0, IF($AD$1*1=$C$1:$C$2090*1, COUNTIF($AD$1:$AD177, $A$1:$A$2000), ""), 0)),"")</f>
        <v/>
      </c>
      <c r="AE178" s="57" t="str">
        <f t="shared" si="24"/>
        <v/>
      </c>
      <c r="AF178" s="18" t="str">
        <f t="shared" si="25"/>
        <v/>
      </c>
      <c r="AG178" s="18" t="str">
        <f t="shared" si="26"/>
        <v/>
      </c>
      <c r="AH178" s="18" t="str">
        <f t="shared" si="27"/>
        <v/>
      </c>
      <c r="AI178" s="18" t="str">
        <f t="shared" si="28"/>
        <v/>
      </c>
      <c r="AJ178" s="18" t="str">
        <f t="shared" si="29"/>
        <v/>
      </c>
      <c r="AK178" s="18" t="str">
        <f t="shared" si="30"/>
        <v/>
      </c>
      <c r="AL178" s="18" t="str">
        <f t="shared" si="31"/>
        <v/>
      </c>
      <c r="AM178" s="18" t="str">
        <f t="shared" si="32"/>
        <v/>
      </c>
    </row>
    <row r="179" spans="1:39" x14ac:dyDescent="0.35">
      <c r="A179" s="56" t="s">
        <v>247</v>
      </c>
      <c r="B179" s="58">
        <v>0</v>
      </c>
      <c r="C179" s="58">
        <v>0</v>
      </c>
      <c r="D179" s="58">
        <v>0</v>
      </c>
      <c r="E179" s="58">
        <v>0</v>
      </c>
      <c r="F179" s="58">
        <v>0</v>
      </c>
      <c r="G179" s="58">
        <v>0</v>
      </c>
      <c r="H179" s="58">
        <v>0</v>
      </c>
      <c r="I179" s="58">
        <v>0</v>
      </c>
      <c r="J179" s="58">
        <v>0</v>
      </c>
      <c r="K179" s="58">
        <v>0</v>
      </c>
      <c r="L179" s="58">
        <v>0</v>
      </c>
      <c r="M179" s="58">
        <v>0</v>
      </c>
      <c r="N179" s="58">
        <v>0</v>
      </c>
      <c r="O179" s="58">
        <v>12350</v>
      </c>
      <c r="P179" s="58" t="s">
        <v>37</v>
      </c>
      <c r="Q179" s="58">
        <v>0</v>
      </c>
      <c r="R179" s="58">
        <v>0</v>
      </c>
      <c r="S179" s="58">
        <v>0</v>
      </c>
      <c r="T179" s="58">
        <v>0</v>
      </c>
      <c r="U179" s="58">
        <v>0</v>
      </c>
      <c r="V179" s="58">
        <v>0</v>
      </c>
      <c r="W179" s="58">
        <v>0</v>
      </c>
      <c r="X179" s="58">
        <v>0</v>
      </c>
      <c r="Y179" s="58">
        <v>4875</v>
      </c>
      <c r="Z179" s="58">
        <v>4875</v>
      </c>
      <c r="AA179" s="58">
        <v>15136.95</v>
      </c>
      <c r="AD179" s="18" t="str">
        <f t="array" ref="AD179">IFERROR(INDEX($A$1:$A$2000, MATCH(0, IF($AD$1*1=$C$1:$C$2090*1, COUNTIF($AD$1:$AD178, $A$1:$A$2000), ""), 0)),"")</f>
        <v/>
      </c>
      <c r="AE179" s="57" t="str">
        <f t="shared" si="24"/>
        <v/>
      </c>
      <c r="AF179" s="18" t="str">
        <f t="shared" si="25"/>
        <v/>
      </c>
      <c r="AG179" s="18" t="str">
        <f t="shared" si="26"/>
        <v/>
      </c>
      <c r="AH179" s="18" t="str">
        <f t="shared" si="27"/>
        <v/>
      </c>
      <c r="AI179" s="18" t="str">
        <f t="shared" si="28"/>
        <v/>
      </c>
      <c r="AJ179" s="18" t="str">
        <f t="shared" si="29"/>
        <v/>
      </c>
      <c r="AK179" s="18" t="str">
        <f t="shared" si="30"/>
        <v/>
      </c>
      <c r="AL179" s="18" t="str">
        <f t="shared" si="31"/>
        <v/>
      </c>
      <c r="AM179" s="18" t="str">
        <f t="shared" si="32"/>
        <v/>
      </c>
    </row>
    <row r="180" spans="1:39" x14ac:dyDescent="0.35">
      <c r="A180" s="56" t="s">
        <v>248</v>
      </c>
      <c r="B180" s="58">
        <v>12400</v>
      </c>
      <c r="C180" s="58" t="s">
        <v>36</v>
      </c>
      <c r="D180" s="58">
        <v>0</v>
      </c>
      <c r="E180" s="58">
        <v>0</v>
      </c>
      <c r="F180" s="58">
        <v>0</v>
      </c>
      <c r="G180" s="58">
        <v>0</v>
      </c>
      <c r="H180" s="58">
        <v>0</v>
      </c>
      <c r="I180" s="58">
        <v>0</v>
      </c>
      <c r="J180" s="58">
        <v>0</v>
      </c>
      <c r="K180" s="58">
        <v>0</v>
      </c>
      <c r="L180" s="58">
        <v>75</v>
      </c>
      <c r="M180" s="58">
        <v>0</v>
      </c>
      <c r="N180" s="58">
        <v>15136.95</v>
      </c>
      <c r="O180" s="58">
        <v>12400</v>
      </c>
      <c r="P180" s="58" t="s">
        <v>36</v>
      </c>
      <c r="Q180" s="58">
        <v>0</v>
      </c>
      <c r="R180" s="58">
        <v>0</v>
      </c>
      <c r="S180" s="58">
        <v>0</v>
      </c>
      <c r="T180" s="58">
        <v>0</v>
      </c>
      <c r="U180" s="58">
        <v>0</v>
      </c>
      <c r="V180" s="58">
        <v>0</v>
      </c>
      <c r="W180" s="58">
        <v>0</v>
      </c>
      <c r="X180" s="58">
        <v>0</v>
      </c>
      <c r="Y180" s="58">
        <v>4875</v>
      </c>
      <c r="Z180" s="58">
        <v>4875</v>
      </c>
      <c r="AA180" s="58">
        <v>15136.95</v>
      </c>
      <c r="AD180" s="18" t="str">
        <f t="array" ref="AD180">IFERROR(INDEX($A$1:$A$2000, MATCH(0, IF($AD$1*1=$C$1:$C$2090*1, COUNTIF($AD$1:$AD179, $A$1:$A$2000), ""), 0)),"")</f>
        <v/>
      </c>
      <c r="AE180" s="57" t="str">
        <f t="shared" si="24"/>
        <v/>
      </c>
      <c r="AF180" s="18" t="str">
        <f t="shared" si="25"/>
        <v/>
      </c>
      <c r="AG180" s="18" t="str">
        <f t="shared" si="26"/>
        <v/>
      </c>
      <c r="AH180" s="18" t="str">
        <f t="shared" si="27"/>
        <v/>
      </c>
      <c r="AI180" s="18" t="str">
        <f t="shared" si="28"/>
        <v/>
      </c>
      <c r="AJ180" s="18" t="str">
        <f t="shared" si="29"/>
        <v/>
      </c>
      <c r="AK180" s="18" t="str">
        <f t="shared" si="30"/>
        <v/>
      </c>
      <c r="AL180" s="18" t="str">
        <f t="shared" si="31"/>
        <v/>
      </c>
      <c r="AM180" s="18" t="str">
        <f t="shared" si="32"/>
        <v/>
      </c>
    </row>
    <row r="181" spans="1:39" x14ac:dyDescent="0.35">
      <c r="A181" s="56" t="s">
        <v>249</v>
      </c>
      <c r="B181" s="58">
        <v>12400</v>
      </c>
      <c r="C181" s="58" t="s">
        <v>34</v>
      </c>
      <c r="D181" s="58">
        <v>19</v>
      </c>
      <c r="E181" s="58">
        <v>9</v>
      </c>
      <c r="F181" s="58">
        <v>90</v>
      </c>
      <c r="G181" s="58">
        <v>13</v>
      </c>
      <c r="H181" s="58">
        <v>59.55</v>
      </c>
      <c r="I181" s="58">
        <v>2.65</v>
      </c>
      <c r="J181" s="58">
        <v>-0.39999999999999991</v>
      </c>
      <c r="K181" s="58">
        <v>-13.114754098360654</v>
      </c>
      <c r="L181" s="58">
        <v>37650</v>
      </c>
      <c r="M181" s="58">
        <v>9600</v>
      </c>
      <c r="N181" s="58">
        <v>15136.95</v>
      </c>
      <c r="O181" s="58">
        <v>12400</v>
      </c>
      <c r="P181" s="58" t="s">
        <v>34</v>
      </c>
      <c r="Q181" s="58">
        <v>3</v>
      </c>
      <c r="R181" s="58">
        <v>3</v>
      </c>
      <c r="S181" s="58">
        <v>0</v>
      </c>
      <c r="T181" s="58">
        <v>3</v>
      </c>
      <c r="U181" s="58">
        <v>0</v>
      </c>
      <c r="V181" s="58">
        <v>2740</v>
      </c>
      <c r="W181" s="58">
        <v>1157.55</v>
      </c>
      <c r="X181" s="58">
        <v>73.149230623400413</v>
      </c>
      <c r="Y181" s="58">
        <v>7725</v>
      </c>
      <c r="Z181" s="58">
        <v>7725</v>
      </c>
      <c r="AA181" s="58">
        <v>15136.95</v>
      </c>
      <c r="AD181" s="18" t="str">
        <f t="array" ref="AD181">IFERROR(INDEX($A$1:$A$2000, MATCH(0, IF($AD$1*1=$C$1:$C$2090*1, COUNTIF($AD$1:$AD180, $A$1:$A$2000), ""), 0)),"")</f>
        <v/>
      </c>
      <c r="AE181" s="57" t="str">
        <f t="shared" si="24"/>
        <v/>
      </c>
      <c r="AF181" s="18" t="str">
        <f t="shared" si="25"/>
        <v/>
      </c>
      <c r="AG181" s="18" t="str">
        <f t="shared" si="26"/>
        <v/>
      </c>
      <c r="AH181" s="18" t="str">
        <f t="shared" si="27"/>
        <v/>
      </c>
      <c r="AI181" s="18" t="str">
        <f t="shared" si="28"/>
        <v/>
      </c>
      <c r="AJ181" s="18" t="str">
        <f t="shared" si="29"/>
        <v/>
      </c>
      <c r="AK181" s="18" t="str">
        <f t="shared" si="30"/>
        <v/>
      </c>
      <c r="AL181" s="18" t="str">
        <f t="shared" si="31"/>
        <v/>
      </c>
      <c r="AM181" s="18" t="str">
        <f t="shared" si="32"/>
        <v/>
      </c>
    </row>
    <row r="182" spans="1:39" x14ac:dyDescent="0.35">
      <c r="A182" s="56" t="s">
        <v>250</v>
      </c>
      <c r="B182" s="58">
        <v>12400</v>
      </c>
      <c r="C182" s="58" t="s">
        <v>26</v>
      </c>
      <c r="D182" s="58">
        <v>0</v>
      </c>
      <c r="E182" s="58">
        <v>0</v>
      </c>
      <c r="F182" s="58">
        <v>0</v>
      </c>
      <c r="G182" s="58">
        <v>0</v>
      </c>
      <c r="H182" s="58">
        <v>0</v>
      </c>
      <c r="I182" s="58">
        <v>0</v>
      </c>
      <c r="J182" s="58">
        <v>0</v>
      </c>
      <c r="K182" s="58">
        <v>0</v>
      </c>
      <c r="L182" s="58">
        <v>1500</v>
      </c>
      <c r="M182" s="58">
        <v>0</v>
      </c>
      <c r="N182" s="58">
        <v>15136.95</v>
      </c>
      <c r="O182" s="58">
        <v>12400</v>
      </c>
      <c r="P182" s="58" t="s">
        <v>26</v>
      </c>
      <c r="Q182" s="58">
        <v>0</v>
      </c>
      <c r="R182" s="58">
        <v>0</v>
      </c>
      <c r="S182" s="58">
        <v>0</v>
      </c>
      <c r="T182" s="58">
        <v>0</v>
      </c>
      <c r="U182" s="58">
        <v>0</v>
      </c>
      <c r="V182" s="58">
        <v>0</v>
      </c>
      <c r="W182" s="58">
        <v>0</v>
      </c>
      <c r="X182" s="58">
        <v>0</v>
      </c>
      <c r="Y182" s="58">
        <v>12675</v>
      </c>
      <c r="Z182" s="58">
        <v>7725</v>
      </c>
      <c r="AA182" s="58">
        <v>15136.95</v>
      </c>
      <c r="AD182" s="18" t="str">
        <f t="array" ref="AD182">IFERROR(INDEX($A$1:$A$2000, MATCH(0, IF($AD$1*1=$C$1:$C$2090*1, COUNTIF($AD$1:$AD181, $A$1:$A$2000), ""), 0)),"")</f>
        <v/>
      </c>
      <c r="AE182" s="57" t="str">
        <f t="shared" si="24"/>
        <v/>
      </c>
      <c r="AF182" s="18" t="str">
        <f t="shared" si="25"/>
        <v/>
      </c>
      <c r="AG182" s="18" t="str">
        <f t="shared" si="26"/>
        <v/>
      </c>
      <c r="AH182" s="18" t="str">
        <f t="shared" si="27"/>
        <v/>
      </c>
      <c r="AI182" s="18" t="str">
        <f t="shared" si="28"/>
        <v/>
      </c>
      <c r="AJ182" s="18" t="str">
        <f t="shared" si="29"/>
        <v/>
      </c>
      <c r="AK182" s="18" t="str">
        <f t="shared" si="30"/>
        <v/>
      </c>
      <c r="AL182" s="18" t="str">
        <f t="shared" si="31"/>
        <v/>
      </c>
      <c r="AM182" s="18" t="str">
        <f t="shared" si="32"/>
        <v/>
      </c>
    </row>
    <row r="183" spans="1:39" x14ac:dyDescent="0.35">
      <c r="A183" s="56" t="s">
        <v>251</v>
      </c>
      <c r="B183" s="58">
        <v>12400</v>
      </c>
      <c r="C183" s="58" t="s">
        <v>67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900</v>
      </c>
      <c r="M183" s="58">
        <v>0</v>
      </c>
      <c r="N183" s="58">
        <v>15136.95</v>
      </c>
      <c r="O183" s="58">
        <v>12400</v>
      </c>
      <c r="P183" s="58" t="s">
        <v>67</v>
      </c>
      <c r="Q183" s="58">
        <v>0</v>
      </c>
      <c r="R183" s="58">
        <v>0</v>
      </c>
      <c r="S183" s="58">
        <v>0</v>
      </c>
      <c r="T183" s="58">
        <v>0</v>
      </c>
      <c r="U183" s="58">
        <v>0</v>
      </c>
      <c r="V183" s="58">
        <v>0</v>
      </c>
      <c r="W183" s="58">
        <v>0</v>
      </c>
      <c r="X183" s="58">
        <v>0</v>
      </c>
      <c r="Y183" s="58">
        <v>4875</v>
      </c>
      <c r="Z183" s="58">
        <v>4875</v>
      </c>
      <c r="AA183" s="58">
        <v>15136.95</v>
      </c>
      <c r="AD183" s="18" t="str">
        <f t="array" ref="AD183">IFERROR(INDEX($A$1:$A$2000, MATCH(0, IF($AD$1*1=$C$1:$C$2090*1, COUNTIF($AD$1:$AD182, $A$1:$A$2000), ""), 0)),"")</f>
        <v/>
      </c>
      <c r="AE183" s="57" t="str">
        <f t="shared" si="24"/>
        <v/>
      </c>
      <c r="AF183" s="18" t="str">
        <f t="shared" si="25"/>
        <v/>
      </c>
      <c r="AG183" s="18" t="str">
        <f t="shared" si="26"/>
        <v/>
      </c>
      <c r="AH183" s="18" t="str">
        <f t="shared" si="27"/>
        <v/>
      </c>
      <c r="AI183" s="18" t="str">
        <f t="shared" si="28"/>
        <v/>
      </c>
      <c r="AJ183" s="18" t="str">
        <f t="shared" si="29"/>
        <v/>
      </c>
      <c r="AK183" s="18" t="str">
        <f t="shared" si="30"/>
        <v/>
      </c>
      <c r="AL183" s="18" t="str">
        <f t="shared" si="31"/>
        <v/>
      </c>
      <c r="AM183" s="18" t="str">
        <f t="shared" si="32"/>
        <v/>
      </c>
    </row>
    <row r="184" spans="1:39" x14ac:dyDescent="0.35">
      <c r="A184" s="56" t="s">
        <v>252</v>
      </c>
      <c r="B184" s="58">
        <v>12400</v>
      </c>
      <c r="C184" s="58" t="s">
        <v>2071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1350</v>
      </c>
      <c r="M184" s="58">
        <v>0</v>
      </c>
      <c r="N184" s="58">
        <v>15136.95</v>
      </c>
      <c r="O184" s="58">
        <v>12400</v>
      </c>
      <c r="P184" s="58" t="s">
        <v>2071</v>
      </c>
      <c r="Q184" s="58">
        <v>0</v>
      </c>
      <c r="R184" s="58">
        <v>0</v>
      </c>
      <c r="S184" s="58">
        <v>0</v>
      </c>
      <c r="T184" s="58">
        <v>0</v>
      </c>
      <c r="U184" s="58">
        <v>0</v>
      </c>
      <c r="V184" s="58">
        <v>0</v>
      </c>
      <c r="W184" s="58">
        <v>0</v>
      </c>
      <c r="X184" s="58">
        <v>0</v>
      </c>
      <c r="Y184" s="58">
        <v>9825</v>
      </c>
      <c r="Z184" s="58">
        <v>4875</v>
      </c>
      <c r="AA184" s="58">
        <v>15136.95</v>
      </c>
      <c r="AD184" s="18" t="str">
        <f t="array" ref="AD184">IFERROR(INDEX($A$1:$A$2000, MATCH(0, IF($AD$1*1=$C$1:$C$2090*1, COUNTIF($AD$1:$AD183, $A$1:$A$2000), ""), 0)),"")</f>
        <v/>
      </c>
      <c r="AE184" s="57" t="str">
        <f t="shared" si="24"/>
        <v/>
      </c>
      <c r="AF184" s="18" t="str">
        <f t="shared" si="25"/>
        <v/>
      </c>
      <c r="AG184" s="18" t="str">
        <f t="shared" si="26"/>
        <v/>
      </c>
      <c r="AH184" s="18" t="str">
        <f t="shared" si="27"/>
        <v/>
      </c>
      <c r="AI184" s="18" t="str">
        <f t="shared" si="28"/>
        <v/>
      </c>
      <c r="AJ184" s="18" t="str">
        <f t="shared" si="29"/>
        <v/>
      </c>
      <c r="AK184" s="18" t="str">
        <f t="shared" si="30"/>
        <v/>
      </c>
      <c r="AL184" s="18" t="str">
        <f t="shared" si="31"/>
        <v/>
      </c>
      <c r="AM184" s="18" t="str">
        <f t="shared" si="32"/>
        <v/>
      </c>
    </row>
    <row r="185" spans="1:39" x14ac:dyDescent="0.35">
      <c r="A185" s="56" t="s">
        <v>253</v>
      </c>
      <c r="B185" s="58">
        <v>12400</v>
      </c>
      <c r="C185" s="58" t="s">
        <v>27</v>
      </c>
      <c r="D185" s="58">
        <v>103</v>
      </c>
      <c r="E185" s="58">
        <v>0</v>
      </c>
      <c r="F185" s="58">
        <v>0</v>
      </c>
      <c r="G185" s="58">
        <v>0</v>
      </c>
      <c r="H185" s="58">
        <v>0</v>
      </c>
      <c r="I185" s="58">
        <v>0</v>
      </c>
      <c r="J185" s="58">
        <v>0</v>
      </c>
      <c r="K185" s="58">
        <v>0</v>
      </c>
      <c r="L185" s="58">
        <v>750</v>
      </c>
      <c r="M185" s="58">
        <v>0</v>
      </c>
      <c r="N185" s="58">
        <v>15136.95</v>
      </c>
      <c r="O185" s="58">
        <v>0</v>
      </c>
      <c r="P185" s="58">
        <v>0</v>
      </c>
      <c r="Q185" s="58">
        <v>0</v>
      </c>
      <c r="R185" s="58">
        <v>0</v>
      </c>
      <c r="S185" s="58">
        <v>0</v>
      </c>
      <c r="T185" s="58">
        <v>0</v>
      </c>
      <c r="U185" s="58">
        <v>0</v>
      </c>
      <c r="V185" s="58">
        <v>0</v>
      </c>
      <c r="W185" s="58">
        <v>0</v>
      </c>
      <c r="X185" s="58">
        <v>0</v>
      </c>
      <c r="Y185" s="58">
        <v>0</v>
      </c>
      <c r="Z185" s="58">
        <v>0</v>
      </c>
      <c r="AA185" s="58">
        <v>0</v>
      </c>
      <c r="AD185" s="18" t="str">
        <f t="array" ref="AD185">IFERROR(INDEX($A$1:$A$2000, MATCH(0, IF($AD$1*1=$C$1:$C$2090*1, COUNTIF($AD$1:$AD184, $A$1:$A$2000), ""), 0)),"")</f>
        <v/>
      </c>
      <c r="AE185" s="57" t="str">
        <f t="shared" si="24"/>
        <v/>
      </c>
      <c r="AF185" s="18" t="str">
        <f t="shared" si="25"/>
        <v/>
      </c>
      <c r="AG185" s="18" t="str">
        <f t="shared" si="26"/>
        <v/>
      </c>
      <c r="AH185" s="18" t="str">
        <f t="shared" si="27"/>
        <v/>
      </c>
      <c r="AI185" s="18" t="str">
        <f t="shared" si="28"/>
        <v/>
      </c>
      <c r="AJ185" s="18" t="str">
        <f t="shared" si="29"/>
        <v/>
      </c>
      <c r="AK185" s="18" t="str">
        <f t="shared" si="30"/>
        <v/>
      </c>
      <c r="AL185" s="18" t="str">
        <f t="shared" si="31"/>
        <v/>
      </c>
      <c r="AM185" s="18" t="str">
        <f t="shared" si="32"/>
        <v/>
      </c>
    </row>
    <row r="186" spans="1:39" x14ac:dyDescent="0.35">
      <c r="A186" s="56" t="s">
        <v>254</v>
      </c>
      <c r="B186" s="58">
        <v>12400</v>
      </c>
      <c r="C186" s="58" t="s">
        <v>29</v>
      </c>
      <c r="D186" s="58">
        <v>3</v>
      </c>
      <c r="E186" s="58">
        <v>0</v>
      </c>
      <c r="F186" s="58">
        <v>0</v>
      </c>
      <c r="G186" s="58">
        <v>0</v>
      </c>
      <c r="H186" s="58">
        <v>0</v>
      </c>
      <c r="I186" s="58">
        <v>0</v>
      </c>
      <c r="J186" s="58">
        <v>0</v>
      </c>
      <c r="K186" s="58">
        <v>0</v>
      </c>
      <c r="L186" s="58">
        <v>1500</v>
      </c>
      <c r="M186" s="58">
        <v>0</v>
      </c>
      <c r="N186" s="58">
        <v>15136.95</v>
      </c>
      <c r="O186" s="58">
        <v>0</v>
      </c>
      <c r="P186" s="58">
        <v>0</v>
      </c>
      <c r="Q186" s="58">
        <v>0</v>
      </c>
      <c r="R186" s="58">
        <v>0</v>
      </c>
      <c r="S186" s="58">
        <v>0</v>
      </c>
      <c r="T186" s="58">
        <v>0</v>
      </c>
      <c r="U186" s="58">
        <v>0</v>
      </c>
      <c r="V186" s="58">
        <v>0</v>
      </c>
      <c r="W186" s="58">
        <v>0</v>
      </c>
      <c r="X186" s="58">
        <v>0</v>
      </c>
      <c r="Y186" s="58">
        <v>0</v>
      </c>
      <c r="Z186" s="58">
        <v>0</v>
      </c>
      <c r="AA186" s="58">
        <v>0</v>
      </c>
      <c r="AD186" s="18" t="str">
        <f t="array" ref="AD186">IFERROR(INDEX($A$1:$A$2000, MATCH(0, IF($AD$1*1=$C$1:$C$2090*1, COUNTIF($AD$1:$AD185, $A$1:$A$2000), ""), 0)),"")</f>
        <v/>
      </c>
      <c r="AE186" s="57" t="str">
        <f t="shared" si="24"/>
        <v/>
      </c>
      <c r="AF186" s="18" t="str">
        <f t="shared" si="25"/>
        <v/>
      </c>
      <c r="AG186" s="18" t="str">
        <f t="shared" si="26"/>
        <v/>
      </c>
      <c r="AH186" s="18" t="str">
        <f t="shared" si="27"/>
        <v/>
      </c>
      <c r="AI186" s="18" t="str">
        <f t="shared" si="28"/>
        <v/>
      </c>
      <c r="AJ186" s="18" t="str">
        <f t="shared" si="29"/>
        <v/>
      </c>
      <c r="AK186" s="18" t="str">
        <f t="shared" si="30"/>
        <v/>
      </c>
      <c r="AL186" s="18" t="str">
        <f t="shared" si="31"/>
        <v/>
      </c>
      <c r="AM186" s="18" t="str">
        <f t="shared" si="32"/>
        <v/>
      </c>
    </row>
    <row r="187" spans="1:39" x14ac:dyDescent="0.35">
      <c r="A187" s="56" t="s">
        <v>255</v>
      </c>
      <c r="B187" s="58">
        <v>12400</v>
      </c>
      <c r="C187" s="58" t="s">
        <v>35</v>
      </c>
      <c r="D187" s="58">
        <v>669</v>
      </c>
      <c r="E187" s="58">
        <v>99</v>
      </c>
      <c r="F187" s="58">
        <v>17.368421052631579</v>
      </c>
      <c r="G187" s="58">
        <v>526</v>
      </c>
      <c r="H187" s="58">
        <v>123.99</v>
      </c>
      <c r="I187" s="58">
        <v>0.25</v>
      </c>
      <c r="J187" s="58">
        <v>-0.4</v>
      </c>
      <c r="K187" s="58">
        <v>-61.53846153846154</v>
      </c>
      <c r="L187" s="58">
        <v>91350</v>
      </c>
      <c r="M187" s="58">
        <v>36900</v>
      </c>
      <c r="N187" s="58">
        <v>15136.95</v>
      </c>
      <c r="O187" s="58">
        <v>12400</v>
      </c>
      <c r="P187" s="58" t="s">
        <v>35</v>
      </c>
      <c r="Q187" s="58">
        <v>3</v>
      </c>
      <c r="R187" s="58">
        <v>0</v>
      </c>
      <c r="S187" s="58">
        <v>0</v>
      </c>
      <c r="T187" s="58">
        <v>3</v>
      </c>
      <c r="U187" s="58">
        <v>146.19999999999999</v>
      </c>
      <c r="V187" s="58">
        <v>2750</v>
      </c>
      <c r="W187" s="58">
        <v>350</v>
      </c>
      <c r="X187" s="58">
        <v>14.583333333333334</v>
      </c>
      <c r="Y187" s="58">
        <v>9375</v>
      </c>
      <c r="Z187" s="58">
        <v>12300</v>
      </c>
      <c r="AA187" s="58">
        <v>15136.95</v>
      </c>
      <c r="AD187" s="18" t="str">
        <f t="array" ref="AD187">IFERROR(INDEX($A$1:$A$2000, MATCH(0, IF($AD$1*1=$C$1:$C$2090*1, COUNTIF($AD$1:$AD186, $A$1:$A$2000), ""), 0)),"")</f>
        <v/>
      </c>
      <c r="AE187" s="57" t="str">
        <f t="shared" si="24"/>
        <v/>
      </c>
      <c r="AF187" s="18" t="str">
        <f t="shared" si="25"/>
        <v/>
      </c>
      <c r="AG187" s="18" t="str">
        <f t="shared" si="26"/>
        <v/>
      </c>
      <c r="AH187" s="18" t="str">
        <f t="shared" si="27"/>
        <v/>
      </c>
      <c r="AI187" s="18" t="str">
        <f t="shared" si="28"/>
        <v/>
      </c>
      <c r="AJ187" s="18" t="str">
        <f t="shared" si="29"/>
        <v/>
      </c>
      <c r="AK187" s="18" t="str">
        <f t="shared" si="30"/>
        <v/>
      </c>
      <c r="AL187" s="18" t="str">
        <f t="shared" si="31"/>
        <v/>
      </c>
      <c r="AM187" s="18" t="str">
        <f t="shared" si="32"/>
        <v/>
      </c>
    </row>
    <row r="188" spans="1:39" x14ac:dyDescent="0.35">
      <c r="A188" s="56" t="s">
        <v>256</v>
      </c>
      <c r="B188" s="58">
        <v>0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58">
        <v>12400</v>
      </c>
      <c r="P188" s="58" t="s">
        <v>37</v>
      </c>
      <c r="Q188" s="58">
        <v>0</v>
      </c>
      <c r="R188" s="58">
        <v>0</v>
      </c>
      <c r="S188" s="58">
        <v>0</v>
      </c>
      <c r="T188" s="58">
        <v>0</v>
      </c>
      <c r="U188" s="58">
        <v>0</v>
      </c>
      <c r="V188" s="58">
        <v>0</v>
      </c>
      <c r="W188" s="58">
        <v>0</v>
      </c>
      <c r="X188" s="58">
        <v>0</v>
      </c>
      <c r="Y188" s="58">
        <v>4875</v>
      </c>
      <c r="Z188" s="58">
        <v>4875</v>
      </c>
      <c r="AA188" s="58">
        <v>15136.95</v>
      </c>
      <c r="AD188" s="18" t="str">
        <f t="array" ref="AD188">IFERROR(INDEX($A$1:$A$2000, MATCH(0, IF($AD$1*1=$C$1:$C$2090*1, COUNTIF($AD$1:$AD187, $A$1:$A$2000), ""), 0)),"")</f>
        <v/>
      </c>
      <c r="AE188" s="57" t="str">
        <f t="shared" si="24"/>
        <v/>
      </c>
      <c r="AF188" s="18" t="str">
        <f t="shared" si="25"/>
        <v/>
      </c>
      <c r="AG188" s="18" t="str">
        <f t="shared" si="26"/>
        <v/>
      </c>
      <c r="AH188" s="18" t="str">
        <f t="shared" si="27"/>
        <v/>
      </c>
      <c r="AI188" s="18" t="str">
        <f t="shared" si="28"/>
        <v/>
      </c>
      <c r="AJ188" s="18" t="str">
        <f t="shared" si="29"/>
        <v/>
      </c>
      <c r="AK188" s="18" t="str">
        <f t="shared" si="30"/>
        <v/>
      </c>
      <c r="AL188" s="18" t="str">
        <f t="shared" si="31"/>
        <v/>
      </c>
      <c r="AM188" s="18" t="str">
        <f t="shared" si="32"/>
        <v/>
      </c>
    </row>
    <row r="189" spans="1:39" x14ac:dyDescent="0.35">
      <c r="A189" s="56" t="s">
        <v>257</v>
      </c>
      <c r="B189" s="58">
        <v>12400</v>
      </c>
      <c r="C189" s="58" t="s">
        <v>33</v>
      </c>
      <c r="D189" s="58">
        <v>2218</v>
      </c>
      <c r="E189" s="58">
        <v>-2</v>
      </c>
      <c r="F189" s="58">
        <v>-9.0090090090090086E-2</v>
      </c>
      <c r="G189" s="58">
        <v>5</v>
      </c>
      <c r="H189" s="58">
        <v>47.53</v>
      </c>
      <c r="I189" s="58">
        <v>6.4</v>
      </c>
      <c r="J189" s="58">
        <v>-0.25</v>
      </c>
      <c r="K189" s="58">
        <v>-3.7593984962406015</v>
      </c>
      <c r="L189" s="58">
        <v>6150</v>
      </c>
      <c r="M189" s="58">
        <v>9150</v>
      </c>
      <c r="N189" s="58">
        <v>15136.95</v>
      </c>
      <c r="O189" s="58">
        <v>12400</v>
      </c>
      <c r="P189" s="58" t="s">
        <v>33</v>
      </c>
      <c r="Q189" s="58">
        <v>73</v>
      </c>
      <c r="R189" s="58">
        <v>0</v>
      </c>
      <c r="S189" s="58">
        <v>0</v>
      </c>
      <c r="T189" s="58">
        <v>0</v>
      </c>
      <c r="U189" s="58">
        <v>0</v>
      </c>
      <c r="V189" s="58">
        <v>0</v>
      </c>
      <c r="W189" s="58">
        <v>0</v>
      </c>
      <c r="X189" s="58">
        <v>0</v>
      </c>
      <c r="Y189" s="58">
        <v>11550</v>
      </c>
      <c r="Z189" s="58">
        <v>11475</v>
      </c>
      <c r="AA189" s="58">
        <v>15136.95</v>
      </c>
      <c r="AD189" s="18" t="str">
        <f t="array" ref="AD189">IFERROR(INDEX($A$1:$A$2000, MATCH(0, IF($AD$1*1=$C$1:$C$2090*1, COUNTIF($AD$1:$AD188, $A$1:$A$2000), ""), 0)),"")</f>
        <v/>
      </c>
      <c r="AE189" s="57" t="str">
        <f t="shared" si="24"/>
        <v/>
      </c>
      <c r="AF189" s="18" t="str">
        <f t="shared" si="25"/>
        <v/>
      </c>
      <c r="AG189" s="18" t="str">
        <f t="shared" si="26"/>
        <v/>
      </c>
      <c r="AH189" s="18" t="str">
        <f t="shared" si="27"/>
        <v/>
      </c>
      <c r="AI189" s="18" t="str">
        <f t="shared" si="28"/>
        <v/>
      </c>
      <c r="AJ189" s="18" t="str">
        <f t="shared" si="29"/>
        <v/>
      </c>
      <c r="AK189" s="18" t="str">
        <f t="shared" si="30"/>
        <v/>
      </c>
      <c r="AL189" s="18" t="str">
        <f t="shared" si="31"/>
        <v/>
      </c>
      <c r="AM189" s="18" t="str">
        <f t="shared" si="32"/>
        <v/>
      </c>
    </row>
    <row r="190" spans="1:39" x14ac:dyDescent="0.35">
      <c r="A190" s="56" t="s">
        <v>258</v>
      </c>
      <c r="B190" s="58">
        <v>0</v>
      </c>
      <c r="C190" s="58">
        <v>0</v>
      </c>
      <c r="D190" s="58">
        <v>0</v>
      </c>
      <c r="E190" s="58">
        <v>0</v>
      </c>
      <c r="F190" s="58">
        <v>0</v>
      </c>
      <c r="G190" s="58">
        <v>0</v>
      </c>
      <c r="H190" s="58">
        <v>0</v>
      </c>
      <c r="I190" s="58">
        <v>0</v>
      </c>
      <c r="J190" s="58">
        <v>0</v>
      </c>
      <c r="K190" s="58">
        <v>0</v>
      </c>
      <c r="L190" s="58">
        <v>0</v>
      </c>
      <c r="M190" s="58">
        <v>0</v>
      </c>
      <c r="N190" s="58">
        <v>0</v>
      </c>
      <c r="O190" s="58">
        <v>12400</v>
      </c>
      <c r="P190" s="58" t="s">
        <v>38</v>
      </c>
      <c r="Q190" s="58">
        <v>0</v>
      </c>
      <c r="R190" s="58">
        <v>0</v>
      </c>
      <c r="S190" s="58">
        <v>0</v>
      </c>
      <c r="T190" s="58">
        <v>0</v>
      </c>
      <c r="U190" s="58">
        <v>0</v>
      </c>
      <c r="V190" s="58">
        <v>0</v>
      </c>
      <c r="W190" s="58">
        <v>0</v>
      </c>
      <c r="X190" s="58">
        <v>0</v>
      </c>
      <c r="Y190" s="58">
        <v>4875</v>
      </c>
      <c r="Z190" s="58">
        <v>4875</v>
      </c>
      <c r="AA190" s="58">
        <v>15136.95</v>
      </c>
      <c r="AD190" s="18" t="str">
        <f t="array" ref="AD190">IFERROR(INDEX($A$1:$A$2000, MATCH(0, IF($AD$1*1=$C$1:$C$2090*1, COUNTIF($AD$1:$AD189, $A$1:$A$2000), ""), 0)),"")</f>
        <v/>
      </c>
      <c r="AE190" s="57" t="str">
        <f t="shared" si="24"/>
        <v/>
      </c>
      <c r="AF190" s="18" t="str">
        <f t="shared" si="25"/>
        <v/>
      </c>
      <c r="AG190" s="18" t="str">
        <f t="shared" si="26"/>
        <v/>
      </c>
      <c r="AH190" s="18" t="str">
        <f t="shared" si="27"/>
        <v/>
      </c>
      <c r="AI190" s="18" t="str">
        <f t="shared" si="28"/>
        <v/>
      </c>
      <c r="AJ190" s="18" t="str">
        <f t="shared" si="29"/>
        <v/>
      </c>
      <c r="AK190" s="18" t="str">
        <f t="shared" si="30"/>
        <v/>
      </c>
      <c r="AL190" s="18" t="str">
        <f t="shared" si="31"/>
        <v/>
      </c>
      <c r="AM190" s="18" t="str">
        <f t="shared" si="32"/>
        <v/>
      </c>
    </row>
    <row r="191" spans="1:39" x14ac:dyDescent="0.35">
      <c r="A191" s="56" t="s">
        <v>259</v>
      </c>
      <c r="B191" s="58">
        <v>0</v>
      </c>
      <c r="C191" s="58">
        <v>0</v>
      </c>
      <c r="D191" s="58">
        <v>0</v>
      </c>
      <c r="E191" s="58">
        <v>0</v>
      </c>
      <c r="F191" s="58">
        <v>0</v>
      </c>
      <c r="G191" s="58">
        <v>0</v>
      </c>
      <c r="H191" s="58">
        <v>0</v>
      </c>
      <c r="I191" s="58">
        <v>0</v>
      </c>
      <c r="J191" s="58">
        <v>0</v>
      </c>
      <c r="K191" s="58">
        <v>0</v>
      </c>
      <c r="L191" s="58">
        <v>0</v>
      </c>
      <c r="M191" s="58">
        <v>0</v>
      </c>
      <c r="N191" s="58">
        <v>0</v>
      </c>
      <c r="O191" s="58">
        <v>12450</v>
      </c>
      <c r="P191" s="58" t="s">
        <v>37</v>
      </c>
      <c r="Q191" s="58">
        <v>0</v>
      </c>
      <c r="R191" s="58">
        <v>0</v>
      </c>
      <c r="S191" s="58">
        <v>0</v>
      </c>
      <c r="T191" s="58">
        <v>0</v>
      </c>
      <c r="U191" s="58">
        <v>0</v>
      </c>
      <c r="V191" s="58">
        <v>0</v>
      </c>
      <c r="W191" s="58">
        <v>0</v>
      </c>
      <c r="X191" s="58">
        <v>0</v>
      </c>
      <c r="Y191" s="58">
        <v>4875</v>
      </c>
      <c r="Z191" s="58">
        <v>4875</v>
      </c>
      <c r="AA191" s="58">
        <v>15136.95</v>
      </c>
      <c r="AD191" s="18" t="str">
        <f t="array" ref="AD191">IFERROR(INDEX($A$1:$A$2000, MATCH(0, IF($AD$1*1=$C$1:$C$2090*1, COUNTIF($AD$1:$AD190, $A$1:$A$2000), ""), 0)),"")</f>
        <v/>
      </c>
      <c r="AE191" s="57" t="str">
        <f t="shared" si="24"/>
        <v/>
      </c>
      <c r="AF191" s="18" t="str">
        <f t="shared" si="25"/>
        <v/>
      </c>
      <c r="AG191" s="18" t="str">
        <f t="shared" si="26"/>
        <v/>
      </c>
      <c r="AH191" s="18" t="str">
        <f t="shared" si="27"/>
        <v/>
      </c>
      <c r="AI191" s="18" t="str">
        <f t="shared" si="28"/>
        <v/>
      </c>
      <c r="AJ191" s="18" t="str">
        <f t="shared" si="29"/>
        <v/>
      </c>
      <c r="AK191" s="18" t="str">
        <f t="shared" si="30"/>
        <v/>
      </c>
      <c r="AL191" s="18" t="str">
        <f t="shared" si="31"/>
        <v/>
      </c>
      <c r="AM191" s="18" t="str">
        <f t="shared" si="32"/>
        <v/>
      </c>
    </row>
    <row r="192" spans="1:39" x14ac:dyDescent="0.35">
      <c r="A192" s="56" t="s">
        <v>260</v>
      </c>
      <c r="B192" s="58">
        <v>0</v>
      </c>
      <c r="C192" s="58">
        <v>0</v>
      </c>
      <c r="D192" s="58">
        <v>0</v>
      </c>
      <c r="E192" s="58">
        <v>0</v>
      </c>
      <c r="F192" s="58">
        <v>0</v>
      </c>
      <c r="G192" s="58">
        <v>0</v>
      </c>
      <c r="H192" s="58">
        <v>0</v>
      </c>
      <c r="I192" s="58">
        <v>0</v>
      </c>
      <c r="J192" s="58">
        <v>0</v>
      </c>
      <c r="K192" s="58">
        <v>0</v>
      </c>
      <c r="L192" s="58">
        <v>0</v>
      </c>
      <c r="M192" s="58">
        <v>0</v>
      </c>
      <c r="N192" s="58">
        <v>0</v>
      </c>
      <c r="O192" s="58">
        <v>12450</v>
      </c>
      <c r="P192" s="58" t="s">
        <v>38</v>
      </c>
      <c r="Q192" s="58">
        <v>0</v>
      </c>
      <c r="R192" s="58">
        <v>0</v>
      </c>
      <c r="S192" s="58">
        <v>0</v>
      </c>
      <c r="T192" s="58">
        <v>0</v>
      </c>
      <c r="U192" s="58">
        <v>0</v>
      </c>
      <c r="V192" s="58">
        <v>0</v>
      </c>
      <c r="W192" s="58">
        <v>0</v>
      </c>
      <c r="X192" s="58">
        <v>0</v>
      </c>
      <c r="Y192" s="58">
        <v>4875</v>
      </c>
      <c r="Z192" s="58">
        <v>4875</v>
      </c>
      <c r="AA192" s="58">
        <v>15136.95</v>
      </c>
      <c r="AD192" s="18" t="str">
        <f t="array" ref="AD192">IFERROR(INDEX($A$1:$A$2000, MATCH(0, IF($AD$1*1=$C$1:$C$2090*1, COUNTIF($AD$1:$AD191, $A$1:$A$2000), ""), 0)),"")</f>
        <v/>
      </c>
      <c r="AE192" s="57" t="str">
        <f t="shared" si="24"/>
        <v/>
      </c>
      <c r="AF192" s="18" t="str">
        <f t="shared" si="25"/>
        <v/>
      </c>
      <c r="AG192" s="18" t="str">
        <f t="shared" si="26"/>
        <v/>
      </c>
      <c r="AH192" s="18" t="str">
        <f t="shared" si="27"/>
        <v/>
      </c>
      <c r="AI192" s="18" t="str">
        <f t="shared" si="28"/>
        <v/>
      </c>
      <c r="AJ192" s="18" t="str">
        <f t="shared" si="29"/>
        <v/>
      </c>
      <c r="AK192" s="18" t="str">
        <f t="shared" si="30"/>
        <v/>
      </c>
      <c r="AL192" s="18" t="str">
        <f t="shared" si="31"/>
        <v/>
      </c>
      <c r="AM192" s="18" t="str">
        <f t="shared" si="32"/>
        <v/>
      </c>
    </row>
    <row r="193" spans="1:39" x14ac:dyDescent="0.35">
      <c r="A193" s="56" t="s">
        <v>261</v>
      </c>
      <c r="B193" s="58">
        <v>0</v>
      </c>
      <c r="C193" s="58">
        <v>0</v>
      </c>
      <c r="D193" s="58">
        <v>0</v>
      </c>
      <c r="E193" s="58">
        <v>0</v>
      </c>
      <c r="F193" s="58">
        <v>0</v>
      </c>
      <c r="G193" s="58">
        <v>0</v>
      </c>
      <c r="H193" s="58">
        <v>0</v>
      </c>
      <c r="I193" s="58">
        <v>0</v>
      </c>
      <c r="J193" s="58">
        <v>0</v>
      </c>
      <c r="K193" s="58">
        <v>0</v>
      </c>
      <c r="L193" s="58">
        <v>0</v>
      </c>
      <c r="M193" s="58">
        <v>0</v>
      </c>
      <c r="N193" s="58">
        <v>0</v>
      </c>
      <c r="O193" s="58">
        <v>12450</v>
      </c>
      <c r="P193" s="58" t="s">
        <v>26</v>
      </c>
      <c r="Q193" s="58">
        <v>0</v>
      </c>
      <c r="R193" s="58">
        <v>0</v>
      </c>
      <c r="S193" s="58">
        <v>0</v>
      </c>
      <c r="T193" s="58">
        <v>0</v>
      </c>
      <c r="U193" s="58">
        <v>0</v>
      </c>
      <c r="V193" s="58">
        <v>0</v>
      </c>
      <c r="W193" s="58">
        <v>0</v>
      </c>
      <c r="X193" s="58">
        <v>0</v>
      </c>
      <c r="Y193" s="58">
        <v>12675</v>
      </c>
      <c r="Z193" s="58">
        <v>7725</v>
      </c>
      <c r="AA193" s="58">
        <v>15136.95</v>
      </c>
      <c r="AD193" s="18" t="str">
        <f t="array" ref="AD193">IFERROR(INDEX($A$1:$A$2000, MATCH(0, IF($AD$1*1=$C$1:$C$2090*1, COUNTIF($AD$1:$AD192, $A$1:$A$2000), ""), 0)),"")</f>
        <v/>
      </c>
      <c r="AE193" s="57" t="str">
        <f t="shared" si="24"/>
        <v/>
      </c>
      <c r="AF193" s="18" t="str">
        <f t="shared" si="25"/>
        <v/>
      </c>
      <c r="AG193" s="18" t="str">
        <f t="shared" si="26"/>
        <v/>
      </c>
      <c r="AH193" s="18" t="str">
        <f t="shared" si="27"/>
        <v/>
      </c>
      <c r="AI193" s="18" t="str">
        <f t="shared" si="28"/>
        <v/>
      </c>
      <c r="AJ193" s="18" t="str">
        <f t="shared" si="29"/>
        <v/>
      </c>
      <c r="AK193" s="18" t="str">
        <f t="shared" si="30"/>
        <v/>
      </c>
      <c r="AL193" s="18" t="str">
        <f t="shared" si="31"/>
        <v/>
      </c>
      <c r="AM193" s="18" t="str">
        <f t="shared" si="32"/>
        <v/>
      </c>
    </row>
    <row r="194" spans="1:39" x14ac:dyDescent="0.35">
      <c r="A194" s="56" t="s">
        <v>262</v>
      </c>
      <c r="B194" s="58">
        <v>0</v>
      </c>
      <c r="C194" s="58">
        <v>0</v>
      </c>
      <c r="D194" s="58">
        <v>0</v>
      </c>
      <c r="E194" s="58">
        <v>0</v>
      </c>
      <c r="F194" s="58">
        <v>0</v>
      </c>
      <c r="G194" s="58">
        <v>0</v>
      </c>
      <c r="H194" s="58">
        <v>0</v>
      </c>
      <c r="I194" s="58">
        <v>0</v>
      </c>
      <c r="J194" s="58">
        <v>0</v>
      </c>
      <c r="K194" s="58">
        <v>0</v>
      </c>
      <c r="L194" s="58">
        <v>0</v>
      </c>
      <c r="M194" s="58">
        <v>0</v>
      </c>
      <c r="N194" s="58">
        <v>0</v>
      </c>
      <c r="O194" s="58">
        <v>12450</v>
      </c>
      <c r="P194" s="58" t="s">
        <v>67</v>
      </c>
      <c r="Q194" s="58">
        <v>0</v>
      </c>
      <c r="R194" s="58">
        <v>0</v>
      </c>
      <c r="S194" s="58">
        <v>0</v>
      </c>
      <c r="T194" s="58">
        <v>0</v>
      </c>
      <c r="U194" s="58">
        <v>0</v>
      </c>
      <c r="V194" s="58">
        <v>0</v>
      </c>
      <c r="W194" s="58">
        <v>0</v>
      </c>
      <c r="X194" s="58">
        <v>0</v>
      </c>
      <c r="Y194" s="58">
        <v>4875</v>
      </c>
      <c r="Z194" s="58">
        <v>4875</v>
      </c>
      <c r="AA194" s="58">
        <v>15136.95</v>
      </c>
      <c r="AD194" s="18" t="str">
        <f t="array" ref="AD194">IFERROR(INDEX($A$1:$A$2000, MATCH(0, IF($AD$1*1=$C$1:$C$2090*1, COUNTIF($AD$1:$AD193, $A$1:$A$2000), ""), 0)),"")</f>
        <v/>
      </c>
      <c r="AE194" s="57" t="str">
        <f t="shared" si="24"/>
        <v/>
      </c>
      <c r="AF194" s="18" t="str">
        <f t="shared" si="25"/>
        <v/>
      </c>
      <c r="AG194" s="18" t="str">
        <f t="shared" si="26"/>
        <v/>
      </c>
      <c r="AH194" s="18" t="str">
        <f t="shared" si="27"/>
        <v/>
      </c>
      <c r="AI194" s="18" t="str">
        <f t="shared" si="28"/>
        <v/>
      </c>
      <c r="AJ194" s="18" t="str">
        <f t="shared" si="29"/>
        <v/>
      </c>
      <c r="AK194" s="18" t="str">
        <f t="shared" si="30"/>
        <v/>
      </c>
      <c r="AL194" s="18" t="str">
        <f t="shared" si="31"/>
        <v/>
      </c>
      <c r="AM194" s="18" t="str">
        <f t="shared" si="32"/>
        <v/>
      </c>
    </row>
    <row r="195" spans="1:39" x14ac:dyDescent="0.35">
      <c r="A195" s="56" t="s">
        <v>263</v>
      </c>
      <c r="B195" s="58">
        <v>0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58">
        <v>12450</v>
      </c>
      <c r="P195" s="58" t="s">
        <v>2071</v>
      </c>
      <c r="Q195" s="58">
        <v>0</v>
      </c>
      <c r="R195" s="58">
        <v>0</v>
      </c>
      <c r="S195" s="58">
        <v>0</v>
      </c>
      <c r="T195" s="58">
        <v>0</v>
      </c>
      <c r="U195" s="58">
        <v>0</v>
      </c>
      <c r="V195" s="58">
        <v>0</v>
      </c>
      <c r="W195" s="58">
        <v>0</v>
      </c>
      <c r="X195" s="58">
        <v>0</v>
      </c>
      <c r="Y195" s="58">
        <v>9825</v>
      </c>
      <c r="Z195" s="58">
        <v>4875</v>
      </c>
      <c r="AA195" s="58">
        <v>15136.95</v>
      </c>
      <c r="AD195" s="18" t="str">
        <f t="array" ref="AD195">IFERROR(INDEX($A$1:$A$2000, MATCH(0, IF($AD$1*1=$C$1:$C$2090*1, COUNTIF($AD$1:$AD194, $A$1:$A$2000), ""), 0)),"")</f>
        <v/>
      </c>
      <c r="AE195" s="57" t="str">
        <f t="shared" ref="AE195:AE200" si="33">IFERROR(VLOOKUP(AD195,$A$2:$AA$2000,2,0),"")</f>
        <v/>
      </c>
      <c r="AF195" s="18" t="str">
        <f t="shared" ref="AF195:AF200" si="34">IFERROR(VLOOKUP(AD195,$A$2:$AA$2000,22,0),"")</f>
        <v/>
      </c>
      <c r="AG195" s="18" t="str">
        <f t="shared" ref="AG195:AG200" si="35">IFERROR(VLOOKUP(AD195,$A$2:$AA$2000,18,0),"")</f>
        <v/>
      </c>
      <c r="AH195" s="18" t="str">
        <f t="shared" ref="AH195:AH200" si="36">IFERROR(VLOOKUP(AD195,$A$2:$AA$2000,17,0),"")</f>
        <v/>
      </c>
      <c r="AI195" s="18" t="str">
        <f t="shared" ref="AI195:AI200" si="37">IFERROR(VLOOKUP(AD195,$A$2:$AA$2000,20,0),"")</f>
        <v/>
      </c>
      <c r="AJ195" s="18" t="str">
        <f t="shared" ref="AJ195:AJ200" si="38">IFERROR(VLOOKUP(AD195,$A$2:$AA$2000,9,0),"")</f>
        <v/>
      </c>
      <c r="AK195" s="18" t="str">
        <f t="shared" ref="AK195:AK200" si="39">IFERROR(VLOOKUP(AD195,$A$2:$AA$2000,5,0),"")</f>
        <v/>
      </c>
      <c r="AL195" s="18" t="str">
        <f t="shared" ref="AL195:AL200" si="40">IFERROR(VLOOKUP(AD195,$A$2:$AA$2000,4,0),"")</f>
        <v/>
      </c>
      <c r="AM195" s="18" t="str">
        <f t="shared" ref="AM195:AM200" si="41">IFERROR(VLOOKUP(AD195,$A$2:$AA$2000,7,0),"")</f>
        <v/>
      </c>
    </row>
    <row r="196" spans="1:39" x14ac:dyDescent="0.35">
      <c r="A196" s="56" t="s">
        <v>264</v>
      </c>
      <c r="B196" s="58">
        <v>12450</v>
      </c>
      <c r="C196" s="58" t="s">
        <v>33</v>
      </c>
      <c r="D196" s="58">
        <v>57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7800</v>
      </c>
      <c r="M196" s="58">
        <v>0</v>
      </c>
      <c r="N196" s="58">
        <v>15136.95</v>
      </c>
      <c r="O196" s="58">
        <v>12450</v>
      </c>
      <c r="P196" s="58" t="s">
        <v>33</v>
      </c>
      <c r="Q196" s="58">
        <v>1</v>
      </c>
      <c r="R196" s="58">
        <v>0</v>
      </c>
      <c r="S196" s="58">
        <v>0</v>
      </c>
      <c r="T196" s="58">
        <v>0</v>
      </c>
      <c r="U196" s="58">
        <v>0</v>
      </c>
      <c r="V196" s="58">
        <v>0</v>
      </c>
      <c r="W196" s="58">
        <v>0</v>
      </c>
      <c r="X196" s="58">
        <v>0</v>
      </c>
      <c r="Y196" s="58">
        <v>14175</v>
      </c>
      <c r="Z196" s="58">
        <v>6375</v>
      </c>
      <c r="AA196" s="58">
        <v>15136.95</v>
      </c>
      <c r="AD196" s="18" t="str">
        <f t="array" ref="AD196">IFERROR(INDEX($A$1:$A$2000, MATCH(0, IF($AD$1*1=$C$1:$C$2090*1, COUNTIF($AD$1:$AD195, $A$1:$A$2000), ""), 0)),"")</f>
        <v/>
      </c>
      <c r="AE196" s="57" t="str">
        <f t="shared" si="33"/>
        <v/>
      </c>
      <c r="AF196" s="18" t="str">
        <f t="shared" si="34"/>
        <v/>
      </c>
      <c r="AG196" s="18" t="str">
        <f t="shared" si="35"/>
        <v/>
      </c>
      <c r="AH196" s="18" t="str">
        <f t="shared" si="36"/>
        <v/>
      </c>
      <c r="AI196" s="18" t="str">
        <f t="shared" si="37"/>
        <v/>
      </c>
      <c r="AJ196" s="18" t="str">
        <f t="shared" si="38"/>
        <v/>
      </c>
      <c r="AK196" s="18" t="str">
        <f t="shared" si="39"/>
        <v/>
      </c>
      <c r="AL196" s="18" t="str">
        <f t="shared" si="40"/>
        <v/>
      </c>
      <c r="AM196" s="18" t="str">
        <f t="shared" si="41"/>
        <v/>
      </c>
    </row>
    <row r="197" spans="1:39" x14ac:dyDescent="0.35">
      <c r="A197" s="56" t="s">
        <v>265</v>
      </c>
      <c r="B197" s="58">
        <v>12450</v>
      </c>
      <c r="C197" s="58" t="s">
        <v>34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13050</v>
      </c>
      <c r="M197" s="58">
        <v>0</v>
      </c>
      <c r="N197" s="58">
        <v>15136.95</v>
      </c>
      <c r="O197" s="58">
        <v>12450</v>
      </c>
      <c r="P197" s="58" t="s">
        <v>34</v>
      </c>
      <c r="Q197" s="58">
        <v>0</v>
      </c>
      <c r="R197" s="58">
        <v>0</v>
      </c>
      <c r="S197" s="58">
        <v>0</v>
      </c>
      <c r="T197" s="58">
        <v>0</v>
      </c>
      <c r="U197" s="58">
        <v>0</v>
      </c>
      <c r="V197" s="58">
        <v>0</v>
      </c>
      <c r="W197" s="58">
        <v>0</v>
      </c>
      <c r="X197" s="58">
        <v>0</v>
      </c>
      <c r="Y197" s="58">
        <v>7725</v>
      </c>
      <c r="Z197" s="58">
        <v>7725</v>
      </c>
      <c r="AA197" s="58">
        <v>15136.95</v>
      </c>
      <c r="AD197" s="18" t="str">
        <f t="array" ref="AD197">IFERROR(INDEX($A$1:$A$2000, MATCH(0, IF($AD$1*1=$C$1:$C$2090*1, COUNTIF($AD$1:$AD196, $A$1:$A$2000), ""), 0)),"")</f>
        <v/>
      </c>
      <c r="AE197" s="57" t="str">
        <f t="shared" si="33"/>
        <v/>
      </c>
      <c r="AF197" s="18" t="str">
        <f t="shared" si="34"/>
        <v/>
      </c>
      <c r="AG197" s="18" t="str">
        <f t="shared" si="35"/>
        <v/>
      </c>
      <c r="AH197" s="18" t="str">
        <f t="shared" si="36"/>
        <v/>
      </c>
      <c r="AI197" s="18" t="str">
        <f t="shared" si="37"/>
        <v/>
      </c>
      <c r="AJ197" s="18" t="str">
        <f t="shared" si="38"/>
        <v/>
      </c>
      <c r="AK197" s="18" t="str">
        <f t="shared" si="39"/>
        <v/>
      </c>
      <c r="AL197" s="18" t="str">
        <f t="shared" si="40"/>
        <v/>
      </c>
      <c r="AM197" s="18" t="str">
        <f t="shared" si="41"/>
        <v/>
      </c>
    </row>
    <row r="198" spans="1:39" x14ac:dyDescent="0.35">
      <c r="A198" s="56" t="s">
        <v>266</v>
      </c>
      <c r="B198" s="58">
        <v>12450</v>
      </c>
      <c r="C198" s="58" t="s">
        <v>35</v>
      </c>
      <c r="D198" s="58">
        <v>75</v>
      </c>
      <c r="E198" s="58">
        <v>0</v>
      </c>
      <c r="F198" s="58">
        <v>0</v>
      </c>
      <c r="G198" s="58">
        <v>1537</v>
      </c>
      <c r="H198" s="58">
        <v>119.49</v>
      </c>
      <c r="I198" s="58">
        <v>0.1</v>
      </c>
      <c r="J198" s="58">
        <v>-0.35</v>
      </c>
      <c r="K198" s="58">
        <v>-77.777777777777771</v>
      </c>
      <c r="L198" s="58">
        <v>600</v>
      </c>
      <c r="M198" s="58">
        <v>33675</v>
      </c>
      <c r="N198" s="58">
        <v>15136.95</v>
      </c>
      <c r="O198" s="58">
        <v>12450</v>
      </c>
      <c r="P198" s="58" t="s">
        <v>35</v>
      </c>
      <c r="Q198" s="58">
        <v>0</v>
      </c>
      <c r="R198" s="58">
        <v>0</v>
      </c>
      <c r="S198" s="58">
        <v>0</v>
      </c>
      <c r="T198" s="58">
        <v>0</v>
      </c>
      <c r="U198" s="58">
        <v>0</v>
      </c>
      <c r="V198" s="58">
        <v>0</v>
      </c>
      <c r="W198" s="58">
        <v>0</v>
      </c>
      <c r="X198" s="58">
        <v>0</v>
      </c>
      <c r="Y198" s="58">
        <v>6375</v>
      </c>
      <c r="Z198" s="58">
        <v>9300</v>
      </c>
      <c r="AA198" s="58">
        <v>15136.95</v>
      </c>
      <c r="AD198" s="18" t="str">
        <f t="array" ref="AD198">IFERROR(INDEX($A$1:$A$2000, MATCH(0, IF($AD$1*1=$C$1:$C$2090*1, COUNTIF($AD$1:$AD197, $A$1:$A$2000), ""), 0)),"")</f>
        <v/>
      </c>
      <c r="AE198" s="57" t="str">
        <f t="shared" si="33"/>
        <v/>
      </c>
      <c r="AF198" s="18" t="str">
        <f t="shared" si="34"/>
        <v/>
      </c>
      <c r="AG198" s="18" t="str">
        <f t="shared" si="35"/>
        <v/>
      </c>
      <c r="AH198" s="18" t="str">
        <f t="shared" si="36"/>
        <v/>
      </c>
      <c r="AI198" s="18" t="str">
        <f t="shared" si="37"/>
        <v/>
      </c>
      <c r="AJ198" s="18" t="str">
        <f t="shared" si="38"/>
        <v/>
      </c>
      <c r="AK198" s="18" t="str">
        <f t="shared" si="39"/>
        <v/>
      </c>
      <c r="AL198" s="18" t="str">
        <f t="shared" si="40"/>
        <v/>
      </c>
      <c r="AM198" s="18" t="str">
        <f t="shared" si="41"/>
        <v/>
      </c>
    </row>
    <row r="199" spans="1:39" x14ac:dyDescent="0.35">
      <c r="A199" s="56" t="s">
        <v>267</v>
      </c>
      <c r="B199" s="58">
        <v>0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58">
        <v>12450</v>
      </c>
      <c r="P199" s="58" t="s">
        <v>36</v>
      </c>
      <c r="Q199" s="58">
        <v>0</v>
      </c>
      <c r="R199" s="58">
        <v>0</v>
      </c>
      <c r="S199" s="58">
        <v>0</v>
      </c>
      <c r="T199" s="58">
        <v>0</v>
      </c>
      <c r="U199" s="58">
        <v>0</v>
      </c>
      <c r="V199" s="58">
        <v>0</v>
      </c>
      <c r="W199" s="58">
        <v>0</v>
      </c>
      <c r="X199" s="58">
        <v>0</v>
      </c>
      <c r="Y199" s="58">
        <v>4875</v>
      </c>
      <c r="Z199" s="58">
        <v>4875</v>
      </c>
      <c r="AA199" s="58">
        <v>15136.95</v>
      </c>
      <c r="AD199" s="18" t="str">
        <f t="array" ref="AD199">IFERROR(INDEX($A$1:$A$2000, MATCH(0, IF($AD$1*1=$C$1:$C$2090*1, COUNTIF($AD$1:$AD198, $A$1:$A$2000), ""), 0)),"")</f>
        <v/>
      </c>
      <c r="AE199" s="57" t="str">
        <f t="shared" si="33"/>
        <v/>
      </c>
      <c r="AF199" s="18" t="str">
        <f t="shared" si="34"/>
        <v/>
      </c>
      <c r="AG199" s="18" t="str">
        <f t="shared" si="35"/>
        <v/>
      </c>
      <c r="AH199" s="18" t="str">
        <f t="shared" si="36"/>
        <v/>
      </c>
      <c r="AI199" s="18" t="str">
        <f t="shared" si="37"/>
        <v/>
      </c>
      <c r="AJ199" s="18" t="str">
        <f t="shared" si="38"/>
        <v/>
      </c>
      <c r="AK199" s="18" t="str">
        <f t="shared" si="39"/>
        <v/>
      </c>
      <c r="AL199" s="18" t="str">
        <f t="shared" si="40"/>
        <v/>
      </c>
      <c r="AM199" s="18" t="str">
        <f t="shared" si="41"/>
        <v/>
      </c>
    </row>
    <row r="200" spans="1:39" x14ac:dyDescent="0.35">
      <c r="A200" s="56" t="s">
        <v>268</v>
      </c>
      <c r="B200" s="58">
        <v>12500</v>
      </c>
      <c r="C200" s="58" t="s">
        <v>36</v>
      </c>
      <c r="D200" s="58">
        <v>0</v>
      </c>
      <c r="E200" s="58">
        <v>0</v>
      </c>
      <c r="F200" s="58">
        <v>0</v>
      </c>
      <c r="G200" s="58">
        <v>0</v>
      </c>
      <c r="H200" s="58">
        <v>0</v>
      </c>
      <c r="I200" s="58">
        <v>0</v>
      </c>
      <c r="J200" s="58">
        <v>0</v>
      </c>
      <c r="K200" s="58">
        <v>0</v>
      </c>
      <c r="L200" s="58">
        <v>900</v>
      </c>
      <c r="M200" s="58">
        <v>0</v>
      </c>
      <c r="N200" s="58">
        <v>15136.95</v>
      </c>
      <c r="O200" s="58">
        <v>12500</v>
      </c>
      <c r="P200" s="58" t="s">
        <v>36</v>
      </c>
      <c r="Q200" s="58">
        <v>0</v>
      </c>
      <c r="R200" s="58">
        <v>0</v>
      </c>
      <c r="S200" s="58">
        <v>0</v>
      </c>
      <c r="T200" s="58">
        <v>0</v>
      </c>
      <c r="U200" s="58">
        <v>0</v>
      </c>
      <c r="V200" s="58">
        <v>0</v>
      </c>
      <c r="W200" s="58">
        <v>0</v>
      </c>
      <c r="X200" s="58">
        <v>0</v>
      </c>
      <c r="Y200" s="58">
        <v>4875</v>
      </c>
      <c r="Z200" s="58">
        <v>4875</v>
      </c>
      <c r="AA200" s="58">
        <v>15136.95</v>
      </c>
      <c r="AD200" s="18" t="str">
        <f t="array" ref="AD200">IFERROR(INDEX($A$1:$A$2000, MATCH(0, IF($AD$1*1=$C$1:$C$2090*1, COUNTIF($AD$1:$AD199, $A$1:$A$2000), ""), 0)),"")</f>
        <v/>
      </c>
      <c r="AE200" s="57" t="str">
        <f t="shared" si="33"/>
        <v/>
      </c>
      <c r="AF200" s="18" t="str">
        <f t="shared" si="34"/>
        <v/>
      </c>
      <c r="AG200" s="18" t="str">
        <f t="shared" si="35"/>
        <v/>
      </c>
      <c r="AH200" s="18" t="str">
        <f t="shared" si="36"/>
        <v/>
      </c>
      <c r="AI200" s="18" t="str">
        <f t="shared" si="37"/>
        <v/>
      </c>
      <c r="AJ200" s="18" t="str">
        <f t="shared" si="38"/>
        <v/>
      </c>
      <c r="AK200" s="18" t="str">
        <f t="shared" si="39"/>
        <v/>
      </c>
      <c r="AL200" s="18" t="str">
        <f t="shared" si="40"/>
        <v/>
      </c>
      <c r="AM200" s="18" t="str">
        <f t="shared" si="41"/>
        <v/>
      </c>
    </row>
    <row r="201" spans="1:39" x14ac:dyDescent="0.35">
      <c r="A201" s="56" t="s">
        <v>269</v>
      </c>
      <c r="B201" s="58">
        <v>12500</v>
      </c>
      <c r="C201" s="58" t="s">
        <v>35</v>
      </c>
      <c r="D201" s="58">
        <v>4593</v>
      </c>
      <c r="E201" s="58">
        <v>-43</v>
      </c>
      <c r="F201" s="58">
        <v>-0.92752372735116484</v>
      </c>
      <c r="G201" s="58">
        <v>607</v>
      </c>
      <c r="H201" s="58">
        <v>114.59</v>
      </c>
      <c r="I201" s="58">
        <v>0.15</v>
      </c>
      <c r="J201" s="58">
        <v>-0.35</v>
      </c>
      <c r="K201" s="58">
        <v>-70</v>
      </c>
      <c r="L201" s="58">
        <v>132975</v>
      </c>
      <c r="M201" s="58">
        <v>70950</v>
      </c>
      <c r="N201" s="58">
        <v>15136.95</v>
      </c>
      <c r="O201" s="58">
        <v>12500</v>
      </c>
      <c r="P201" s="58" t="s">
        <v>35</v>
      </c>
      <c r="Q201" s="58">
        <v>40</v>
      </c>
      <c r="R201" s="58">
        <v>-1</v>
      </c>
      <c r="S201" s="58">
        <v>-2.4390243902439024</v>
      </c>
      <c r="T201" s="58">
        <v>14</v>
      </c>
      <c r="U201" s="58">
        <v>0</v>
      </c>
      <c r="V201" s="58">
        <v>2640</v>
      </c>
      <c r="W201" s="58">
        <v>140</v>
      </c>
      <c r="X201" s="58">
        <v>5.6000000000000005</v>
      </c>
      <c r="Y201" s="58">
        <v>10050</v>
      </c>
      <c r="Z201" s="58">
        <v>12825</v>
      </c>
      <c r="AA201" s="58">
        <v>15136.95</v>
      </c>
      <c r="AE201" s="57"/>
    </row>
    <row r="202" spans="1:39" x14ac:dyDescent="0.35">
      <c r="A202" s="56" t="s">
        <v>270</v>
      </c>
      <c r="B202" s="58">
        <v>12500</v>
      </c>
      <c r="C202" s="58" t="s">
        <v>38</v>
      </c>
      <c r="D202" s="58">
        <v>0</v>
      </c>
      <c r="E202" s="58">
        <v>0</v>
      </c>
      <c r="F202" s="58">
        <v>0</v>
      </c>
      <c r="G202" s="58">
        <v>0</v>
      </c>
      <c r="H202" s="58">
        <v>0</v>
      </c>
      <c r="I202" s="58">
        <v>0</v>
      </c>
      <c r="J202" s="58">
        <v>0</v>
      </c>
      <c r="K202" s="58">
        <v>0</v>
      </c>
      <c r="L202" s="58">
        <v>3300</v>
      </c>
      <c r="M202" s="58">
        <v>0</v>
      </c>
      <c r="N202" s="58">
        <v>15136.95</v>
      </c>
      <c r="O202" s="58">
        <v>12500</v>
      </c>
      <c r="P202" s="58" t="s">
        <v>38</v>
      </c>
      <c r="Q202" s="58">
        <v>0</v>
      </c>
      <c r="R202" s="58">
        <v>0</v>
      </c>
      <c r="S202" s="58">
        <v>0</v>
      </c>
      <c r="T202" s="58">
        <v>0</v>
      </c>
      <c r="U202" s="58">
        <v>0</v>
      </c>
      <c r="V202" s="58">
        <v>0</v>
      </c>
      <c r="W202" s="58">
        <v>0</v>
      </c>
      <c r="X202" s="58">
        <v>0</v>
      </c>
      <c r="Y202" s="58">
        <v>4875</v>
      </c>
      <c r="Z202" s="58">
        <v>4875</v>
      </c>
      <c r="AA202" s="58">
        <v>15136.95</v>
      </c>
      <c r="AE202" s="57"/>
    </row>
    <row r="203" spans="1:39" x14ac:dyDescent="0.35">
      <c r="A203" s="56" t="s">
        <v>271</v>
      </c>
      <c r="B203" s="58">
        <v>12500</v>
      </c>
      <c r="C203" s="58" t="s">
        <v>26</v>
      </c>
      <c r="D203" s="58">
        <v>26841</v>
      </c>
      <c r="E203" s="58">
        <v>28</v>
      </c>
      <c r="F203" s="58">
        <v>0.10442695707306156</v>
      </c>
      <c r="G203" s="58">
        <v>285</v>
      </c>
      <c r="H203" s="58">
        <v>35.07</v>
      </c>
      <c r="I203" s="58">
        <v>28.95</v>
      </c>
      <c r="J203" s="58">
        <v>-2.9499999999999993</v>
      </c>
      <c r="K203" s="58">
        <v>-9.2476489028213145</v>
      </c>
      <c r="L203" s="58">
        <v>44850</v>
      </c>
      <c r="M203" s="58">
        <v>17250</v>
      </c>
      <c r="N203" s="58">
        <v>15136.95</v>
      </c>
      <c r="O203" s="58">
        <v>12500</v>
      </c>
      <c r="P203" s="58" t="s">
        <v>26</v>
      </c>
      <c r="Q203" s="58">
        <v>4182</v>
      </c>
      <c r="R203" s="58">
        <v>30</v>
      </c>
      <c r="S203" s="58">
        <v>0.7225433526011561</v>
      </c>
      <c r="T203" s="58">
        <v>45</v>
      </c>
      <c r="U203" s="58">
        <v>0</v>
      </c>
      <c r="V203" s="58">
        <v>2680</v>
      </c>
      <c r="W203" s="58">
        <v>9.8000000000001819</v>
      </c>
      <c r="X203" s="58">
        <v>0.36701370683844592</v>
      </c>
      <c r="Y203" s="58">
        <v>12150</v>
      </c>
      <c r="Z203" s="58">
        <v>12825</v>
      </c>
      <c r="AA203" s="58">
        <v>15136.95</v>
      </c>
      <c r="AE203" s="57"/>
    </row>
    <row r="204" spans="1:39" x14ac:dyDescent="0.35">
      <c r="A204" s="56" t="s">
        <v>272</v>
      </c>
      <c r="B204" s="58">
        <v>12500</v>
      </c>
      <c r="C204" s="58" t="s">
        <v>67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975</v>
      </c>
      <c r="M204" s="58">
        <v>0</v>
      </c>
      <c r="N204" s="58">
        <v>15136.95</v>
      </c>
      <c r="O204" s="58">
        <v>12500</v>
      </c>
      <c r="P204" s="58" t="s">
        <v>67</v>
      </c>
      <c r="Q204" s="58">
        <v>0</v>
      </c>
      <c r="R204" s="58">
        <v>0</v>
      </c>
      <c r="S204" s="58">
        <v>0</v>
      </c>
      <c r="T204" s="58">
        <v>0</v>
      </c>
      <c r="U204" s="58">
        <v>0</v>
      </c>
      <c r="V204" s="58">
        <v>0</v>
      </c>
      <c r="W204" s="58">
        <v>0</v>
      </c>
      <c r="X204" s="58">
        <v>0</v>
      </c>
      <c r="Y204" s="58">
        <v>4875</v>
      </c>
      <c r="Z204" s="58">
        <v>4875</v>
      </c>
      <c r="AA204" s="58">
        <v>15136.95</v>
      </c>
      <c r="AE204" s="57"/>
    </row>
    <row r="205" spans="1:39" x14ac:dyDescent="0.35">
      <c r="A205" s="56" t="s">
        <v>273</v>
      </c>
      <c r="B205" s="58">
        <v>12500</v>
      </c>
      <c r="C205" s="58" t="s">
        <v>2071</v>
      </c>
      <c r="D205" s="58">
        <v>534</v>
      </c>
      <c r="E205" s="58">
        <v>2</v>
      </c>
      <c r="F205" s="58">
        <v>0.37593984962406019</v>
      </c>
      <c r="G205" s="58">
        <v>10</v>
      </c>
      <c r="H205" s="58">
        <v>31.92</v>
      </c>
      <c r="I205" s="58">
        <v>64.95</v>
      </c>
      <c r="J205" s="58">
        <v>2</v>
      </c>
      <c r="K205" s="58">
        <v>3.177124702144559</v>
      </c>
      <c r="L205" s="58">
        <v>25050</v>
      </c>
      <c r="M205" s="58">
        <v>9450</v>
      </c>
      <c r="N205" s="58">
        <v>15136.95</v>
      </c>
      <c r="O205" s="58">
        <v>12500</v>
      </c>
      <c r="P205" s="58" t="s">
        <v>2071</v>
      </c>
      <c r="Q205" s="58">
        <v>6</v>
      </c>
      <c r="R205" s="58">
        <v>0</v>
      </c>
      <c r="S205" s="58">
        <v>0</v>
      </c>
      <c r="T205" s="58">
        <v>0</v>
      </c>
      <c r="U205" s="58">
        <v>0</v>
      </c>
      <c r="V205" s="58">
        <v>0</v>
      </c>
      <c r="W205" s="58">
        <v>0</v>
      </c>
      <c r="X205" s="58">
        <v>0</v>
      </c>
      <c r="Y205" s="58">
        <v>10350</v>
      </c>
      <c r="Z205" s="58">
        <v>10200</v>
      </c>
      <c r="AA205" s="58">
        <v>15136.95</v>
      </c>
      <c r="AE205" s="57"/>
    </row>
    <row r="206" spans="1:39" x14ac:dyDescent="0.35">
      <c r="A206" s="56" t="s">
        <v>274</v>
      </c>
      <c r="B206" s="58">
        <v>12500</v>
      </c>
      <c r="C206" s="58" t="s">
        <v>27</v>
      </c>
      <c r="D206" s="58">
        <v>351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9450</v>
      </c>
      <c r="M206" s="58">
        <v>225</v>
      </c>
      <c r="N206" s="58">
        <v>15136.95</v>
      </c>
      <c r="O206" s="58">
        <v>12500</v>
      </c>
      <c r="P206" s="58" t="s">
        <v>27</v>
      </c>
      <c r="Q206" s="58">
        <v>0</v>
      </c>
      <c r="R206" s="58">
        <v>0</v>
      </c>
      <c r="S206" s="58">
        <v>0</v>
      </c>
      <c r="T206" s="58">
        <v>0</v>
      </c>
      <c r="U206" s="58">
        <v>0</v>
      </c>
      <c r="V206" s="58">
        <v>0</v>
      </c>
      <c r="W206" s="58">
        <v>0</v>
      </c>
      <c r="X206" s="58">
        <v>0</v>
      </c>
      <c r="Y206" s="58">
        <v>3075</v>
      </c>
      <c r="Z206" s="58">
        <v>0</v>
      </c>
      <c r="AA206" s="58">
        <v>15136.95</v>
      </c>
      <c r="AE206" s="57"/>
    </row>
    <row r="207" spans="1:39" x14ac:dyDescent="0.35">
      <c r="A207" s="56" t="s">
        <v>275</v>
      </c>
      <c r="B207" s="58">
        <v>12500</v>
      </c>
      <c r="C207" s="58" t="s">
        <v>31</v>
      </c>
      <c r="D207" s="58">
        <v>0</v>
      </c>
      <c r="E207" s="58">
        <v>0</v>
      </c>
      <c r="F207" s="58">
        <v>0</v>
      </c>
      <c r="G207" s="58">
        <v>0</v>
      </c>
      <c r="H207" s="58">
        <v>0</v>
      </c>
      <c r="I207" s="58">
        <v>0</v>
      </c>
      <c r="J207" s="58">
        <v>0</v>
      </c>
      <c r="K207" s="58">
        <v>0</v>
      </c>
      <c r="L207" s="58">
        <v>6150</v>
      </c>
      <c r="M207" s="58">
        <v>0</v>
      </c>
      <c r="N207" s="58">
        <v>15136.95</v>
      </c>
      <c r="O207" s="58">
        <v>12500</v>
      </c>
      <c r="P207" s="58" t="s">
        <v>31</v>
      </c>
      <c r="Q207" s="58">
        <v>0</v>
      </c>
      <c r="R207" s="58">
        <v>0</v>
      </c>
      <c r="S207" s="58">
        <v>0</v>
      </c>
      <c r="T207" s="58">
        <v>0</v>
      </c>
      <c r="U207" s="58">
        <v>0</v>
      </c>
      <c r="V207" s="58">
        <v>0</v>
      </c>
      <c r="W207" s="58">
        <v>0</v>
      </c>
      <c r="X207" s="58">
        <v>0</v>
      </c>
      <c r="Y207" s="58">
        <v>1800</v>
      </c>
      <c r="Z207" s="58">
        <v>0</v>
      </c>
      <c r="AA207" s="58">
        <v>15136.95</v>
      </c>
      <c r="AE207" s="57"/>
    </row>
    <row r="208" spans="1:39" x14ac:dyDescent="0.35">
      <c r="A208" s="56" t="s">
        <v>276</v>
      </c>
      <c r="B208" s="58">
        <v>12500</v>
      </c>
      <c r="C208" s="58" t="s">
        <v>29</v>
      </c>
      <c r="D208" s="58">
        <v>1278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6900</v>
      </c>
      <c r="M208" s="58">
        <v>4425</v>
      </c>
      <c r="N208" s="58">
        <v>15136.95</v>
      </c>
      <c r="O208" s="58">
        <v>12500</v>
      </c>
      <c r="P208" s="58" t="s">
        <v>29</v>
      </c>
      <c r="Q208" s="58">
        <v>12</v>
      </c>
      <c r="R208" s="58">
        <v>0</v>
      </c>
      <c r="S208" s="58">
        <v>0</v>
      </c>
      <c r="T208" s="58">
        <v>0</v>
      </c>
      <c r="U208" s="58">
        <v>0</v>
      </c>
      <c r="V208" s="58">
        <v>0</v>
      </c>
      <c r="W208" s="58">
        <v>0</v>
      </c>
      <c r="X208" s="58">
        <v>0</v>
      </c>
      <c r="Y208" s="58">
        <v>2925</v>
      </c>
      <c r="Z208" s="58">
        <v>1050</v>
      </c>
      <c r="AA208" s="58">
        <v>15136.95</v>
      </c>
      <c r="AE208" s="57"/>
    </row>
    <row r="209" spans="1:31" x14ac:dyDescent="0.35">
      <c r="A209" s="56" t="s">
        <v>277</v>
      </c>
      <c r="B209" s="58">
        <v>12500</v>
      </c>
      <c r="C209" s="58" t="s">
        <v>30</v>
      </c>
      <c r="D209" s="58">
        <v>136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3825</v>
      </c>
      <c r="M209" s="58">
        <v>75</v>
      </c>
      <c r="N209" s="58">
        <v>15136.95</v>
      </c>
      <c r="O209" s="58">
        <v>0</v>
      </c>
      <c r="P209" s="58">
        <v>0</v>
      </c>
      <c r="Q209" s="58">
        <v>0</v>
      </c>
      <c r="R209" s="58">
        <v>0</v>
      </c>
      <c r="S209" s="58">
        <v>0</v>
      </c>
      <c r="T209" s="58">
        <v>0</v>
      </c>
      <c r="U209" s="58">
        <v>0</v>
      </c>
      <c r="V209" s="58">
        <v>0</v>
      </c>
      <c r="W209" s="58">
        <v>0</v>
      </c>
      <c r="X209" s="58">
        <v>0</v>
      </c>
      <c r="Y209" s="58">
        <v>0</v>
      </c>
      <c r="Z209" s="58">
        <v>0</v>
      </c>
      <c r="AA209" s="58">
        <v>0</v>
      </c>
      <c r="AE209" s="57"/>
    </row>
    <row r="210" spans="1:31" x14ac:dyDescent="0.35">
      <c r="A210" s="56" t="s">
        <v>278</v>
      </c>
      <c r="B210" s="58">
        <v>12500</v>
      </c>
      <c r="C210" s="58" t="s">
        <v>28</v>
      </c>
      <c r="D210" s="58">
        <v>93</v>
      </c>
      <c r="E210" s="58">
        <v>0</v>
      </c>
      <c r="F210" s="58">
        <v>0</v>
      </c>
      <c r="G210" s="58">
        <v>0</v>
      </c>
      <c r="H210" s="58">
        <v>0</v>
      </c>
      <c r="I210" s="58">
        <v>0</v>
      </c>
      <c r="J210" s="58">
        <v>0</v>
      </c>
      <c r="K210" s="58">
        <v>0</v>
      </c>
      <c r="L210" s="58">
        <v>1500</v>
      </c>
      <c r="M210" s="58">
        <v>0</v>
      </c>
      <c r="N210" s="58">
        <v>15136.95</v>
      </c>
      <c r="O210" s="58">
        <v>0</v>
      </c>
      <c r="P210" s="58">
        <v>0</v>
      </c>
      <c r="Q210" s="58">
        <v>0</v>
      </c>
      <c r="R210" s="58">
        <v>0</v>
      </c>
      <c r="S210" s="58">
        <v>0</v>
      </c>
      <c r="T210" s="58">
        <v>0</v>
      </c>
      <c r="U210" s="58">
        <v>0</v>
      </c>
      <c r="V210" s="58">
        <v>0</v>
      </c>
      <c r="W210" s="58">
        <v>0</v>
      </c>
      <c r="X210" s="58">
        <v>0</v>
      </c>
      <c r="Y210" s="58">
        <v>0</v>
      </c>
      <c r="Z210" s="58">
        <v>0</v>
      </c>
      <c r="AA210" s="58">
        <v>0</v>
      </c>
      <c r="AE210" s="57"/>
    </row>
    <row r="211" spans="1:31" x14ac:dyDescent="0.35">
      <c r="A211" s="56" t="s">
        <v>279</v>
      </c>
      <c r="B211" s="58">
        <v>12500</v>
      </c>
      <c r="C211" s="58" t="s">
        <v>34</v>
      </c>
      <c r="D211" s="58">
        <v>448</v>
      </c>
      <c r="E211" s="58">
        <v>75</v>
      </c>
      <c r="F211" s="58">
        <v>20.107238605898122</v>
      </c>
      <c r="G211" s="58">
        <v>322</v>
      </c>
      <c r="H211" s="58">
        <v>54.93</v>
      </c>
      <c r="I211" s="58">
        <v>1.75</v>
      </c>
      <c r="J211" s="58">
        <v>-0.75</v>
      </c>
      <c r="K211" s="58">
        <v>-30</v>
      </c>
      <c r="L211" s="58">
        <v>146775</v>
      </c>
      <c r="M211" s="58">
        <v>26700</v>
      </c>
      <c r="N211" s="58">
        <v>15136.95</v>
      </c>
      <c r="O211" s="58">
        <v>12500</v>
      </c>
      <c r="P211" s="58" t="s">
        <v>34</v>
      </c>
      <c r="Q211" s="58">
        <v>0</v>
      </c>
      <c r="R211" s="58">
        <v>0</v>
      </c>
      <c r="S211" s="58">
        <v>0</v>
      </c>
      <c r="T211" s="58">
        <v>0</v>
      </c>
      <c r="U211" s="58">
        <v>0</v>
      </c>
      <c r="V211" s="58">
        <v>0</v>
      </c>
      <c r="W211" s="58">
        <v>0</v>
      </c>
      <c r="X211" s="58">
        <v>0</v>
      </c>
      <c r="Y211" s="58">
        <v>5550</v>
      </c>
      <c r="Z211" s="58">
        <v>8025</v>
      </c>
      <c r="AA211" s="58">
        <v>15136.95</v>
      </c>
      <c r="AE211" s="57"/>
    </row>
    <row r="212" spans="1:31" x14ac:dyDescent="0.35">
      <c r="A212" s="56" t="s">
        <v>280</v>
      </c>
      <c r="B212" s="58">
        <v>12500</v>
      </c>
      <c r="C212" s="58" t="s">
        <v>33</v>
      </c>
      <c r="D212" s="58">
        <v>9615</v>
      </c>
      <c r="E212" s="58">
        <v>-32</v>
      </c>
      <c r="F212" s="58">
        <v>-0.33170933969109567</v>
      </c>
      <c r="G212" s="58">
        <v>807</v>
      </c>
      <c r="H212" s="58">
        <v>45.88</v>
      </c>
      <c r="I212" s="58">
        <v>6.4</v>
      </c>
      <c r="J212" s="58">
        <v>-1.0499999999999998</v>
      </c>
      <c r="K212" s="58">
        <v>-14.09395973154362</v>
      </c>
      <c r="L212" s="58">
        <v>21150</v>
      </c>
      <c r="M212" s="58">
        <v>19125</v>
      </c>
      <c r="N212" s="58">
        <v>15136.95</v>
      </c>
      <c r="O212" s="58">
        <v>12500</v>
      </c>
      <c r="P212" s="58" t="s">
        <v>33</v>
      </c>
      <c r="Q212" s="58">
        <v>2452</v>
      </c>
      <c r="R212" s="58">
        <v>-36</v>
      </c>
      <c r="S212" s="58">
        <v>-1.4469453376205788</v>
      </c>
      <c r="T212" s="58">
        <v>49</v>
      </c>
      <c r="U212" s="58">
        <v>0</v>
      </c>
      <c r="V212" s="58">
        <v>2646.45</v>
      </c>
      <c r="W212" s="58">
        <v>34.5</v>
      </c>
      <c r="X212" s="58">
        <v>1.320852236834549</v>
      </c>
      <c r="Y212" s="58">
        <v>14850</v>
      </c>
      <c r="Z212" s="58">
        <v>13725</v>
      </c>
      <c r="AA212" s="58">
        <v>15136.95</v>
      </c>
      <c r="AE212" s="57"/>
    </row>
    <row r="213" spans="1:31" x14ac:dyDescent="0.35">
      <c r="A213" s="56" t="s">
        <v>281</v>
      </c>
      <c r="B213" s="58">
        <v>12500</v>
      </c>
      <c r="C213" s="58" t="s">
        <v>37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900</v>
      </c>
      <c r="M213" s="58">
        <v>0</v>
      </c>
      <c r="N213" s="58">
        <v>15136.95</v>
      </c>
      <c r="O213" s="58">
        <v>12500</v>
      </c>
      <c r="P213" s="58" t="s">
        <v>37</v>
      </c>
      <c r="Q213" s="58">
        <v>0</v>
      </c>
      <c r="R213" s="58">
        <v>0</v>
      </c>
      <c r="S213" s="58">
        <v>0</v>
      </c>
      <c r="T213" s="58">
        <v>0</v>
      </c>
      <c r="U213" s="58">
        <v>0</v>
      </c>
      <c r="V213" s="58">
        <v>0</v>
      </c>
      <c r="W213" s="58">
        <v>0</v>
      </c>
      <c r="X213" s="58">
        <v>0</v>
      </c>
      <c r="Y213" s="58">
        <v>4875</v>
      </c>
      <c r="Z213" s="58">
        <v>4875</v>
      </c>
      <c r="AA213" s="58">
        <v>15136.95</v>
      </c>
      <c r="AE213" s="57"/>
    </row>
    <row r="214" spans="1:31" x14ac:dyDescent="0.35">
      <c r="A214" s="56" t="s">
        <v>282</v>
      </c>
      <c r="B214" s="58">
        <v>12550</v>
      </c>
      <c r="C214" s="58" t="s">
        <v>33</v>
      </c>
      <c r="D214" s="58">
        <v>40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11400</v>
      </c>
      <c r="M214" s="58">
        <v>0</v>
      </c>
      <c r="N214" s="58">
        <v>15136.95</v>
      </c>
      <c r="O214" s="58">
        <v>12550</v>
      </c>
      <c r="P214" s="58" t="s">
        <v>33</v>
      </c>
      <c r="Q214" s="58">
        <v>1</v>
      </c>
      <c r="R214" s="58">
        <v>0</v>
      </c>
      <c r="S214" s="58">
        <v>0</v>
      </c>
      <c r="T214" s="58">
        <v>0</v>
      </c>
      <c r="U214" s="58">
        <v>0</v>
      </c>
      <c r="V214" s="58">
        <v>0</v>
      </c>
      <c r="W214" s="58">
        <v>0</v>
      </c>
      <c r="X214" s="58">
        <v>0</v>
      </c>
      <c r="Y214" s="58">
        <v>14250</v>
      </c>
      <c r="Z214" s="58">
        <v>6375</v>
      </c>
      <c r="AA214" s="58">
        <v>15136.95</v>
      </c>
      <c r="AE214" s="57"/>
    </row>
    <row r="215" spans="1:31" x14ac:dyDescent="0.35">
      <c r="A215" s="56" t="s">
        <v>283</v>
      </c>
      <c r="B215" s="58">
        <v>0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58">
        <v>12550</v>
      </c>
      <c r="P215" s="58" t="s">
        <v>36</v>
      </c>
      <c r="Q215" s="58">
        <v>0</v>
      </c>
      <c r="R215" s="58">
        <v>0</v>
      </c>
      <c r="S215" s="58">
        <v>0</v>
      </c>
      <c r="T215" s="58">
        <v>0</v>
      </c>
      <c r="U215" s="58">
        <v>0</v>
      </c>
      <c r="V215" s="58">
        <v>0</v>
      </c>
      <c r="W215" s="58">
        <v>0</v>
      </c>
      <c r="X215" s="58">
        <v>0</v>
      </c>
      <c r="Y215" s="58">
        <v>4875</v>
      </c>
      <c r="Z215" s="58">
        <v>4875</v>
      </c>
      <c r="AA215" s="58">
        <v>15136.95</v>
      </c>
      <c r="AE215" s="57"/>
    </row>
    <row r="216" spans="1:31" x14ac:dyDescent="0.35">
      <c r="A216" s="56" t="s">
        <v>284</v>
      </c>
      <c r="B216" s="58">
        <v>0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58">
        <v>12550</v>
      </c>
      <c r="P216" s="58" t="s">
        <v>37</v>
      </c>
      <c r="Q216" s="58">
        <v>0</v>
      </c>
      <c r="R216" s="58">
        <v>0</v>
      </c>
      <c r="S216" s="58">
        <v>0</v>
      </c>
      <c r="T216" s="58">
        <v>0</v>
      </c>
      <c r="U216" s="58">
        <v>0</v>
      </c>
      <c r="V216" s="58">
        <v>0</v>
      </c>
      <c r="W216" s="58">
        <v>0</v>
      </c>
      <c r="X216" s="58">
        <v>0</v>
      </c>
      <c r="Y216" s="58">
        <v>4875</v>
      </c>
      <c r="Z216" s="58">
        <v>4875</v>
      </c>
      <c r="AA216" s="58">
        <v>15136.95</v>
      </c>
      <c r="AE216" s="57"/>
    </row>
    <row r="217" spans="1:31" x14ac:dyDescent="0.35">
      <c r="A217" s="56" t="s">
        <v>285</v>
      </c>
      <c r="B217" s="58">
        <v>0</v>
      </c>
      <c r="C217" s="58">
        <v>0</v>
      </c>
      <c r="D217" s="58">
        <v>0</v>
      </c>
      <c r="E217" s="58">
        <v>0</v>
      </c>
      <c r="F217" s="58">
        <v>0</v>
      </c>
      <c r="G217" s="58">
        <v>0</v>
      </c>
      <c r="H217" s="58">
        <v>0</v>
      </c>
      <c r="I217" s="58">
        <v>0</v>
      </c>
      <c r="J217" s="58">
        <v>0</v>
      </c>
      <c r="K217" s="58">
        <v>0</v>
      </c>
      <c r="L217" s="58">
        <v>0</v>
      </c>
      <c r="M217" s="58">
        <v>0</v>
      </c>
      <c r="N217" s="58">
        <v>0</v>
      </c>
      <c r="O217" s="58">
        <v>12550</v>
      </c>
      <c r="P217" s="58" t="s">
        <v>38</v>
      </c>
      <c r="Q217" s="58">
        <v>0</v>
      </c>
      <c r="R217" s="58">
        <v>0</v>
      </c>
      <c r="S217" s="58">
        <v>0</v>
      </c>
      <c r="T217" s="58">
        <v>0</v>
      </c>
      <c r="U217" s="58">
        <v>0</v>
      </c>
      <c r="V217" s="58">
        <v>0</v>
      </c>
      <c r="W217" s="58">
        <v>0</v>
      </c>
      <c r="X217" s="58">
        <v>0</v>
      </c>
      <c r="Y217" s="58">
        <v>4875</v>
      </c>
      <c r="Z217" s="58">
        <v>4875</v>
      </c>
      <c r="AA217" s="58">
        <v>15136.95</v>
      </c>
      <c r="AE217" s="57"/>
    </row>
    <row r="218" spans="1:31" x14ac:dyDescent="0.35">
      <c r="A218" s="56" t="s">
        <v>286</v>
      </c>
      <c r="B218" s="58">
        <v>12550</v>
      </c>
      <c r="C218" s="58" t="s">
        <v>26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525</v>
      </c>
      <c r="M218" s="58">
        <v>0</v>
      </c>
      <c r="N218" s="58">
        <v>15136.95</v>
      </c>
      <c r="O218" s="58">
        <v>12550</v>
      </c>
      <c r="P218" s="58" t="s">
        <v>26</v>
      </c>
      <c r="Q218" s="58">
        <v>0</v>
      </c>
      <c r="R218" s="58">
        <v>0</v>
      </c>
      <c r="S218" s="58">
        <v>0</v>
      </c>
      <c r="T218" s="58">
        <v>0</v>
      </c>
      <c r="U218" s="58">
        <v>0</v>
      </c>
      <c r="V218" s="58">
        <v>0</v>
      </c>
      <c r="W218" s="58">
        <v>0</v>
      </c>
      <c r="X218" s="58">
        <v>0</v>
      </c>
      <c r="Y218" s="58">
        <v>12675</v>
      </c>
      <c r="Z218" s="58">
        <v>7725</v>
      </c>
      <c r="AA218" s="58">
        <v>15136.95</v>
      </c>
      <c r="AE218" s="57"/>
    </row>
    <row r="219" spans="1:31" x14ac:dyDescent="0.35">
      <c r="A219" s="56" t="s">
        <v>287</v>
      </c>
      <c r="B219" s="58">
        <v>0</v>
      </c>
      <c r="C219" s="58">
        <v>0</v>
      </c>
      <c r="D219" s="58">
        <v>0</v>
      </c>
      <c r="E219" s="58">
        <v>0</v>
      </c>
      <c r="F219" s="58">
        <v>0</v>
      </c>
      <c r="G219" s="58">
        <v>0</v>
      </c>
      <c r="H219" s="58">
        <v>0</v>
      </c>
      <c r="I219" s="58">
        <v>0</v>
      </c>
      <c r="J219" s="58">
        <v>0</v>
      </c>
      <c r="K219" s="58">
        <v>0</v>
      </c>
      <c r="L219" s="58">
        <v>0</v>
      </c>
      <c r="M219" s="58">
        <v>0</v>
      </c>
      <c r="N219" s="58">
        <v>0</v>
      </c>
      <c r="O219" s="58">
        <v>12550</v>
      </c>
      <c r="P219" s="58" t="s">
        <v>67</v>
      </c>
      <c r="Q219" s="58">
        <v>0</v>
      </c>
      <c r="R219" s="58">
        <v>0</v>
      </c>
      <c r="S219" s="58">
        <v>0</v>
      </c>
      <c r="T219" s="58">
        <v>0</v>
      </c>
      <c r="U219" s="58">
        <v>0</v>
      </c>
      <c r="V219" s="58">
        <v>0</v>
      </c>
      <c r="W219" s="58">
        <v>0</v>
      </c>
      <c r="X219" s="58">
        <v>0</v>
      </c>
      <c r="Y219" s="58">
        <v>4875</v>
      </c>
      <c r="Z219" s="58">
        <v>4875</v>
      </c>
      <c r="AA219" s="58">
        <v>15136.95</v>
      </c>
      <c r="AE219" s="57"/>
    </row>
    <row r="220" spans="1:31" x14ac:dyDescent="0.35">
      <c r="A220" s="56" t="s">
        <v>288</v>
      </c>
      <c r="B220" s="58">
        <v>0</v>
      </c>
      <c r="C220" s="58">
        <v>0</v>
      </c>
      <c r="D220" s="58">
        <v>0</v>
      </c>
      <c r="E220" s="58">
        <v>0</v>
      </c>
      <c r="F220" s="58">
        <v>0</v>
      </c>
      <c r="G220" s="58">
        <v>0</v>
      </c>
      <c r="H220" s="58">
        <v>0</v>
      </c>
      <c r="I220" s="58">
        <v>0</v>
      </c>
      <c r="J220" s="58">
        <v>0</v>
      </c>
      <c r="K220" s="58">
        <v>0</v>
      </c>
      <c r="L220" s="58">
        <v>0</v>
      </c>
      <c r="M220" s="58">
        <v>0</v>
      </c>
      <c r="N220" s="58">
        <v>0</v>
      </c>
      <c r="O220" s="58">
        <v>12550</v>
      </c>
      <c r="P220" s="58" t="s">
        <v>2071</v>
      </c>
      <c r="Q220" s="58">
        <v>0</v>
      </c>
      <c r="R220" s="58">
        <v>0</v>
      </c>
      <c r="S220" s="58">
        <v>0</v>
      </c>
      <c r="T220" s="58">
        <v>0</v>
      </c>
      <c r="U220" s="58">
        <v>0</v>
      </c>
      <c r="V220" s="58">
        <v>0</v>
      </c>
      <c r="W220" s="58">
        <v>0</v>
      </c>
      <c r="X220" s="58">
        <v>0</v>
      </c>
      <c r="Y220" s="58">
        <v>9825</v>
      </c>
      <c r="Z220" s="58">
        <v>4875</v>
      </c>
      <c r="AA220" s="58">
        <v>15136.95</v>
      </c>
      <c r="AE220" s="57"/>
    </row>
    <row r="221" spans="1:31" x14ac:dyDescent="0.35">
      <c r="A221" s="56" t="s">
        <v>289</v>
      </c>
      <c r="B221" s="58">
        <v>12550</v>
      </c>
      <c r="C221" s="58" t="s">
        <v>34</v>
      </c>
      <c r="D221" s="58">
        <v>0</v>
      </c>
      <c r="E221" s="58">
        <v>0</v>
      </c>
      <c r="F221" s="58">
        <v>0</v>
      </c>
      <c r="G221" s="58">
        <v>0</v>
      </c>
      <c r="H221" s="58">
        <v>0</v>
      </c>
      <c r="I221" s="58">
        <v>0</v>
      </c>
      <c r="J221" s="58">
        <v>0</v>
      </c>
      <c r="K221" s="58">
        <v>0</v>
      </c>
      <c r="L221" s="58">
        <v>10950</v>
      </c>
      <c r="M221" s="58">
        <v>0</v>
      </c>
      <c r="N221" s="58">
        <v>15136.95</v>
      </c>
      <c r="O221" s="58">
        <v>12550</v>
      </c>
      <c r="P221" s="58" t="s">
        <v>34</v>
      </c>
      <c r="Q221" s="58">
        <v>0</v>
      </c>
      <c r="R221" s="58">
        <v>0</v>
      </c>
      <c r="S221" s="58">
        <v>0</v>
      </c>
      <c r="T221" s="58">
        <v>0</v>
      </c>
      <c r="U221" s="58">
        <v>0</v>
      </c>
      <c r="V221" s="58">
        <v>0</v>
      </c>
      <c r="W221" s="58">
        <v>0</v>
      </c>
      <c r="X221" s="58">
        <v>0</v>
      </c>
      <c r="Y221" s="58">
        <v>7725</v>
      </c>
      <c r="Z221" s="58">
        <v>7725</v>
      </c>
      <c r="AA221" s="58">
        <v>15136.95</v>
      </c>
      <c r="AE221" s="57"/>
    </row>
    <row r="222" spans="1:31" x14ac:dyDescent="0.35">
      <c r="A222" s="56" t="s">
        <v>290</v>
      </c>
      <c r="B222" s="58">
        <v>12550</v>
      </c>
      <c r="C222" s="58" t="s">
        <v>35</v>
      </c>
      <c r="D222" s="58">
        <v>32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31275</v>
      </c>
      <c r="N222" s="58">
        <v>15136.95</v>
      </c>
      <c r="O222" s="58">
        <v>12550</v>
      </c>
      <c r="P222" s="58" t="s">
        <v>35</v>
      </c>
      <c r="Q222" s="58">
        <v>0</v>
      </c>
      <c r="R222" s="58">
        <v>0</v>
      </c>
      <c r="S222" s="58">
        <v>0</v>
      </c>
      <c r="T222" s="58">
        <v>0</v>
      </c>
      <c r="U222" s="58">
        <v>0</v>
      </c>
      <c r="V222" s="58">
        <v>0</v>
      </c>
      <c r="W222" s="58">
        <v>0</v>
      </c>
      <c r="X222" s="58">
        <v>0</v>
      </c>
      <c r="Y222" s="58">
        <v>9225</v>
      </c>
      <c r="Z222" s="58">
        <v>9300</v>
      </c>
      <c r="AA222" s="58">
        <v>15136.95</v>
      </c>
      <c r="AE222" s="57"/>
    </row>
    <row r="223" spans="1:31" x14ac:dyDescent="0.35">
      <c r="A223" s="56" t="s">
        <v>291</v>
      </c>
      <c r="B223" s="58">
        <v>12600</v>
      </c>
      <c r="C223" s="58" t="s">
        <v>33</v>
      </c>
      <c r="D223" s="58">
        <v>1616</v>
      </c>
      <c r="E223" s="58">
        <v>9</v>
      </c>
      <c r="F223" s="58">
        <v>0.5600497822028625</v>
      </c>
      <c r="G223" s="58">
        <v>38</v>
      </c>
      <c r="H223" s="58">
        <v>44.81</v>
      </c>
      <c r="I223" s="58">
        <v>7</v>
      </c>
      <c r="J223" s="58">
        <v>-0.65000000000000036</v>
      </c>
      <c r="K223" s="58">
        <v>-8.4967320261437962</v>
      </c>
      <c r="L223" s="58">
        <v>12075</v>
      </c>
      <c r="M223" s="58">
        <v>3450</v>
      </c>
      <c r="N223" s="58">
        <v>15136.95</v>
      </c>
      <c r="O223" s="58">
        <v>12600</v>
      </c>
      <c r="P223" s="58" t="s">
        <v>33</v>
      </c>
      <c r="Q223" s="58">
        <v>259</v>
      </c>
      <c r="R223" s="58">
        <v>0</v>
      </c>
      <c r="S223" s="58">
        <v>0</v>
      </c>
      <c r="T223" s="58">
        <v>0</v>
      </c>
      <c r="U223" s="58">
        <v>0</v>
      </c>
      <c r="V223" s="58">
        <v>0</v>
      </c>
      <c r="W223" s="58">
        <v>0</v>
      </c>
      <c r="X223" s="58">
        <v>0</v>
      </c>
      <c r="Y223" s="58">
        <v>11475</v>
      </c>
      <c r="Z223" s="58">
        <v>11550</v>
      </c>
      <c r="AA223" s="58">
        <v>15136.95</v>
      </c>
      <c r="AE223" s="57"/>
    </row>
    <row r="224" spans="1:31" x14ac:dyDescent="0.35">
      <c r="A224" s="56" t="s">
        <v>292</v>
      </c>
      <c r="B224" s="58">
        <v>12600</v>
      </c>
      <c r="C224" s="58" t="s">
        <v>36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600</v>
      </c>
      <c r="M224" s="58">
        <v>0</v>
      </c>
      <c r="N224" s="58">
        <v>15136.95</v>
      </c>
      <c r="O224" s="58">
        <v>12600</v>
      </c>
      <c r="P224" s="58" t="s">
        <v>36</v>
      </c>
      <c r="Q224" s="58">
        <v>0</v>
      </c>
      <c r="R224" s="58">
        <v>0</v>
      </c>
      <c r="S224" s="58">
        <v>0</v>
      </c>
      <c r="T224" s="58">
        <v>0</v>
      </c>
      <c r="U224" s="58">
        <v>0</v>
      </c>
      <c r="V224" s="58">
        <v>0</v>
      </c>
      <c r="W224" s="58">
        <v>0</v>
      </c>
      <c r="X224" s="58">
        <v>0</v>
      </c>
      <c r="Y224" s="58">
        <v>4875</v>
      </c>
      <c r="Z224" s="58">
        <v>4875</v>
      </c>
      <c r="AA224" s="58">
        <v>15136.95</v>
      </c>
      <c r="AE224" s="57"/>
    </row>
    <row r="225" spans="1:31" x14ac:dyDescent="0.35">
      <c r="A225" s="56" t="s">
        <v>293</v>
      </c>
      <c r="B225" s="58">
        <v>12600</v>
      </c>
      <c r="C225" s="58" t="s">
        <v>37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600</v>
      </c>
      <c r="M225" s="58">
        <v>0</v>
      </c>
      <c r="N225" s="58">
        <v>15136.95</v>
      </c>
      <c r="O225" s="58">
        <v>12600</v>
      </c>
      <c r="P225" s="58" t="s">
        <v>37</v>
      </c>
      <c r="Q225" s="58">
        <v>0</v>
      </c>
      <c r="R225" s="58">
        <v>0</v>
      </c>
      <c r="S225" s="58">
        <v>0</v>
      </c>
      <c r="T225" s="58">
        <v>0</v>
      </c>
      <c r="U225" s="58">
        <v>0</v>
      </c>
      <c r="V225" s="58">
        <v>0</v>
      </c>
      <c r="W225" s="58">
        <v>0</v>
      </c>
      <c r="X225" s="58">
        <v>0</v>
      </c>
      <c r="Y225" s="58">
        <v>4875</v>
      </c>
      <c r="Z225" s="58">
        <v>4875</v>
      </c>
      <c r="AA225" s="58">
        <v>15136.95</v>
      </c>
      <c r="AE225" s="57"/>
    </row>
    <row r="226" spans="1:31" x14ac:dyDescent="0.35">
      <c r="A226" s="56" t="s">
        <v>294</v>
      </c>
      <c r="B226" s="58">
        <v>12600</v>
      </c>
      <c r="C226" s="58" t="s">
        <v>38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1500</v>
      </c>
      <c r="M226" s="58">
        <v>0</v>
      </c>
      <c r="N226" s="58">
        <v>15136.95</v>
      </c>
      <c r="O226" s="58">
        <v>12600</v>
      </c>
      <c r="P226" s="58" t="s">
        <v>38</v>
      </c>
      <c r="Q226" s="58">
        <v>0</v>
      </c>
      <c r="R226" s="58">
        <v>0</v>
      </c>
      <c r="S226" s="58">
        <v>0</v>
      </c>
      <c r="T226" s="58">
        <v>0</v>
      </c>
      <c r="U226" s="58">
        <v>0</v>
      </c>
      <c r="V226" s="58">
        <v>0</v>
      </c>
      <c r="W226" s="58">
        <v>0</v>
      </c>
      <c r="X226" s="58">
        <v>0</v>
      </c>
      <c r="Y226" s="58">
        <v>4875</v>
      </c>
      <c r="Z226" s="58">
        <v>4875</v>
      </c>
      <c r="AA226" s="58">
        <v>15136.95</v>
      </c>
      <c r="AE226" s="57"/>
    </row>
    <row r="227" spans="1:31" x14ac:dyDescent="0.35">
      <c r="A227" s="56" t="s">
        <v>295</v>
      </c>
      <c r="B227" s="58">
        <v>12600</v>
      </c>
      <c r="C227" s="58" t="s">
        <v>26</v>
      </c>
      <c r="D227" s="58">
        <v>36</v>
      </c>
      <c r="E227" s="58">
        <v>0</v>
      </c>
      <c r="F227" s="58">
        <v>0</v>
      </c>
      <c r="G227" s="58">
        <v>3</v>
      </c>
      <c r="H227" s="58">
        <v>35.26</v>
      </c>
      <c r="I227" s="58">
        <v>35.15</v>
      </c>
      <c r="J227" s="58">
        <v>1.0499999999999972</v>
      </c>
      <c r="K227" s="58">
        <v>3.07917888563049</v>
      </c>
      <c r="L227" s="58">
        <v>25425</v>
      </c>
      <c r="M227" s="58">
        <v>5925</v>
      </c>
      <c r="N227" s="58">
        <v>15136.95</v>
      </c>
      <c r="O227" s="58">
        <v>12600</v>
      </c>
      <c r="P227" s="58" t="s">
        <v>26</v>
      </c>
      <c r="Q227" s="58">
        <v>3</v>
      </c>
      <c r="R227" s="58">
        <v>0</v>
      </c>
      <c r="S227" s="58">
        <v>0</v>
      </c>
      <c r="T227" s="58">
        <v>0</v>
      </c>
      <c r="U227" s="58">
        <v>0</v>
      </c>
      <c r="V227" s="58">
        <v>0</v>
      </c>
      <c r="W227" s="58">
        <v>0</v>
      </c>
      <c r="X227" s="58">
        <v>0</v>
      </c>
      <c r="Y227" s="58">
        <v>9975</v>
      </c>
      <c r="Z227" s="58">
        <v>5025</v>
      </c>
      <c r="AA227" s="58">
        <v>15136.95</v>
      </c>
      <c r="AE227" s="57"/>
    </row>
    <row r="228" spans="1:31" x14ac:dyDescent="0.35">
      <c r="A228" s="56" t="s">
        <v>296</v>
      </c>
      <c r="B228" s="58">
        <v>12600</v>
      </c>
      <c r="C228" s="58" t="s">
        <v>67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900</v>
      </c>
      <c r="M228" s="58">
        <v>0</v>
      </c>
      <c r="N228" s="58">
        <v>15136.95</v>
      </c>
      <c r="O228" s="58">
        <v>12600</v>
      </c>
      <c r="P228" s="58" t="s">
        <v>67</v>
      </c>
      <c r="Q228" s="58">
        <v>0</v>
      </c>
      <c r="R228" s="58">
        <v>0</v>
      </c>
      <c r="S228" s="58">
        <v>0</v>
      </c>
      <c r="T228" s="58">
        <v>0</v>
      </c>
      <c r="U228" s="58">
        <v>0</v>
      </c>
      <c r="V228" s="58">
        <v>0</v>
      </c>
      <c r="W228" s="58">
        <v>0</v>
      </c>
      <c r="X228" s="58">
        <v>0</v>
      </c>
      <c r="Y228" s="58">
        <v>4875</v>
      </c>
      <c r="Z228" s="58">
        <v>4875</v>
      </c>
      <c r="AA228" s="58">
        <v>15136.95</v>
      </c>
      <c r="AE228" s="57"/>
    </row>
    <row r="229" spans="1:31" x14ac:dyDescent="0.35">
      <c r="A229" s="56" t="s">
        <v>297</v>
      </c>
      <c r="B229" s="58">
        <v>12600</v>
      </c>
      <c r="C229" s="58" t="s">
        <v>2071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1125</v>
      </c>
      <c r="M229" s="58">
        <v>0</v>
      </c>
      <c r="N229" s="58">
        <v>15136.95</v>
      </c>
      <c r="O229" s="58">
        <v>12600</v>
      </c>
      <c r="P229" s="58" t="s">
        <v>2071</v>
      </c>
      <c r="Q229" s="58">
        <v>0</v>
      </c>
      <c r="R229" s="58">
        <v>0</v>
      </c>
      <c r="S229" s="58">
        <v>0</v>
      </c>
      <c r="T229" s="58">
        <v>0</v>
      </c>
      <c r="U229" s="58">
        <v>0</v>
      </c>
      <c r="V229" s="58">
        <v>0</v>
      </c>
      <c r="W229" s="58">
        <v>0</v>
      </c>
      <c r="X229" s="58">
        <v>0</v>
      </c>
      <c r="Y229" s="58">
        <v>9825</v>
      </c>
      <c r="Z229" s="58">
        <v>4875</v>
      </c>
      <c r="AA229" s="58">
        <v>15136.95</v>
      </c>
      <c r="AE229" s="57"/>
    </row>
    <row r="230" spans="1:31" x14ac:dyDescent="0.35">
      <c r="A230" s="56" t="s">
        <v>298</v>
      </c>
      <c r="B230" s="58">
        <v>12600</v>
      </c>
      <c r="C230" s="58" t="s">
        <v>35</v>
      </c>
      <c r="D230" s="58">
        <v>480</v>
      </c>
      <c r="E230" s="58">
        <v>102</v>
      </c>
      <c r="F230" s="58">
        <v>26.984126984126984</v>
      </c>
      <c r="G230" s="58">
        <v>271</v>
      </c>
      <c r="H230" s="58">
        <v>114.8</v>
      </c>
      <c r="I230" s="58">
        <v>0.25</v>
      </c>
      <c r="J230" s="58">
        <v>-0.5</v>
      </c>
      <c r="K230" s="58">
        <v>-66.666666666666657</v>
      </c>
      <c r="L230" s="58">
        <v>35850</v>
      </c>
      <c r="M230" s="58">
        <v>43200</v>
      </c>
      <c r="N230" s="58">
        <v>15136.95</v>
      </c>
      <c r="O230" s="58">
        <v>12600</v>
      </c>
      <c r="P230" s="58" t="s">
        <v>35</v>
      </c>
      <c r="Q230" s="58">
        <v>0</v>
      </c>
      <c r="R230" s="58">
        <v>0</v>
      </c>
      <c r="S230" s="58">
        <v>0</v>
      </c>
      <c r="T230" s="58">
        <v>0</v>
      </c>
      <c r="U230" s="58">
        <v>0</v>
      </c>
      <c r="V230" s="58">
        <v>0</v>
      </c>
      <c r="W230" s="58">
        <v>0</v>
      </c>
      <c r="X230" s="58">
        <v>0</v>
      </c>
      <c r="Y230" s="58">
        <v>6675</v>
      </c>
      <c r="Z230" s="58">
        <v>12600</v>
      </c>
      <c r="AA230" s="58">
        <v>15136.95</v>
      </c>
      <c r="AE230" s="57"/>
    </row>
    <row r="231" spans="1:31" x14ac:dyDescent="0.35">
      <c r="A231" s="56" t="s">
        <v>299</v>
      </c>
      <c r="B231" s="58">
        <v>12600</v>
      </c>
      <c r="C231" s="58" t="s">
        <v>34</v>
      </c>
      <c r="D231" s="58">
        <v>0</v>
      </c>
      <c r="E231" s="58">
        <v>0</v>
      </c>
      <c r="F231" s="58">
        <v>0</v>
      </c>
      <c r="G231" s="58">
        <v>0</v>
      </c>
      <c r="H231" s="58">
        <v>0</v>
      </c>
      <c r="I231" s="58">
        <v>0</v>
      </c>
      <c r="J231" s="58">
        <v>0</v>
      </c>
      <c r="K231" s="58">
        <v>0</v>
      </c>
      <c r="L231" s="58">
        <v>23250</v>
      </c>
      <c r="M231" s="58">
        <v>0</v>
      </c>
      <c r="N231" s="58">
        <v>15136.95</v>
      </c>
      <c r="O231" s="58">
        <v>12600</v>
      </c>
      <c r="P231" s="58" t="s">
        <v>34</v>
      </c>
      <c r="Q231" s="58">
        <v>0</v>
      </c>
      <c r="R231" s="58">
        <v>0</v>
      </c>
      <c r="S231" s="58">
        <v>0</v>
      </c>
      <c r="T231" s="58">
        <v>0</v>
      </c>
      <c r="U231" s="58">
        <v>0</v>
      </c>
      <c r="V231" s="58">
        <v>0</v>
      </c>
      <c r="W231" s="58">
        <v>0</v>
      </c>
      <c r="X231" s="58">
        <v>0</v>
      </c>
      <c r="Y231" s="58">
        <v>7725</v>
      </c>
      <c r="Z231" s="58">
        <v>7725</v>
      </c>
      <c r="AA231" s="58">
        <v>15136.95</v>
      </c>
      <c r="AE231" s="57"/>
    </row>
    <row r="232" spans="1:31" x14ac:dyDescent="0.35">
      <c r="A232" s="56" t="s">
        <v>300</v>
      </c>
      <c r="B232" s="58">
        <v>12650</v>
      </c>
      <c r="C232" s="58" t="s">
        <v>33</v>
      </c>
      <c r="D232" s="58">
        <v>72</v>
      </c>
      <c r="E232" s="58">
        <v>-1</v>
      </c>
      <c r="F232" s="58">
        <v>-1.3698630136986301</v>
      </c>
      <c r="G232" s="58">
        <v>9</v>
      </c>
      <c r="H232" s="58">
        <v>42.37</v>
      </c>
      <c r="I232" s="58">
        <v>5.35</v>
      </c>
      <c r="J232" s="58">
        <v>-2.1000000000000005</v>
      </c>
      <c r="K232" s="58">
        <v>-28.187919463087251</v>
      </c>
      <c r="L232" s="58">
        <v>11775</v>
      </c>
      <c r="M232" s="58">
        <v>450</v>
      </c>
      <c r="N232" s="58">
        <v>15136.95</v>
      </c>
      <c r="O232" s="58">
        <v>12650</v>
      </c>
      <c r="P232" s="58" t="s">
        <v>33</v>
      </c>
      <c r="Q232" s="58">
        <v>1</v>
      </c>
      <c r="R232" s="58">
        <v>0</v>
      </c>
      <c r="S232" s="58">
        <v>0</v>
      </c>
      <c r="T232" s="58">
        <v>0</v>
      </c>
      <c r="U232" s="58">
        <v>0</v>
      </c>
      <c r="V232" s="58">
        <v>0</v>
      </c>
      <c r="W232" s="58">
        <v>0</v>
      </c>
      <c r="X232" s="58">
        <v>0</v>
      </c>
      <c r="Y232" s="58">
        <v>14175</v>
      </c>
      <c r="Z232" s="58">
        <v>9225</v>
      </c>
      <c r="AA232" s="58">
        <v>15136.95</v>
      </c>
      <c r="AE232" s="57"/>
    </row>
    <row r="233" spans="1:31" x14ac:dyDescent="0.35">
      <c r="A233" s="56" t="s">
        <v>301</v>
      </c>
      <c r="B233" s="58">
        <v>0</v>
      </c>
      <c r="C233" s="58">
        <v>0</v>
      </c>
      <c r="D233" s="58">
        <v>0</v>
      </c>
      <c r="E233" s="58">
        <v>0</v>
      </c>
      <c r="F233" s="58">
        <v>0</v>
      </c>
      <c r="G233" s="58">
        <v>0</v>
      </c>
      <c r="H233" s="58">
        <v>0</v>
      </c>
      <c r="I233" s="58">
        <v>0</v>
      </c>
      <c r="J233" s="58">
        <v>0</v>
      </c>
      <c r="K233" s="58">
        <v>0</v>
      </c>
      <c r="L233" s="58">
        <v>0</v>
      </c>
      <c r="M233" s="58">
        <v>0</v>
      </c>
      <c r="N233" s="58">
        <v>0</v>
      </c>
      <c r="O233" s="58">
        <v>12650</v>
      </c>
      <c r="P233" s="58" t="s">
        <v>37</v>
      </c>
      <c r="Q233" s="58">
        <v>0</v>
      </c>
      <c r="R233" s="58">
        <v>0</v>
      </c>
      <c r="S233" s="58">
        <v>0</v>
      </c>
      <c r="T233" s="58">
        <v>0</v>
      </c>
      <c r="U233" s="58">
        <v>0</v>
      </c>
      <c r="V233" s="58">
        <v>0</v>
      </c>
      <c r="W233" s="58">
        <v>0</v>
      </c>
      <c r="X233" s="58">
        <v>0</v>
      </c>
      <c r="Y233" s="58">
        <v>4875</v>
      </c>
      <c r="Z233" s="58">
        <v>4875</v>
      </c>
      <c r="AA233" s="58">
        <v>15136.95</v>
      </c>
      <c r="AE233" s="57"/>
    </row>
    <row r="234" spans="1:31" x14ac:dyDescent="0.35">
      <c r="A234" s="56" t="s">
        <v>302</v>
      </c>
      <c r="B234" s="58">
        <v>12650</v>
      </c>
      <c r="C234" s="58" t="s">
        <v>34</v>
      </c>
      <c r="D234" s="58">
        <v>0</v>
      </c>
      <c r="E234" s="58">
        <v>0</v>
      </c>
      <c r="F234" s="58">
        <v>0</v>
      </c>
      <c r="G234" s="58">
        <v>0</v>
      </c>
      <c r="H234" s="58">
        <v>0</v>
      </c>
      <c r="I234" s="58">
        <v>0</v>
      </c>
      <c r="J234" s="58">
        <v>0</v>
      </c>
      <c r="K234" s="58">
        <v>0</v>
      </c>
      <c r="L234" s="58">
        <v>12300</v>
      </c>
      <c r="M234" s="58">
        <v>0</v>
      </c>
      <c r="N234" s="58">
        <v>15136.95</v>
      </c>
      <c r="O234" s="58">
        <v>12650</v>
      </c>
      <c r="P234" s="58" t="s">
        <v>34</v>
      </c>
      <c r="Q234" s="58">
        <v>0</v>
      </c>
      <c r="R234" s="58">
        <v>0</v>
      </c>
      <c r="S234" s="58">
        <v>0</v>
      </c>
      <c r="T234" s="58">
        <v>0</v>
      </c>
      <c r="U234" s="58">
        <v>0</v>
      </c>
      <c r="V234" s="58">
        <v>0</v>
      </c>
      <c r="W234" s="58">
        <v>0</v>
      </c>
      <c r="X234" s="58">
        <v>0</v>
      </c>
      <c r="Y234" s="58">
        <v>7725</v>
      </c>
      <c r="Z234" s="58">
        <v>7725</v>
      </c>
      <c r="AA234" s="58">
        <v>15136.95</v>
      </c>
      <c r="AE234" s="57"/>
    </row>
    <row r="235" spans="1:31" x14ac:dyDescent="0.35">
      <c r="A235" s="56" t="s">
        <v>303</v>
      </c>
      <c r="B235" s="58">
        <v>0</v>
      </c>
      <c r="C235" s="58">
        <v>0</v>
      </c>
      <c r="D235" s="58">
        <v>0</v>
      </c>
      <c r="E235" s="58">
        <v>0</v>
      </c>
      <c r="F235" s="58">
        <v>0</v>
      </c>
      <c r="G235" s="58">
        <v>0</v>
      </c>
      <c r="H235" s="58">
        <v>0</v>
      </c>
      <c r="I235" s="58">
        <v>0</v>
      </c>
      <c r="J235" s="58">
        <v>0</v>
      </c>
      <c r="K235" s="58">
        <v>0</v>
      </c>
      <c r="L235" s="58">
        <v>0</v>
      </c>
      <c r="M235" s="58">
        <v>0</v>
      </c>
      <c r="N235" s="58">
        <v>0</v>
      </c>
      <c r="O235" s="58">
        <v>12650</v>
      </c>
      <c r="P235" s="58" t="s">
        <v>38</v>
      </c>
      <c r="Q235" s="58">
        <v>0</v>
      </c>
      <c r="R235" s="58">
        <v>0</v>
      </c>
      <c r="S235" s="58">
        <v>0</v>
      </c>
      <c r="T235" s="58">
        <v>0</v>
      </c>
      <c r="U235" s="58">
        <v>0</v>
      </c>
      <c r="V235" s="58">
        <v>0</v>
      </c>
      <c r="W235" s="58">
        <v>0</v>
      </c>
      <c r="X235" s="58">
        <v>0</v>
      </c>
      <c r="Y235" s="58">
        <v>4875</v>
      </c>
      <c r="Z235" s="58">
        <v>4875</v>
      </c>
      <c r="AA235" s="58">
        <v>15136.95</v>
      </c>
      <c r="AE235" s="57"/>
    </row>
    <row r="236" spans="1:31" x14ac:dyDescent="0.35">
      <c r="A236" s="56" t="s">
        <v>304</v>
      </c>
      <c r="B236" s="58">
        <v>12650</v>
      </c>
      <c r="C236" s="58" t="s">
        <v>26</v>
      </c>
      <c r="D236" s="58">
        <v>8</v>
      </c>
      <c r="E236" s="58">
        <v>0</v>
      </c>
      <c r="F236" s="58">
        <v>0</v>
      </c>
      <c r="G236" s="58">
        <v>0</v>
      </c>
      <c r="H236" s="58">
        <v>0</v>
      </c>
      <c r="I236" s="58">
        <v>0</v>
      </c>
      <c r="J236" s="58">
        <v>0</v>
      </c>
      <c r="K236" s="58">
        <v>0</v>
      </c>
      <c r="L236" s="58">
        <v>450</v>
      </c>
      <c r="M236" s="58">
        <v>0</v>
      </c>
      <c r="N236" s="58">
        <v>15136.95</v>
      </c>
      <c r="O236" s="58">
        <v>12650</v>
      </c>
      <c r="P236" s="58" t="s">
        <v>26</v>
      </c>
      <c r="Q236" s="58">
        <v>0</v>
      </c>
      <c r="R236" s="58">
        <v>0</v>
      </c>
      <c r="S236" s="58">
        <v>0</v>
      </c>
      <c r="T236" s="58">
        <v>0</v>
      </c>
      <c r="U236" s="58">
        <v>0</v>
      </c>
      <c r="V236" s="58">
        <v>0</v>
      </c>
      <c r="W236" s="58">
        <v>0</v>
      </c>
      <c r="X236" s="58">
        <v>0</v>
      </c>
      <c r="Y236" s="58">
        <v>12675</v>
      </c>
      <c r="Z236" s="58">
        <v>7725</v>
      </c>
      <c r="AA236" s="58">
        <v>15136.95</v>
      </c>
      <c r="AE236" s="57"/>
    </row>
    <row r="237" spans="1:31" x14ac:dyDescent="0.35">
      <c r="A237" s="56" t="s">
        <v>305</v>
      </c>
      <c r="B237" s="58">
        <v>0</v>
      </c>
      <c r="C237" s="58">
        <v>0</v>
      </c>
      <c r="D237" s="58">
        <v>0</v>
      </c>
      <c r="E237" s="58">
        <v>0</v>
      </c>
      <c r="F237" s="58">
        <v>0</v>
      </c>
      <c r="G237" s="58">
        <v>0</v>
      </c>
      <c r="H237" s="58">
        <v>0</v>
      </c>
      <c r="I237" s="58">
        <v>0</v>
      </c>
      <c r="J237" s="58">
        <v>0</v>
      </c>
      <c r="K237" s="58">
        <v>0</v>
      </c>
      <c r="L237" s="58">
        <v>0</v>
      </c>
      <c r="M237" s="58">
        <v>0</v>
      </c>
      <c r="N237" s="58">
        <v>0</v>
      </c>
      <c r="O237" s="58">
        <v>12650</v>
      </c>
      <c r="P237" s="58" t="s">
        <v>67</v>
      </c>
      <c r="Q237" s="58">
        <v>0</v>
      </c>
      <c r="R237" s="58">
        <v>0</v>
      </c>
      <c r="S237" s="58">
        <v>0</v>
      </c>
      <c r="T237" s="58">
        <v>0</v>
      </c>
      <c r="U237" s="58">
        <v>0</v>
      </c>
      <c r="V237" s="58">
        <v>0</v>
      </c>
      <c r="W237" s="58">
        <v>0</v>
      </c>
      <c r="X237" s="58">
        <v>0</v>
      </c>
      <c r="Y237" s="58">
        <v>4875</v>
      </c>
      <c r="Z237" s="58">
        <v>4875</v>
      </c>
      <c r="AA237" s="58">
        <v>15136.95</v>
      </c>
      <c r="AE237" s="57"/>
    </row>
    <row r="238" spans="1:31" x14ac:dyDescent="0.35">
      <c r="A238" s="56" t="s">
        <v>306</v>
      </c>
      <c r="B238" s="58">
        <v>0</v>
      </c>
      <c r="C238" s="58">
        <v>0</v>
      </c>
      <c r="D238" s="58">
        <v>0</v>
      </c>
      <c r="E238" s="58">
        <v>0</v>
      </c>
      <c r="F238" s="58">
        <v>0</v>
      </c>
      <c r="G238" s="58">
        <v>0</v>
      </c>
      <c r="H238" s="58">
        <v>0</v>
      </c>
      <c r="I238" s="58">
        <v>0</v>
      </c>
      <c r="J238" s="58">
        <v>0</v>
      </c>
      <c r="K238" s="58">
        <v>0</v>
      </c>
      <c r="L238" s="58">
        <v>0</v>
      </c>
      <c r="M238" s="58">
        <v>0</v>
      </c>
      <c r="N238" s="58">
        <v>0</v>
      </c>
      <c r="O238" s="58">
        <v>12650</v>
      </c>
      <c r="P238" s="58" t="s">
        <v>2071</v>
      </c>
      <c r="Q238" s="58">
        <v>0</v>
      </c>
      <c r="R238" s="58">
        <v>0</v>
      </c>
      <c r="S238" s="58">
        <v>0</v>
      </c>
      <c r="T238" s="58">
        <v>0</v>
      </c>
      <c r="U238" s="58">
        <v>0</v>
      </c>
      <c r="V238" s="58">
        <v>0</v>
      </c>
      <c r="W238" s="58">
        <v>0</v>
      </c>
      <c r="X238" s="58">
        <v>0</v>
      </c>
      <c r="Y238" s="58">
        <v>5400</v>
      </c>
      <c r="Z238" s="58">
        <v>4875</v>
      </c>
      <c r="AA238" s="58">
        <v>15136.95</v>
      </c>
      <c r="AE238" s="57"/>
    </row>
    <row r="239" spans="1:31" x14ac:dyDescent="0.35">
      <c r="A239" s="56" t="s">
        <v>307</v>
      </c>
      <c r="B239" s="58">
        <v>12650</v>
      </c>
      <c r="C239" s="58" t="s">
        <v>35</v>
      </c>
      <c r="D239" s="58">
        <v>10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375</v>
      </c>
      <c r="M239" s="58">
        <v>32475</v>
      </c>
      <c r="N239" s="58">
        <v>15136.95</v>
      </c>
      <c r="O239" s="58">
        <v>12650</v>
      </c>
      <c r="P239" s="58" t="s">
        <v>35</v>
      </c>
      <c r="Q239" s="58">
        <v>0</v>
      </c>
      <c r="R239" s="58">
        <v>0</v>
      </c>
      <c r="S239" s="58">
        <v>0</v>
      </c>
      <c r="T239" s="58">
        <v>0</v>
      </c>
      <c r="U239" s="58">
        <v>0</v>
      </c>
      <c r="V239" s="58">
        <v>0</v>
      </c>
      <c r="W239" s="58">
        <v>0</v>
      </c>
      <c r="X239" s="58">
        <v>0</v>
      </c>
      <c r="Y239" s="58">
        <v>9225</v>
      </c>
      <c r="Z239" s="58">
        <v>9300</v>
      </c>
      <c r="AA239" s="58">
        <v>15136.95</v>
      </c>
      <c r="AE239" s="57"/>
    </row>
    <row r="240" spans="1:31" x14ac:dyDescent="0.35">
      <c r="A240" s="56" t="s">
        <v>308</v>
      </c>
      <c r="B240" s="58">
        <v>0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58">
        <v>12650</v>
      </c>
      <c r="P240" s="58" t="s">
        <v>36</v>
      </c>
      <c r="Q240" s="58">
        <v>0</v>
      </c>
      <c r="R240" s="58">
        <v>0</v>
      </c>
      <c r="S240" s="58">
        <v>0</v>
      </c>
      <c r="T240" s="58">
        <v>0</v>
      </c>
      <c r="U240" s="58">
        <v>0</v>
      </c>
      <c r="V240" s="58">
        <v>0</v>
      </c>
      <c r="W240" s="58">
        <v>0</v>
      </c>
      <c r="X240" s="58">
        <v>0</v>
      </c>
      <c r="Y240" s="58">
        <v>4875</v>
      </c>
      <c r="Z240" s="58">
        <v>4875</v>
      </c>
      <c r="AA240" s="58">
        <v>15136.95</v>
      </c>
      <c r="AE240" s="57"/>
    </row>
    <row r="241" spans="1:31" x14ac:dyDescent="0.35">
      <c r="A241" s="56" t="s">
        <v>309</v>
      </c>
      <c r="B241" s="58">
        <v>12700</v>
      </c>
      <c r="C241" s="58" t="s">
        <v>33</v>
      </c>
      <c r="D241" s="58">
        <v>2342</v>
      </c>
      <c r="E241" s="58">
        <v>-103</v>
      </c>
      <c r="F241" s="58">
        <v>-4.2126789366053172</v>
      </c>
      <c r="G241" s="58">
        <v>266</v>
      </c>
      <c r="H241" s="58">
        <v>43.35</v>
      </c>
      <c r="I241" s="58">
        <v>6.85</v>
      </c>
      <c r="J241" s="58">
        <v>-0.80000000000000071</v>
      </c>
      <c r="K241" s="58">
        <v>-10.45751633986929</v>
      </c>
      <c r="L241" s="58">
        <v>14175</v>
      </c>
      <c r="M241" s="58">
        <v>7425</v>
      </c>
      <c r="N241" s="58">
        <v>15136.95</v>
      </c>
      <c r="O241" s="58">
        <v>12700</v>
      </c>
      <c r="P241" s="58" t="s">
        <v>33</v>
      </c>
      <c r="Q241" s="58">
        <v>106</v>
      </c>
      <c r="R241" s="58">
        <v>0</v>
      </c>
      <c r="S241" s="58">
        <v>0</v>
      </c>
      <c r="T241" s="58">
        <v>0</v>
      </c>
      <c r="U241" s="58">
        <v>0</v>
      </c>
      <c r="V241" s="58">
        <v>0</v>
      </c>
      <c r="W241" s="58">
        <v>0</v>
      </c>
      <c r="X241" s="58">
        <v>0</v>
      </c>
      <c r="Y241" s="58">
        <v>14325</v>
      </c>
      <c r="Z241" s="58">
        <v>11475</v>
      </c>
      <c r="AA241" s="58">
        <v>15136.95</v>
      </c>
      <c r="AE241" s="57"/>
    </row>
    <row r="242" spans="1:31" x14ac:dyDescent="0.35">
      <c r="A242" s="56" t="s">
        <v>310</v>
      </c>
      <c r="B242" s="58">
        <v>12700</v>
      </c>
      <c r="C242" s="58" t="s">
        <v>36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600</v>
      </c>
      <c r="M242" s="58">
        <v>0</v>
      </c>
      <c r="N242" s="58">
        <v>15136.95</v>
      </c>
      <c r="O242" s="58">
        <v>12700</v>
      </c>
      <c r="P242" s="58" t="s">
        <v>36</v>
      </c>
      <c r="Q242" s="58">
        <v>0</v>
      </c>
      <c r="R242" s="58">
        <v>0</v>
      </c>
      <c r="S242" s="58">
        <v>0</v>
      </c>
      <c r="T242" s="58">
        <v>0</v>
      </c>
      <c r="U242" s="58">
        <v>0</v>
      </c>
      <c r="V242" s="58">
        <v>0</v>
      </c>
      <c r="W242" s="58">
        <v>0</v>
      </c>
      <c r="X242" s="58">
        <v>0</v>
      </c>
      <c r="Y242" s="58">
        <v>4875</v>
      </c>
      <c r="Z242" s="58">
        <v>4875</v>
      </c>
      <c r="AA242" s="58">
        <v>15136.95</v>
      </c>
      <c r="AE242" s="57"/>
    </row>
    <row r="243" spans="1:31" x14ac:dyDescent="0.35">
      <c r="A243" s="56" t="s">
        <v>311</v>
      </c>
      <c r="B243" s="58">
        <v>12700</v>
      </c>
      <c r="C243" s="58" t="s">
        <v>38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1500</v>
      </c>
      <c r="M243" s="58">
        <v>0</v>
      </c>
      <c r="N243" s="58">
        <v>15136.95</v>
      </c>
      <c r="O243" s="58">
        <v>12700</v>
      </c>
      <c r="P243" s="58" t="s">
        <v>38</v>
      </c>
      <c r="Q243" s="58">
        <v>0</v>
      </c>
      <c r="R243" s="58">
        <v>0</v>
      </c>
      <c r="S243" s="58">
        <v>0</v>
      </c>
      <c r="T243" s="58">
        <v>0</v>
      </c>
      <c r="U243" s="58">
        <v>0</v>
      </c>
      <c r="V243" s="58">
        <v>0</v>
      </c>
      <c r="W243" s="58">
        <v>0</v>
      </c>
      <c r="X243" s="58">
        <v>0</v>
      </c>
      <c r="Y243" s="58">
        <v>4875</v>
      </c>
      <c r="Z243" s="58">
        <v>4875</v>
      </c>
      <c r="AA243" s="58">
        <v>15136.95</v>
      </c>
      <c r="AE243" s="57"/>
    </row>
    <row r="244" spans="1:31" x14ac:dyDescent="0.35">
      <c r="A244" s="56" t="s">
        <v>312</v>
      </c>
      <c r="B244" s="58">
        <v>12700</v>
      </c>
      <c r="C244" s="58" t="s">
        <v>26</v>
      </c>
      <c r="D244" s="58">
        <v>39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3150</v>
      </c>
      <c r="M244" s="58">
        <v>750</v>
      </c>
      <c r="N244" s="58">
        <v>15136.95</v>
      </c>
      <c r="O244" s="58">
        <v>12700</v>
      </c>
      <c r="P244" s="58" t="s">
        <v>26</v>
      </c>
      <c r="Q244" s="58">
        <v>9</v>
      </c>
      <c r="R244" s="58">
        <v>0</v>
      </c>
      <c r="S244" s="58">
        <v>0</v>
      </c>
      <c r="T244" s="58">
        <v>0</v>
      </c>
      <c r="U244" s="58">
        <v>0</v>
      </c>
      <c r="V244" s="58">
        <v>0</v>
      </c>
      <c r="W244" s="58">
        <v>0</v>
      </c>
      <c r="X244" s="58">
        <v>0</v>
      </c>
      <c r="Y244" s="58">
        <v>10050</v>
      </c>
      <c r="Z244" s="58">
        <v>5100</v>
      </c>
      <c r="AA244" s="58">
        <v>15136.95</v>
      </c>
      <c r="AE244" s="57"/>
    </row>
    <row r="245" spans="1:31" x14ac:dyDescent="0.35">
      <c r="A245" s="56" t="s">
        <v>313</v>
      </c>
      <c r="B245" s="58">
        <v>12700</v>
      </c>
      <c r="C245" s="58" t="s">
        <v>67</v>
      </c>
      <c r="D245" s="58">
        <v>0</v>
      </c>
      <c r="E245" s="58">
        <v>0</v>
      </c>
      <c r="F245" s="58">
        <v>0</v>
      </c>
      <c r="G245" s="58">
        <v>0</v>
      </c>
      <c r="H245" s="58">
        <v>0</v>
      </c>
      <c r="I245" s="58">
        <v>0</v>
      </c>
      <c r="J245" s="58">
        <v>0</v>
      </c>
      <c r="K245" s="58">
        <v>0</v>
      </c>
      <c r="L245" s="58">
        <v>900</v>
      </c>
      <c r="M245" s="58">
        <v>0</v>
      </c>
      <c r="N245" s="58">
        <v>15136.95</v>
      </c>
      <c r="O245" s="58">
        <v>12700</v>
      </c>
      <c r="P245" s="58" t="s">
        <v>67</v>
      </c>
      <c r="Q245" s="58">
        <v>0</v>
      </c>
      <c r="R245" s="58">
        <v>0</v>
      </c>
      <c r="S245" s="58">
        <v>0</v>
      </c>
      <c r="T245" s="58">
        <v>0</v>
      </c>
      <c r="U245" s="58">
        <v>0</v>
      </c>
      <c r="V245" s="58">
        <v>0</v>
      </c>
      <c r="W245" s="58">
        <v>0</v>
      </c>
      <c r="X245" s="58">
        <v>0</v>
      </c>
      <c r="Y245" s="58">
        <v>4875</v>
      </c>
      <c r="Z245" s="58">
        <v>4875</v>
      </c>
      <c r="AA245" s="58">
        <v>15136.95</v>
      </c>
      <c r="AE245" s="57"/>
    </row>
    <row r="246" spans="1:31" x14ac:dyDescent="0.35">
      <c r="A246" s="56" t="s">
        <v>314</v>
      </c>
      <c r="B246" s="58">
        <v>12700</v>
      </c>
      <c r="C246" s="58" t="s">
        <v>2071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1125</v>
      </c>
      <c r="M246" s="58">
        <v>0</v>
      </c>
      <c r="N246" s="58">
        <v>15136.95</v>
      </c>
      <c r="O246" s="58">
        <v>12700</v>
      </c>
      <c r="P246" s="58" t="s">
        <v>2071</v>
      </c>
      <c r="Q246" s="58">
        <v>0</v>
      </c>
      <c r="R246" s="58">
        <v>0</v>
      </c>
      <c r="S246" s="58">
        <v>0</v>
      </c>
      <c r="T246" s="58">
        <v>0</v>
      </c>
      <c r="U246" s="58">
        <v>0</v>
      </c>
      <c r="V246" s="58">
        <v>0</v>
      </c>
      <c r="W246" s="58">
        <v>0</v>
      </c>
      <c r="X246" s="58">
        <v>0</v>
      </c>
      <c r="Y246" s="58">
        <v>5400</v>
      </c>
      <c r="Z246" s="58">
        <v>4875</v>
      </c>
      <c r="AA246" s="58">
        <v>15136.95</v>
      </c>
      <c r="AE246" s="57"/>
    </row>
    <row r="247" spans="1:31" x14ac:dyDescent="0.35">
      <c r="A247" s="56" t="s">
        <v>315</v>
      </c>
      <c r="B247" s="58">
        <v>12700</v>
      </c>
      <c r="C247" s="58" t="s">
        <v>27</v>
      </c>
      <c r="D247" s="58">
        <v>393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1500</v>
      </c>
      <c r="M247" s="58">
        <v>0</v>
      </c>
      <c r="N247" s="58">
        <v>15136.95</v>
      </c>
      <c r="O247" s="58">
        <v>0</v>
      </c>
      <c r="P247" s="58">
        <v>0</v>
      </c>
      <c r="Q247" s="58">
        <v>0</v>
      </c>
      <c r="R247" s="58">
        <v>0</v>
      </c>
      <c r="S247" s="58">
        <v>0</v>
      </c>
      <c r="T247" s="58">
        <v>0</v>
      </c>
      <c r="U247" s="58">
        <v>0</v>
      </c>
      <c r="V247" s="58">
        <v>0</v>
      </c>
      <c r="W247" s="58">
        <v>0</v>
      </c>
      <c r="X247" s="58">
        <v>0</v>
      </c>
      <c r="Y247" s="58">
        <v>0</v>
      </c>
      <c r="Z247" s="58">
        <v>0</v>
      </c>
      <c r="AA247" s="58">
        <v>0</v>
      </c>
      <c r="AE247" s="57"/>
    </row>
    <row r="248" spans="1:31" x14ac:dyDescent="0.35">
      <c r="A248" s="56" t="s">
        <v>316</v>
      </c>
      <c r="B248" s="58">
        <v>12700</v>
      </c>
      <c r="C248" s="58" t="s">
        <v>29</v>
      </c>
      <c r="D248" s="58">
        <v>2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750</v>
      </c>
      <c r="M248" s="58">
        <v>0</v>
      </c>
      <c r="N248" s="58">
        <v>15136.95</v>
      </c>
      <c r="O248" s="58">
        <v>0</v>
      </c>
      <c r="P248" s="58">
        <v>0</v>
      </c>
      <c r="Q248" s="58">
        <v>0</v>
      </c>
      <c r="R248" s="58">
        <v>0</v>
      </c>
      <c r="S248" s="58">
        <v>0</v>
      </c>
      <c r="T248" s="58">
        <v>0</v>
      </c>
      <c r="U248" s="58">
        <v>0</v>
      </c>
      <c r="V248" s="58">
        <v>0</v>
      </c>
      <c r="W248" s="58">
        <v>0</v>
      </c>
      <c r="X248" s="58">
        <v>0</v>
      </c>
      <c r="Y248" s="58">
        <v>0</v>
      </c>
      <c r="Z248" s="58">
        <v>0</v>
      </c>
      <c r="AA248" s="58">
        <v>0</v>
      </c>
      <c r="AE248" s="57"/>
    </row>
    <row r="249" spans="1:31" x14ac:dyDescent="0.35">
      <c r="A249" s="56" t="s">
        <v>317</v>
      </c>
      <c r="B249" s="58">
        <v>12700</v>
      </c>
      <c r="C249" s="58" t="s">
        <v>35</v>
      </c>
      <c r="D249" s="58">
        <v>592</v>
      </c>
      <c r="E249" s="58">
        <v>22</v>
      </c>
      <c r="F249" s="58">
        <v>3.8596491228070176</v>
      </c>
      <c r="G249" s="58">
        <v>616</v>
      </c>
      <c r="H249" s="58">
        <v>105.77</v>
      </c>
      <c r="I249" s="58">
        <v>0.15</v>
      </c>
      <c r="J249" s="58">
        <v>-0.54999999999999993</v>
      </c>
      <c r="K249" s="58">
        <v>-78.571428571428569</v>
      </c>
      <c r="L249" s="58">
        <v>72750</v>
      </c>
      <c r="M249" s="58">
        <v>36900</v>
      </c>
      <c r="N249" s="58">
        <v>15136.95</v>
      </c>
      <c r="O249" s="58">
        <v>12700</v>
      </c>
      <c r="P249" s="58" t="s">
        <v>35</v>
      </c>
      <c r="Q249" s="58">
        <v>1</v>
      </c>
      <c r="R249" s="58">
        <v>0</v>
      </c>
      <c r="S249" s="58">
        <v>0</v>
      </c>
      <c r="T249" s="58">
        <v>0</v>
      </c>
      <c r="U249" s="58">
        <v>0</v>
      </c>
      <c r="V249" s="58">
        <v>0</v>
      </c>
      <c r="W249" s="58">
        <v>0</v>
      </c>
      <c r="X249" s="58">
        <v>0</v>
      </c>
      <c r="Y249" s="58">
        <v>9525</v>
      </c>
      <c r="Z249" s="58">
        <v>12525</v>
      </c>
      <c r="AA249" s="58">
        <v>15136.95</v>
      </c>
      <c r="AE249" s="57"/>
    </row>
    <row r="250" spans="1:31" x14ac:dyDescent="0.35">
      <c r="A250" s="56" t="s">
        <v>318</v>
      </c>
      <c r="B250" s="58">
        <v>12700</v>
      </c>
      <c r="C250" s="58" t="s">
        <v>34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16575</v>
      </c>
      <c r="M250" s="58">
        <v>0</v>
      </c>
      <c r="N250" s="58">
        <v>15136.95</v>
      </c>
      <c r="O250" s="58">
        <v>12700</v>
      </c>
      <c r="P250" s="58" t="s">
        <v>34</v>
      </c>
      <c r="Q250" s="58">
        <v>0</v>
      </c>
      <c r="R250" s="58">
        <v>0</v>
      </c>
      <c r="S250" s="58">
        <v>0</v>
      </c>
      <c r="T250" s="58">
        <v>0</v>
      </c>
      <c r="U250" s="58">
        <v>0</v>
      </c>
      <c r="V250" s="58">
        <v>0</v>
      </c>
      <c r="W250" s="58">
        <v>0</v>
      </c>
      <c r="X250" s="58">
        <v>0</v>
      </c>
      <c r="Y250" s="58">
        <v>7725</v>
      </c>
      <c r="Z250" s="58">
        <v>7725</v>
      </c>
      <c r="AA250" s="58">
        <v>15136.95</v>
      </c>
      <c r="AE250" s="57"/>
    </row>
    <row r="251" spans="1:31" x14ac:dyDescent="0.35">
      <c r="A251" s="56" t="s">
        <v>319</v>
      </c>
      <c r="B251" s="58">
        <v>12700</v>
      </c>
      <c r="C251" s="58" t="s">
        <v>37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600</v>
      </c>
      <c r="M251" s="58">
        <v>0</v>
      </c>
      <c r="N251" s="58">
        <v>15136.95</v>
      </c>
      <c r="O251" s="58">
        <v>12700</v>
      </c>
      <c r="P251" s="58" t="s">
        <v>37</v>
      </c>
      <c r="Q251" s="58">
        <v>0</v>
      </c>
      <c r="R251" s="58">
        <v>0</v>
      </c>
      <c r="S251" s="58">
        <v>0</v>
      </c>
      <c r="T251" s="58">
        <v>0</v>
      </c>
      <c r="U251" s="58">
        <v>0</v>
      </c>
      <c r="V251" s="58">
        <v>0</v>
      </c>
      <c r="W251" s="58">
        <v>0</v>
      </c>
      <c r="X251" s="58">
        <v>0</v>
      </c>
      <c r="Y251" s="58">
        <v>4875</v>
      </c>
      <c r="Z251" s="58">
        <v>4875</v>
      </c>
      <c r="AA251" s="58">
        <v>15136.95</v>
      </c>
      <c r="AE251" s="57"/>
    </row>
    <row r="252" spans="1:31" x14ac:dyDescent="0.35">
      <c r="A252" s="56" t="s">
        <v>320</v>
      </c>
      <c r="B252" s="58">
        <v>0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58">
        <v>12750</v>
      </c>
      <c r="P252" s="58" t="s">
        <v>36</v>
      </c>
      <c r="Q252" s="58">
        <v>0</v>
      </c>
      <c r="R252" s="58">
        <v>0</v>
      </c>
      <c r="S252" s="58">
        <v>0</v>
      </c>
      <c r="T252" s="58">
        <v>0</v>
      </c>
      <c r="U252" s="58">
        <v>0</v>
      </c>
      <c r="V252" s="58">
        <v>0</v>
      </c>
      <c r="W252" s="58">
        <v>0</v>
      </c>
      <c r="X252" s="58">
        <v>0</v>
      </c>
      <c r="Y252" s="58">
        <v>4875</v>
      </c>
      <c r="Z252" s="58">
        <v>4875</v>
      </c>
      <c r="AA252" s="58">
        <v>15136.95</v>
      </c>
      <c r="AE252" s="57"/>
    </row>
    <row r="253" spans="1:31" x14ac:dyDescent="0.35">
      <c r="A253" s="56" t="s">
        <v>321</v>
      </c>
      <c r="B253" s="58">
        <v>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58">
        <v>12750</v>
      </c>
      <c r="P253" s="58" t="s">
        <v>37</v>
      </c>
      <c r="Q253" s="58">
        <v>0</v>
      </c>
      <c r="R253" s="58">
        <v>0</v>
      </c>
      <c r="S253" s="58">
        <v>0</v>
      </c>
      <c r="T253" s="58">
        <v>0</v>
      </c>
      <c r="U253" s="58">
        <v>0</v>
      </c>
      <c r="V253" s="58">
        <v>0</v>
      </c>
      <c r="W253" s="58">
        <v>0</v>
      </c>
      <c r="X253" s="58">
        <v>0</v>
      </c>
      <c r="Y253" s="58">
        <v>4875</v>
      </c>
      <c r="Z253" s="58">
        <v>4875</v>
      </c>
      <c r="AA253" s="58">
        <v>15136.95</v>
      </c>
      <c r="AE253" s="57"/>
    </row>
    <row r="254" spans="1:31" x14ac:dyDescent="0.35">
      <c r="A254" s="56" t="s">
        <v>322</v>
      </c>
      <c r="B254" s="58">
        <v>0</v>
      </c>
      <c r="C254" s="58">
        <v>0</v>
      </c>
      <c r="D254" s="58">
        <v>0</v>
      </c>
      <c r="E254" s="58">
        <v>0</v>
      </c>
      <c r="F254" s="58">
        <v>0</v>
      </c>
      <c r="G254" s="58">
        <v>0</v>
      </c>
      <c r="H254" s="58">
        <v>0</v>
      </c>
      <c r="I254" s="58">
        <v>0</v>
      </c>
      <c r="J254" s="58">
        <v>0</v>
      </c>
      <c r="K254" s="58">
        <v>0</v>
      </c>
      <c r="L254" s="58">
        <v>0</v>
      </c>
      <c r="M254" s="58">
        <v>0</v>
      </c>
      <c r="N254" s="58">
        <v>0</v>
      </c>
      <c r="O254" s="58">
        <v>12750</v>
      </c>
      <c r="P254" s="58" t="s">
        <v>38</v>
      </c>
      <c r="Q254" s="58">
        <v>0</v>
      </c>
      <c r="R254" s="58">
        <v>0</v>
      </c>
      <c r="S254" s="58">
        <v>0</v>
      </c>
      <c r="T254" s="58">
        <v>0</v>
      </c>
      <c r="U254" s="58">
        <v>0</v>
      </c>
      <c r="V254" s="58">
        <v>0</v>
      </c>
      <c r="W254" s="58">
        <v>0</v>
      </c>
      <c r="X254" s="58">
        <v>0</v>
      </c>
      <c r="Y254" s="58">
        <v>4875</v>
      </c>
      <c r="Z254" s="58">
        <v>4875</v>
      </c>
      <c r="AA254" s="58">
        <v>15136.95</v>
      </c>
      <c r="AE254" s="57"/>
    </row>
    <row r="255" spans="1:31" x14ac:dyDescent="0.35">
      <c r="A255" s="56" t="s">
        <v>323</v>
      </c>
      <c r="B255" s="58">
        <v>12750</v>
      </c>
      <c r="C255" s="58" t="s">
        <v>26</v>
      </c>
      <c r="D255" s="58">
        <v>1</v>
      </c>
      <c r="E255" s="58">
        <v>0</v>
      </c>
      <c r="F255" s="58">
        <v>0</v>
      </c>
      <c r="G255" s="58">
        <v>0</v>
      </c>
      <c r="H255" s="58">
        <v>0</v>
      </c>
      <c r="I255" s="58">
        <v>0</v>
      </c>
      <c r="J255" s="58">
        <v>0</v>
      </c>
      <c r="K255" s="58">
        <v>0</v>
      </c>
      <c r="L255" s="58">
        <v>450</v>
      </c>
      <c r="M255" s="58">
        <v>0</v>
      </c>
      <c r="N255" s="58">
        <v>15136.95</v>
      </c>
      <c r="O255" s="58">
        <v>12750</v>
      </c>
      <c r="P255" s="58" t="s">
        <v>26</v>
      </c>
      <c r="Q255" s="58">
        <v>0</v>
      </c>
      <c r="R255" s="58">
        <v>0</v>
      </c>
      <c r="S255" s="58">
        <v>0</v>
      </c>
      <c r="T255" s="58">
        <v>0</v>
      </c>
      <c r="U255" s="58">
        <v>0</v>
      </c>
      <c r="V255" s="58">
        <v>0</v>
      </c>
      <c r="W255" s="58">
        <v>0</v>
      </c>
      <c r="X255" s="58">
        <v>0</v>
      </c>
      <c r="Y255" s="58">
        <v>12675</v>
      </c>
      <c r="Z255" s="58">
        <v>7725</v>
      </c>
      <c r="AA255" s="58">
        <v>15136.95</v>
      </c>
      <c r="AE255" s="57"/>
    </row>
    <row r="256" spans="1:31" x14ac:dyDescent="0.35">
      <c r="A256" s="56" t="s">
        <v>324</v>
      </c>
      <c r="B256" s="58">
        <v>0</v>
      </c>
      <c r="C256" s="58">
        <v>0</v>
      </c>
      <c r="D256" s="58">
        <v>0</v>
      </c>
      <c r="E256" s="58">
        <v>0</v>
      </c>
      <c r="F256" s="58">
        <v>0</v>
      </c>
      <c r="G256" s="58">
        <v>0</v>
      </c>
      <c r="H256" s="58">
        <v>0</v>
      </c>
      <c r="I256" s="58">
        <v>0</v>
      </c>
      <c r="J256" s="58">
        <v>0</v>
      </c>
      <c r="K256" s="58">
        <v>0</v>
      </c>
      <c r="L256" s="58">
        <v>0</v>
      </c>
      <c r="M256" s="58">
        <v>0</v>
      </c>
      <c r="N256" s="58">
        <v>0</v>
      </c>
      <c r="O256" s="58">
        <v>12750</v>
      </c>
      <c r="P256" s="58" t="s">
        <v>67</v>
      </c>
      <c r="Q256" s="58">
        <v>0</v>
      </c>
      <c r="R256" s="58">
        <v>0</v>
      </c>
      <c r="S256" s="58">
        <v>0</v>
      </c>
      <c r="T256" s="58">
        <v>0</v>
      </c>
      <c r="U256" s="58">
        <v>0</v>
      </c>
      <c r="V256" s="58">
        <v>0</v>
      </c>
      <c r="W256" s="58">
        <v>0</v>
      </c>
      <c r="X256" s="58">
        <v>0</v>
      </c>
      <c r="Y256" s="58">
        <v>4875</v>
      </c>
      <c r="Z256" s="58">
        <v>4875</v>
      </c>
      <c r="AA256" s="58">
        <v>15136.95</v>
      </c>
      <c r="AE256" s="57"/>
    </row>
    <row r="257" spans="1:31" x14ac:dyDescent="0.35">
      <c r="A257" s="56" t="s">
        <v>325</v>
      </c>
      <c r="B257" s="58">
        <v>12750</v>
      </c>
      <c r="C257" s="58" t="s">
        <v>2071</v>
      </c>
      <c r="D257" s="58">
        <v>0</v>
      </c>
      <c r="E257" s="58">
        <v>0</v>
      </c>
      <c r="F257" s="58">
        <v>0</v>
      </c>
      <c r="G257" s="58">
        <v>0</v>
      </c>
      <c r="H257" s="58">
        <v>0</v>
      </c>
      <c r="I257" s="58">
        <v>0</v>
      </c>
      <c r="J257" s="58">
        <v>0</v>
      </c>
      <c r="K257" s="58">
        <v>0</v>
      </c>
      <c r="L257" s="58">
        <v>75</v>
      </c>
      <c r="M257" s="58">
        <v>0</v>
      </c>
      <c r="N257" s="58">
        <v>15136.95</v>
      </c>
      <c r="O257" s="58">
        <v>12750</v>
      </c>
      <c r="P257" s="58" t="s">
        <v>2071</v>
      </c>
      <c r="Q257" s="58">
        <v>0</v>
      </c>
      <c r="R257" s="58">
        <v>0</v>
      </c>
      <c r="S257" s="58">
        <v>0</v>
      </c>
      <c r="T257" s="58">
        <v>0</v>
      </c>
      <c r="U257" s="58">
        <v>0</v>
      </c>
      <c r="V257" s="58">
        <v>0</v>
      </c>
      <c r="W257" s="58">
        <v>0</v>
      </c>
      <c r="X257" s="58">
        <v>0</v>
      </c>
      <c r="Y257" s="58">
        <v>5400</v>
      </c>
      <c r="Z257" s="58">
        <v>4875</v>
      </c>
      <c r="AA257" s="58">
        <v>15136.95</v>
      </c>
      <c r="AE257" s="57"/>
    </row>
    <row r="258" spans="1:31" x14ac:dyDescent="0.35">
      <c r="A258" s="56" t="s">
        <v>326</v>
      </c>
      <c r="B258" s="58">
        <v>12750</v>
      </c>
      <c r="C258" s="58" t="s">
        <v>34</v>
      </c>
      <c r="D258" s="58">
        <v>0</v>
      </c>
      <c r="E258" s="58">
        <v>0</v>
      </c>
      <c r="F258" s="58">
        <v>0</v>
      </c>
      <c r="G258" s="58">
        <v>0</v>
      </c>
      <c r="H258" s="58">
        <v>0</v>
      </c>
      <c r="I258" s="58">
        <v>0</v>
      </c>
      <c r="J258" s="58">
        <v>0</v>
      </c>
      <c r="K258" s="58">
        <v>0</v>
      </c>
      <c r="L258" s="58">
        <v>10350</v>
      </c>
      <c r="M258" s="58">
        <v>0</v>
      </c>
      <c r="N258" s="58">
        <v>15136.95</v>
      </c>
      <c r="O258" s="58">
        <v>12750</v>
      </c>
      <c r="P258" s="58" t="s">
        <v>34</v>
      </c>
      <c r="Q258" s="58">
        <v>0</v>
      </c>
      <c r="R258" s="58">
        <v>0</v>
      </c>
      <c r="S258" s="58">
        <v>0</v>
      </c>
      <c r="T258" s="58">
        <v>0</v>
      </c>
      <c r="U258" s="58">
        <v>0</v>
      </c>
      <c r="V258" s="58">
        <v>0</v>
      </c>
      <c r="W258" s="58">
        <v>0</v>
      </c>
      <c r="X258" s="58">
        <v>0</v>
      </c>
      <c r="Y258" s="58">
        <v>7725</v>
      </c>
      <c r="Z258" s="58">
        <v>7725</v>
      </c>
      <c r="AA258" s="58">
        <v>15136.95</v>
      </c>
      <c r="AE258" s="57"/>
    </row>
    <row r="259" spans="1:31" x14ac:dyDescent="0.35">
      <c r="A259" s="56" t="s">
        <v>327</v>
      </c>
      <c r="B259" s="58">
        <v>12750</v>
      </c>
      <c r="C259" s="58" t="s">
        <v>35</v>
      </c>
      <c r="D259" s="58">
        <v>26</v>
      </c>
      <c r="E259" s="58">
        <v>0</v>
      </c>
      <c r="F259" s="58">
        <v>0</v>
      </c>
      <c r="G259" s="58">
        <v>0</v>
      </c>
      <c r="H259" s="58">
        <v>0</v>
      </c>
      <c r="I259" s="58">
        <v>0</v>
      </c>
      <c r="J259" s="58">
        <v>0</v>
      </c>
      <c r="K259" s="58">
        <v>0</v>
      </c>
      <c r="L259" s="58">
        <v>0</v>
      </c>
      <c r="M259" s="58">
        <v>46800</v>
      </c>
      <c r="N259" s="58">
        <v>15136.95</v>
      </c>
      <c r="O259" s="58">
        <v>12750</v>
      </c>
      <c r="P259" s="58" t="s">
        <v>35</v>
      </c>
      <c r="Q259" s="58">
        <v>0</v>
      </c>
      <c r="R259" s="58">
        <v>0</v>
      </c>
      <c r="S259" s="58">
        <v>0</v>
      </c>
      <c r="T259" s="58">
        <v>0</v>
      </c>
      <c r="U259" s="58">
        <v>0</v>
      </c>
      <c r="V259" s="58">
        <v>0</v>
      </c>
      <c r="W259" s="58">
        <v>0</v>
      </c>
      <c r="X259" s="58">
        <v>0</v>
      </c>
      <c r="Y259" s="58">
        <v>9225</v>
      </c>
      <c r="Z259" s="58">
        <v>9300</v>
      </c>
      <c r="AA259" s="58">
        <v>15136.95</v>
      </c>
      <c r="AE259" s="57"/>
    </row>
    <row r="260" spans="1:31" x14ac:dyDescent="0.35">
      <c r="A260" s="56" t="s">
        <v>328</v>
      </c>
      <c r="B260" s="58">
        <v>12750</v>
      </c>
      <c r="C260" s="58" t="s">
        <v>33</v>
      </c>
      <c r="D260" s="58">
        <v>29</v>
      </c>
      <c r="E260" s="58">
        <v>0</v>
      </c>
      <c r="F260" s="58">
        <v>0</v>
      </c>
      <c r="G260" s="58">
        <v>0</v>
      </c>
      <c r="H260" s="58">
        <v>0</v>
      </c>
      <c r="I260" s="58">
        <v>0</v>
      </c>
      <c r="J260" s="58">
        <v>0</v>
      </c>
      <c r="K260" s="58">
        <v>0</v>
      </c>
      <c r="L260" s="58">
        <v>7050</v>
      </c>
      <c r="M260" s="58">
        <v>0</v>
      </c>
      <c r="N260" s="58">
        <v>15136.95</v>
      </c>
      <c r="O260" s="58">
        <v>12750</v>
      </c>
      <c r="P260" s="58" t="s">
        <v>33</v>
      </c>
      <c r="Q260" s="58">
        <v>1</v>
      </c>
      <c r="R260" s="58">
        <v>0</v>
      </c>
      <c r="S260" s="58">
        <v>0</v>
      </c>
      <c r="T260" s="58">
        <v>0</v>
      </c>
      <c r="U260" s="58">
        <v>0</v>
      </c>
      <c r="V260" s="58">
        <v>0</v>
      </c>
      <c r="W260" s="58">
        <v>0</v>
      </c>
      <c r="X260" s="58">
        <v>0</v>
      </c>
      <c r="Y260" s="58">
        <v>14175</v>
      </c>
      <c r="Z260" s="58">
        <v>6375</v>
      </c>
      <c r="AA260" s="58">
        <v>15136.95</v>
      </c>
      <c r="AE260" s="57"/>
    </row>
    <row r="261" spans="1:31" x14ac:dyDescent="0.35">
      <c r="A261" s="56" t="s">
        <v>329</v>
      </c>
      <c r="B261" s="58">
        <v>12800</v>
      </c>
      <c r="C261" s="58" t="s">
        <v>33</v>
      </c>
      <c r="D261" s="58">
        <v>3999</v>
      </c>
      <c r="E261" s="58">
        <v>-387</v>
      </c>
      <c r="F261" s="58">
        <v>-8.8235294117647065</v>
      </c>
      <c r="G261" s="58">
        <v>777</v>
      </c>
      <c r="H261" s="58">
        <v>41.13</v>
      </c>
      <c r="I261" s="58">
        <v>6.5</v>
      </c>
      <c r="J261" s="58">
        <v>-1.3499999999999996</v>
      </c>
      <c r="K261" s="58">
        <v>-17.197452229299358</v>
      </c>
      <c r="L261" s="58">
        <v>15600</v>
      </c>
      <c r="M261" s="58">
        <v>10425</v>
      </c>
      <c r="N261" s="58">
        <v>15136.95</v>
      </c>
      <c r="O261" s="58">
        <v>12800</v>
      </c>
      <c r="P261" s="58" t="s">
        <v>33</v>
      </c>
      <c r="Q261" s="58">
        <v>313</v>
      </c>
      <c r="R261" s="58">
        <v>0</v>
      </c>
      <c r="S261" s="58">
        <v>0</v>
      </c>
      <c r="T261" s="58">
        <v>0</v>
      </c>
      <c r="U261" s="58">
        <v>0</v>
      </c>
      <c r="V261" s="58">
        <v>0</v>
      </c>
      <c r="W261" s="58">
        <v>0</v>
      </c>
      <c r="X261" s="58">
        <v>0</v>
      </c>
      <c r="Y261" s="58">
        <v>11550</v>
      </c>
      <c r="Z261" s="58">
        <v>11550</v>
      </c>
      <c r="AA261" s="58">
        <v>15136.95</v>
      </c>
      <c r="AE261" s="57"/>
    </row>
    <row r="262" spans="1:31" x14ac:dyDescent="0.35">
      <c r="A262" s="56" t="s">
        <v>330</v>
      </c>
      <c r="B262" s="58">
        <v>12800</v>
      </c>
      <c r="C262" s="58" t="s">
        <v>36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600</v>
      </c>
      <c r="M262" s="58">
        <v>0</v>
      </c>
      <c r="N262" s="58">
        <v>15136.95</v>
      </c>
      <c r="O262" s="58">
        <v>12800</v>
      </c>
      <c r="P262" s="58" t="s">
        <v>36</v>
      </c>
      <c r="Q262" s="58">
        <v>0</v>
      </c>
      <c r="R262" s="58">
        <v>0</v>
      </c>
      <c r="S262" s="58">
        <v>0</v>
      </c>
      <c r="T262" s="58">
        <v>0</v>
      </c>
      <c r="U262" s="58">
        <v>0</v>
      </c>
      <c r="V262" s="58">
        <v>0</v>
      </c>
      <c r="W262" s="58">
        <v>0</v>
      </c>
      <c r="X262" s="58">
        <v>0</v>
      </c>
      <c r="Y262" s="58">
        <v>4875</v>
      </c>
      <c r="Z262" s="58">
        <v>4875</v>
      </c>
      <c r="AA262" s="58">
        <v>15136.95</v>
      </c>
      <c r="AE262" s="57"/>
    </row>
    <row r="263" spans="1:31" x14ac:dyDescent="0.35">
      <c r="A263" s="56" t="s">
        <v>331</v>
      </c>
      <c r="B263" s="58">
        <v>12800</v>
      </c>
      <c r="C263" s="58" t="s">
        <v>37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600</v>
      </c>
      <c r="M263" s="58">
        <v>0</v>
      </c>
      <c r="N263" s="58">
        <v>15136.95</v>
      </c>
      <c r="O263" s="58">
        <v>12800</v>
      </c>
      <c r="P263" s="58" t="s">
        <v>37</v>
      </c>
      <c r="Q263" s="58">
        <v>0</v>
      </c>
      <c r="R263" s="58">
        <v>0</v>
      </c>
      <c r="S263" s="58">
        <v>0</v>
      </c>
      <c r="T263" s="58">
        <v>0</v>
      </c>
      <c r="U263" s="58">
        <v>0</v>
      </c>
      <c r="V263" s="58">
        <v>0</v>
      </c>
      <c r="W263" s="58">
        <v>0</v>
      </c>
      <c r="X263" s="58">
        <v>0</v>
      </c>
      <c r="Y263" s="58">
        <v>4875</v>
      </c>
      <c r="Z263" s="58">
        <v>4875</v>
      </c>
      <c r="AA263" s="58">
        <v>15136.95</v>
      </c>
      <c r="AE263" s="57"/>
    </row>
    <row r="264" spans="1:31" x14ac:dyDescent="0.35">
      <c r="A264" s="56" t="s">
        <v>332</v>
      </c>
      <c r="B264" s="58">
        <v>12800</v>
      </c>
      <c r="C264" s="58" t="s">
        <v>38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1500</v>
      </c>
      <c r="M264" s="58">
        <v>0</v>
      </c>
      <c r="N264" s="58">
        <v>15136.95</v>
      </c>
      <c r="O264" s="58">
        <v>12800</v>
      </c>
      <c r="P264" s="58" t="s">
        <v>38</v>
      </c>
      <c r="Q264" s="58">
        <v>0</v>
      </c>
      <c r="R264" s="58">
        <v>0</v>
      </c>
      <c r="S264" s="58">
        <v>0</v>
      </c>
      <c r="T264" s="58">
        <v>0</v>
      </c>
      <c r="U264" s="58">
        <v>0</v>
      </c>
      <c r="V264" s="58">
        <v>0</v>
      </c>
      <c r="W264" s="58">
        <v>0</v>
      </c>
      <c r="X264" s="58">
        <v>0</v>
      </c>
      <c r="Y264" s="58">
        <v>4875</v>
      </c>
      <c r="Z264" s="58">
        <v>4875</v>
      </c>
      <c r="AA264" s="58">
        <v>15136.95</v>
      </c>
      <c r="AE264" s="57"/>
    </row>
    <row r="265" spans="1:31" x14ac:dyDescent="0.35">
      <c r="A265" s="56" t="s">
        <v>333</v>
      </c>
      <c r="B265" s="58">
        <v>12800</v>
      </c>
      <c r="C265" s="58" t="s">
        <v>26</v>
      </c>
      <c r="D265" s="58">
        <v>323</v>
      </c>
      <c r="E265" s="58">
        <v>0</v>
      </c>
      <c r="F265" s="58">
        <v>0</v>
      </c>
      <c r="G265" s="58">
        <v>10</v>
      </c>
      <c r="H265" s="58">
        <v>33</v>
      </c>
      <c r="I265" s="58">
        <v>35.5</v>
      </c>
      <c r="J265" s="58">
        <v>-12.35</v>
      </c>
      <c r="K265" s="58">
        <v>-25.809822361546502</v>
      </c>
      <c r="L265" s="58">
        <v>5550</v>
      </c>
      <c r="M265" s="58">
        <v>1275</v>
      </c>
      <c r="N265" s="58">
        <v>15136.95</v>
      </c>
      <c r="O265" s="58">
        <v>12800</v>
      </c>
      <c r="P265" s="58" t="s">
        <v>26</v>
      </c>
      <c r="Q265" s="58">
        <v>27</v>
      </c>
      <c r="R265" s="58">
        <v>0</v>
      </c>
      <c r="S265" s="58">
        <v>0</v>
      </c>
      <c r="T265" s="58">
        <v>0</v>
      </c>
      <c r="U265" s="58">
        <v>0</v>
      </c>
      <c r="V265" s="58">
        <v>0</v>
      </c>
      <c r="W265" s="58">
        <v>0</v>
      </c>
      <c r="X265" s="58">
        <v>0</v>
      </c>
      <c r="Y265" s="58">
        <v>9975</v>
      </c>
      <c r="Z265" s="58">
        <v>9975</v>
      </c>
      <c r="AA265" s="58">
        <v>15136.95</v>
      </c>
      <c r="AE265" s="57"/>
    </row>
    <row r="266" spans="1:31" x14ac:dyDescent="0.35">
      <c r="A266" s="56" t="s">
        <v>334</v>
      </c>
      <c r="B266" s="58">
        <v>12800</v>
      </c>
      <c r="C266" s="58" t="s">
        <v>67</v>
      </c>
      <c r="D266" s="58">
        <v>8</v>
      </c>
      <c r="E266" s="58">
        <v>0</v>
      </c>
      <c r="F266" s="58">
        <v>0</v>
      </c>
      <c r="G266" s="58">
        <v>0</v>
      </c>
      <c r="H266" s="58">
        <v>0</v>
      </c>
      <c r="I266" s="58">
        <v>0</v>
      </c>
      <c r="J266" s="58">
        <v>0</v>
      </c>
      <c r="K266" s="58">
        <v>0</v>
      </c>
      <c r="L266" s="58">
        <v>900</v>
      </c>
      <c r="M266" s="58">
        <v>150</v>
      </c>
      <c r="N266" s="58">
        <v>15136.95</v>
      </c>
      <c r="O266" s="58">
        <v>12800</v>
      </c>
      <c r="P266" s="58" t="s">
        <v>67</v>
      </c>
      <c r="Q266" s="58">
        <v>0</v>
      </c>
      <c r="R266" s="58">
        <v>0</v>
      </c>
      <c r="S266" s="58">
        <v>0</v>
      </c>
      <c r="T266" s="58">
        <v>0</v>
      </c>
      <c r="U266" s="58">
        <v>0</v>
      </c>
      <c r="V266" s="58">
        <v>0</v>
      </c>
      <c r="W266" s="58">
        <v>0</v>
      </c>
      <c r="X266" s="58">
        <v>0</v>
      </c>
      <c r="Y266" s="58">
        <v>4875</v>
      </c>
      <c r="Z266" s="58">
        <v>4875</v>
      </c>
      <c r="AA266" s="58">
        <v>15136.95</v>
      </c>
      <c r="AE266" s="57"/>
    </row>
    <row r="267" spans="1:31" x14ac:dyDescent="0.35">
      <c r="A267" s="56" t="s">
        <v>335</v>
      </c>
      <c r="B267" s="58">
        <v>12800</v>
      </c>
      <c r="C267" s="58" t="s">
        <v>2071</v>
      </c>
      <c r="D267" s="58">
        <v>0</v>
      </c>
      <c r="E267" s="58">
        <v>0</v>
      </c>
      <c r="F267" s="58">
        <v>0</v>
      </c>
      <c r="G267" s="58">
        <v>0</v>
      </c>
      <c r="H267" s="58">
        <v>0</v>
      </c>
      <c r="I267" s="58">
        <v>0</v>
      </c>
      <c r="J267" s="58">
        <v>0</v>
      </c>
      <c r="K267" s="58">
        <v>0</v>
      </c>
      <c r="L267" s="58">
        <v>1125</v>
      </c>
      <c r="M267" s="58">
        <v>0</v>
      </c>
      <c r="N267" s="58">
        <v>15136.95</v>
      </c>
      <c r="O267" s="58">
        <v>12800</v>
      </c>
      <c r="P267" s="58" t="s">
        <v>2071</v>
      </c>
      <c r="Q267" s="58">
        <v>0</v>
      </c>
      <c r="R267" s="58">
        <v>0</v>
      </c>
      <c r="S267" s="58">
        <v>0</v>
      </c>
      <c r="T267" s="58">
        <v>0</v>
      </c>
      <c r="U267" s="58">
        <v>0</v>
      </c>
      <c r="V267" s="58">
        <v>0</v>
      </c>
      <c r="W267" s="58">
        <v>0</v>
      </c>
      <c r="X267" s="58">
        <v>0</v>
      </c>
      <c r="Y267" s="58">
        <v>5400</v>
      </c>
      <c r="Z267" s="58">
        <v>4875</v>
      </c>
      <c r="AA267" s="58">
        <v>15136.95</v>
      </c>
      <c r="AE267" s="57"/>
    </row>
    <row r="268" spans="1:31" x14ac:dyDescent="0.35">
      <c r="A268" s="56" t="s">
        <v>336</v>
      </c>
      <c r="B268" s="58">
        <v>12800</v>
      </c>
      <c r="C268" s="58" t="s">
        <v>35</v>
      </c>
      <c r="D268" s="58">
        <v>1311</v>
      </c>
      <c r="E268" s="58">
        <v>79</v>
      </c>
      <c r="F268" s="58">
        <v>6.412337662337662</v>
      </c>
      <c r="G268" s="58">
        <v>653</v>
      </c>
      <c r="H268" s="58">
        <v>105.7</v>
      </c>
      <c r="I268" s="58">
        <v>0.25</v>
      </c>
      <c r="J268" s="58">
        <v>-0.45</v>
      </c>
      <c r="K268" s="58">
        <v>-64.285714285714278</v>
      </c>
      <c r="L268" s="58">
        <v>119775</v>
      </c>
      <c r="M268" s="58">
        <v>49425</v>
      </c>
      <c r="N268" s="58">
        <v>15136.95</v>
      </c>
      <c r="O268" s="58">
        <v>12800</v>
      </c>
      <c r="P268" s="58" t="s">
        <v>35</v>
      </c>
      <c r="Q268" s="58">
        <v>1</v>
      </c>
      <c r="R268" s="58">
        <v>0</v>
      </c>
      <c r="S268" s="58">
        <v>0</v>
      </c>
      <c r="T268" s="58">
        <v>0</v>
      </c>
      <c r="U268" s="58">
        <v>0</v>
      </c>
      <c r="V268" s="58">
        <v>0</v>
      </c>
      <c r="W268" s="58">
        <v>0</v>
      </c>
      <c r="X268" s="58">
        <v>0</v>
      </c>
      <c r="Y268" s="58">
        <v>9525</v>
      </c>
      <c r="Z268" s="58">
        <v>9975</v>
      </c>
      <c r="AA268" s="58">
        <v>15136.95</v>
      </c>
      <c r="AE268" s="57"/>
    </row>
    <row r="269" spans="1:31" x14ac:dyDescent="0.35">
      <c r="A269" s="56" t="s">
        <v>337</v>
      </c>
      <c r="B269" s="58">
        <v>12800</v>
      </c>
      <c r="C269" s="58" t="s">
        <v>34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15000</v>
      </c>
      <c r="M269" s="58">
        <v>0</v>
      </c>
      <c r="N269" s="58">
        <v>15136.95</v>
      </c>
      <c r="O269" s="58">
        <v>12800</v>
      </c>
      <c r="P269" s="58" t="s">
        <v>34</v>
      </c>
      <c r="Q269" s="58">
        <v>0</v>
      </c>
      <c r="R269" s="58">
        <v>0</v>
      </c>
      <c r="S269" s="58">
        <v>0</v>
      </c>
      <c r="T269" s="58">
        <v>0</v>
      </c>
      <c r="U269" s="58">
        <v>0</v>
      </c>
      <c r="V269" s="58">
        <v>0</v>
      </c>
      <c r="W269" s="58">
        <v>0</v>
      </c>
      <c r="X269" s="58">
        <v>0</v>
      </c>
      <c r="Y269" s="58">
        <v>7725</v>
      </c>
      <c r="Z269" s="58">
        <v>7725</v>
      </c>
      <c r="AA269" s="58">
        <v>15136.95</v>
      </c>
      <c r="AE269" s="57"/>
    </row>
    <row r="270" spans="1:31" x14ac:dyDescent="0.35">
      <c r="A270" s="56" t="s">
        <v>338</v>
      </c>
      <c r="B270" s="58">
        <v>12850</v>
      </c>
      <c r="C270" s="58" t="s">
        <v>33</v>
      </c>
      <c r="D270" s="58">
        <v>67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7500</v>
      </c>
      <c r="M270" s="58">
        <v>0</v>
      </c>
      <c r="N270" s="58">
        <v>15136.95</v>
      </c>
      <c r="O270" s="58">
        <v>12850</v>
      </c>
      <c r="P270" s="58" t="s">
        <v>33</v>
      </c>
      <c r="Q270" s="58">
        <v>1</v>
      </c>
      <c r="R270" s="58">
        <v>0</v>
      </c>
      <c r="S270" s="58">
        <v>0</v>
      </c>
      <c r="T270" s="58">
        <v>0</v>
      </c>
      <c r="U270" s="58">
        <v>0</v>
      </c>
      <c r="V270" s="58">
        <v>0</v>
      </c>
      <c r="W270" s="58">
        <v>0</v>
      </c>
      <c r="X270" s="58">
        <v>0</v>
      </c>
      <c r="Y270" s="58">
        <v>14175</v>
      </c>
      <c r="Z270" s="58">
        <v>6375</v>
      </c>
      <c r="AA270" s="58">
        <v>15136.95</v>
      </c>
      <c r="AE270" s="57"/>
    </row>
    <row r="271" spans="1:31" x14ac:dyDescent="0.35">
      <c r="A271" s="56" t="s">
        <v>339</v>
      </c>
      <c r="B271" s="58">
        <v>12850</v>
      </c>
      <c r="C271" s="58" t="s">
        <v>34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11850</v>
      </c>
      <c r="M271" s="58">
        <v>0</v>
      </c>
      <c r="N271" s="58">
        <v>15136.95</v>
      </c>
      <c r="O271" s="58">
        <v>12850</v>
      </c>
      <c r="P271" s="58" t="s">
        <v>34</v>
      </c>
      <c r="Q271" s="58">
        <v>0</v>
      </c>
      <c r="R271" s="58">
        <v>0</v>
      </c>
      <c r="S271" s="58">
        <v>0</v>
      </c>
      <c r="T271" s="58">
        <v>0</v>
      </c>
      <c r="U271" s="58">
        <v>0</v>
      </c>
      <c r="V271" s="58">
        <v>0</v>
      </c>
      <c r="W271" s="58">
        <v>0</v>
      </c>
      <c r="X271" s="58">
        <v>0</v>
      </c>
      <c r="Y271" s="58">
        <v>7725</v>
      </c>
      <c r="Z271" s="58">
        <v>7725</v>
      </c>
      <c r="AA271" s="58">
        <v>15136.95</v>
      </c>
      <c r="AE271" s="57"/>
    </row>
    <row r="272" spans="1:31" x14ac:dyDescent="0.35">
      <c r="A272" s="56" t="s">
        <v>340</v>
      </c>
      <c r="B272" s="58">
        <v>0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58">
        <v>12850</v>
      </c>
      <c r="P272" s="58" t="s">
        <v>37</v>
      </c>
      <c r="Q272" s="58">
        <v>0</v>
      </c>
      <c r="R272" s="58">
        <v>0</v>
      </c>
      <c r="S272" s="58">
        <v>0</v>
      </c>
      <c r="T272" s="58">
        <v>0</v>
      </c>
      <c r="U272" s="58">
        <v>0</v>
      </c>
      <c r="V272" s="58">
        <v>0</v>
      </c>
      <c r="W272" s="58">
        <v>0</v>
      </c>
      <c r="X272" s="58">
        <v>0</v>
      </c>
      <c r="Y272" s="58">
        <v>4875</v>
      </c>
      <c r="Z272" s="58">
        <v>4875</v>
      </c>
      <c r="AA272" s="58">
        <v>15136.95</v>
      </c>
      <c r="AE272" s="57"/>
    </row>
    <row r="273" spans="1:31" x14ac:dyDescent="0.35">
      <c r="A273" s="56" t="s">
        <v>341</v>
      </c>
      <c r="B273" s="58">
        <v>0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58">
        <v>12850</v>
      </c>
      <c r="P273" s="58" t="s">
        <v>38</v>
      </c>
      <c r="Q273" s="58">
        <v>0</v>
      </c>
      <c r="R273" s="58">
        <v>0</v>
      </c>
      <c r="S273" s="58">
        <v>0</v>
      </c>
      <c r="T273" s="58">
        <v>0</v>
      </c>
      <c r="U273" s="58">
        <v>0</v>
      </c>
      <c r="V273" s="58">
        <v>0</v>
      </c>
      <c r="W273" s="58">
        <v>0</v>
      </c>
      <c r="X273" s="58">
        <v>0</v>
      </c>
      <c r="Y273" s="58">
        <v>4875</v>
      </c>
      <c r="Z273" s="58">
        <v>4875</v>
      </c>
      <c r="AA273" s="58">
        <v>15136.95</v>
      </c>
      <c r="AE273" s="57"/>
    </row>
    <row r="274" spans="1:31" x14ac:dyDescent="0.35">
      <c r="A274" s="56" t="s">
        <v>342</v>
      </c>
      <c r="B274" s="58">
        <v>12850</v>
      </c>
      <c r="C274" s="58" t="s">
        <v>26</v>
      </c>
      <c r="D274" s="58">
        <v>1</v>
      </c>
      <c r="E274" s="58">
        <v>0</v>
      </c>
      <c r="F274" s="58">
        <v>0</v>
      </c>
      <c r="G274" s="58">
        <v>0</v>
      </c>
      <c r="H274" s="58">
        <v>0</v>
      </c>
      <c r="I274" s="58">
        <v>0</v>
      </c>
      <c r="J274" s="58">
        <v>0</v>
      </c>
      <c r="K274" s="58">
        <v>0</v>
      </c>
      <c r="L274" s="58">
        <v>450</v>
      </c>
      <c r="M274" s="58">
        <v>0</v>
      </c>
      <c r="N274" s="58">
        <v>15136.95</v>
      </c>
      <c r="O274" s="58">
        <v>12850</v>
      </c>
      <c r="P274" s="58" t="s">
        <v>26</v>
      </c>
      <c r="Q274" s="58">
        <v>0</v>
      </c>
      <c r="R274" s="58">
        <v>0</v>
      </c>
      <c r="S274" s="58">
        <v>0</v>
      </c>
      <c r="T274" s="58">
        <v>0</v>
      </c>
      <c r="U274" s="58">
        <v>0</v>
      </c>
      <c r="V274" s="58">
        <v>0</v>
      </c>
      <c r="W274" s="58">
        <v>0</v>
      </c>
      <c r="X274" s="58">
        <v>0</v>
      </c>
      <c r="Y274" s="58">
        <v>12675</v>
      </c>
      <c r="Z274" s="58">
        <v>7725</v>
      </c>
      <c r="AA274" s="58">
        <v>15136.95</v>
      </c>
      <c r="AE274" s="57"/>
    </row>
    <row r="275" spans="1:31" x14ac:dyDescent="0.35">
      <c r="A275" s="56" t="s">
        <v>343</v>
      </c>
      <c r="B275" s="58">
        <v>0</v>
      </c>
      <c r="C275" s="58">
        <v>0</v>
      </c>
      <c r="D275" s="58">
        <v>0</v>
      </c>
      <c r="E275" s="58">
        <v>0</v>
      </c>
      <c r="F275" s="58">
        <v>0</v>
      </c>
      <c r="G275" s="58">
        <v>0</v>
      </c>
      <c r="H275" s="58">
        <v>0</v>
      </c>
      <c r="I275" s="58">
        <v>0</v>
      </c>
      <c r="J275" s="58">
        <v>0</v>
      </c>
      <c r="K275" s="58">
        <v>0</v>
      </c>
      <c r="L275" s="58">
        <v>0</v>
      </c>
      <c r="M275" s="58">
        <v>0</v>
      </c>
      <c r="N275" s="58">
        <v>0</v>
      </c>
      <c r="O275" s="58">
        <v>12850</v>
      </c>
      <c r="P275" s="58" t="s">
        <v>67</v>
      </c>
      <c r="Q275" s="58">
        <v>0</v>
      </c>
      <c r="R275" s="58">
        <v>0</v>
      </c>
      <c r="S275" s="58">
        <v>0</v>
      </c>
      <c r="T275" s="58">
        <v>0</v>
      </c>
      <c r="U275" s="58">
        <v>0</v>
      </c>
      <c r="V275" s="58">
        <v>0</v>
      </c>
      <c r="W275" s="58">
        <v>0</v>
      </c>
      <c r="X275" s="58">
        <v>0</v>
      </c>
      <c r="Y275" s="58">
        <v>4875</v>
      </c>
      <c r="Z275" s="58">
        <v>4875</v>
      </c>
      <c r="AA275" s="58">
        <v>15136.95</v>
      </c>
      <c r="AE275" s="57"/>
    </row>
    <row r="276" spans="1:31" x14ac:dyDescent="0.35">
      <c r="A276" s="56" t="s">
        <v>344</v>
      </c>
      <c r="B276" s="58">
        <v>0</v>
      </c>
      <c r="C276" s="58">
        <v>0</v>
      </c>
      <c r="D276" s="58">
        <v>0</v>
      </c>
      <c r="E276" s="58">
        <v>0</v>
      </c>
      <c r="F276" s="58">
        <v>0</v>
      </c>
      <c r="G276" s="58">
        <v>0</v>
      </c>
      <c r="H276" s="58">
        <v>0</v>
      </c>
      <c r="I276" s="58">
        <v>0</v>
      </c>
      <c r="J276" s="58">
        <v>0</v>
      </c>
      <c r="K276" s="58">
        <v>0</v>
      </c>
      <c r="L276" s="58">
        <v>0</v>
      </c>
      <c r="M276" s="58">
        <v>0</v>
      </c>
      <c r="N276" s="58">
        <v>0</v>
      </c>
      <c r="O276" s="58">
        <v>12850</v>
      </c>
      <c r="P276" s="58" t="s">
        <v>2071</v>
      </c>
      <c r="Q276" s="58">
        <v>0</v>
      </c>
      <c r="R276" s="58">
        <v>0</v>
      </c>
      <c r="S276" s="58">
        <v>0</v>
      </c>
      <c r="T276" s="58">
        <v>0</v>
      </c>
      <c r="U276" s="58">
        <v>0</v>
      </c>
      <c r="V276" s="58">
        <v>0</v>
      </c>
      <c r="W276" s="58">
        <v>0</v>
      </c>
      <c r="X276" s="58">
        <v>0</v>
      </c>
      <c r="Y276" s="58">
        <v>5400</v>
      </c>
      <c r="Z276" s="58">
        <v>4875</v>
      </c>
      <c r="AA276" s="58">
        <v>15136.95</v>
      </c>
      <c r="AE276" s="57"/>
    </row>
    <row r="277" spans="1:31" x14ac:dyDescent="0.35">
      <c r="A277" s="56" t="s">
        <v>345</v>
      </c>
      <c r="B277" s="58">
        <v>12850</v>
      </c>
      <c r="C277" s="58" t="s">
        <v>35</v>
      </c>
      <c r="D277" s="58">
        <v>30</v>
      </c>
      <c r="E277" s="58">
        <v>2</v>
      </c>
      <c r="F277" s="58">
        <v>7.1428571428571432</v>
      </c>
      <c r="G277" s="58">
        <v>8</v>
      </c>
      <c r="H277" s="58">
        <v>101.54</v>
      </c>
      <c r="I277" s="58">
        <v>0.2</v>
      </c>
      <c r="J277" s="58">
        <v>-0.14999999999999997</v>
      </c>
      <c r="K277" s="58">
        <v>-42.857142857142847</v>
      </c>
      <c r="L277" s="58">
        <v>225</v>
      </c>
      <c r="M277" s="58">
        <v>34050</v>
      </c>
      <c r="N277" s="58">
        <v>15136.95</v>
      </c>
      <c r="O277" s="58">
        <v>12850</v>
      </c>
      <c r="P277" s="58" t="s">
        <v>35</v>
      </c>
      <c r="Q277" s="58">
        <v>0</v>
      </c>
      <c r="R277" s="58">
        <v>0</v>
      </c>
      <c r="S277" s="58">
        <v>0</v>
      </c>
      <c r="T277" s="58">
        <v>0</v>
      </c>
      <c r="U277" s="58">
        <v>0</v>
      </c>
      <c r="V277" s="58">
        <v>0</v>
      </c>
      <c r="W277" s="58">
        <v>0</v>
      </c>
      <c r="X277" s="58">
        <v>0</v>
      </c>
      <c r="Y277" s="58">
        <v>9225</v>
      </c>
      <c r="Z277" s="58">
        <v>9300</v>
      </c>
      <c r="AA277" s="58">
        <v>15136.95</v>
      </c>
      <c r="AE277" s="57"/>
    </row>
    <row r="278" spans="1:31" x14ac:dyDescent="0.35">
      <c r="A278" s="56" t="s">
        <v>346</v>
      </c>
      <c r="B278" s="58">
        <v>0</v>
      </c>
      <c r="C278" s="58">
        <v>0</v>
      </c>
      <c r="D278" s="58">
        <v>0</v>
      </c>
      <c r="E278" s="58">
        <v>0</v>
      </c>
      <c r="F278" s="58">
        <v>0</v>
      </c>
      <c r="G278" s="58">
        <v>0</v>
      </c>
      <c r="H278" s="58">
        <v>0</v>
      </c>
      <c r="I278" s="58">
        <v>0</v>
      </c>
      <c r="J278" s="58">
        <v>0</v>
      </c>
      <c r="K278" s="58">
        <v>0</v>
      </c>
      <c r="L278" s="58">
        <v>0</v>
      </c>
      <c r="M278" s="58">
        <v>0</v>
      </c>
      <c r="N278" s="58">
        <v>0</v>
      </c>
      <c r="O278" s="58">
        <v>12850</v>
      </c>
      <c r="P278" s="58" t="s">
        <v>36</v>
      </c>
      <c r="Q278" s="58">
        <v>0</v>
      </c>
      <c r="R278" s="58">
        <v>0</v>
      </c>
      <c r="S278" s="58">
        <v>0</v>
      </c>
      <c r="T278" s="58">
        <v>0</v>
      </c>
      <c r="U278" s="58">
        <v>0</v>
      </c>
      <c r="V278" s="58">
        <v>0</v>
      </c>
      <c r="W278" s="58">
        <v>0</v>
      </c>
      <c r="X278" s="58">
        <v>0</v>
      </c>
      <c r="Y278" s="58">
        <v>4875</v>
      </c>
      <c r="Z278" s="58">
        <v>4875</v>
      </c>
      <c r="AA278" s="58">
        <v>15136.95</v>
      </c>
      <c r="AE278" s="57"/>
    </row>
    <row r="279" spans="1:31" x14ac:dyDescent="0.35">
      <c r="A279" s="56" t="s">
        <v>347</v>
      </c>
      <c r="B279" s="58">
        <v>12900</v>
      </c>
      <c r="C279" s="58" t="s">
        <v>33</v>
      </c>
      <c r="D279" s="58">
        <v>3679</v>
      </c>
      <c r="E279" s="58">
        <v>59</v>
      </c>
      <c r="F279" s="58">
        <v>1.6298342541436464</v>
      </c>
      <c r="G279" s="58">
        <v>157</v>
      </c>
      <c r="H279" s="58">
        <v>39.729999999999997</v>
      </c>
      <c r="I279" s="58">
        <v>6.8</v>
      </c>
      <c r="J279" s="58">
        <v>-1.2999999999999998</v>
      </c>
      <c r="K279" s="58">
        <v>-16.049382716049383</v>
      </c>
      <c r="L279" s="58">
        <v>16425</v>
      </c>
      <c r="M279" s="58">
        <v>6000</v>
      </c>
      <c r="N279" s="58">
        <v>15136.95</v>
      </c>
      <c r="O279" s="58">
        <v>12900</v>
      </c>
      <c r="P279" s="58" t="s">
        <v>33</v>
      </c>
      <c r="Q279" s="58">
        <v>145</v>
      </c>
      <c r="R279" s="58">
        <v>0</v>
      </c>
      <c r="S279" s="58">
        <v>0</v>
      </c>
      <c r="T279" s="58">
        <v>1</v>
      </c>
      <c r="U279" s="58">
        <v>0</v>
      </c>
      <c r="V279" s="58">
        <v>2178.0500000000002</v>
      </c>
      <c r="W279" s="58">
        <v>-21.349999999999909</v>
      </c>
      <c r="X279" s="58">
        <v>-0.97071928707829003</v>
      </c>
      <c r="Y279" s="58">
        <v>11550</v>
      </c>
      <c r="Z279" s="58">
        <v>11550</v>
      </c>
      <c r="AA279" s="58">
        <v>15136.95</v>
      </c>
      <c r="AE279" s="57"/>
    </row>
    <row r="280" spans="1:31" x14ac:dyDescent="0.35">
      <c r="A280" s="56" t="s">
        <v>348</v>
      </c>
      <c r="B280" s="58">
        <v>12900</v>
      </c>
      <c r="C280" s="58" t="s">
        <v>26</v>
      </c>
      <c r="D280" s="58">
        <v>97</v>
      </c>
      <c r="E280" s="58">
        <v>0</v>
      </c>
      <c r="F280" s="58">
        <v>0</v>
      </c>
      <c r="G280" s="58">
        <v>0</v>
      </c>
      <c r="H280" s="58">
        <v>0</v>
      </c>
      <c r="I280" s="58">
        <v>0</v>
      </c>
      <c r="J280" s="58">
        <v>0</v>
      </c>
      <c r="K280" s="58">
        <v>0</v>
      </c>
      <c r="L280" s="58">
        <v>4500</v>
      </c>
      <c r="M280" s="58">
        <v>2025</v>
      </c>
      <c r="N280" s="58">
        <v>15136.95</v>
      </c>
      <c r="O280" s="58">
        <v>12900</v>
      </c>
      <c r="P280" s="58" t="s">
        <v>26</v>
      </c>
      <c r="Q280" s="58">
        <v>2</v>
      </c>
      <c r="R280" s="58">
        <v>0</v>
      </c>
      <c r="S280" s="58">
        <v>0</v>
      </c>
      <c r="T280" s="58">
        <v>0</v>
      </c>
      <c r="U280" s="58">
        <v>0</v>
      </c>
      <c r="V280" s="58">
        <v>0</v>
      </c>
      <c r="W280" s="58">
        <v>0</v>
      </c>
      <c r="X280" s="58">
        <v>0</v>
      </c>
      <c r="Y280" s="58">
        <v>12750</v>
      </c>
      <c r="Z280" s="58">
        <v>4950</v>
      </c>
      <c r="AA280" s="58">
        <v>15136.95</v>
      </c>
      <c r="AE280" s="57"/>
    </row>
    <row r="281" spans="1:31" x14ac:dyDescent="0.35">
      <c r="A281" s="56" t="s">
        <v>349</v>
      </c>
      <c r="B281" s="58">
        <v>12900</v>
      </c>
      <c r="C281" s="58" t="s">
        <v>37</v>
      </c>
      <c r="D281" s="58">
        <v>0</v>
      </c>
      <c r="E281" s="58">
        <v>0</v>
      </c>
      <c r="F281" s="58">
        <v>0</v>
      </c>
      <c r="G281" s="58">
        <v>0</v>
      </c>
      <c r="H281" s="58">
        <v>0</v>
      </c>
      <c r="I281" s="58">
        <v>0</v>
      </c>
      <c r="J281" s="58">
        <v>0</v>
      </c>
      <c r="K281" s="58">
        <v>0</v>
      </c>
      <c r="L281" s="58">
        <v>600</v>
      </c>
      <c r="M281" s="58">
        <v>0</v>
      </c>
      <c r="N281" s="58">
        <v>15136.95</v>
      </c>
      <c r="O281" s="58">
        <v>12900</v>
      </c>
      <c r="P281" s="58" t="s">
        <v>37</v>
      </c>
      <c r="Q281" s="58">
        <v>0</v>
      </c>
      <c r="R281" s="58">
        <v>0</v>
      </c>
      <c r="S281" s="58">
        <v>0</v>
      </c>
      <c r="T281" s="58">
        <v>0</v>
      </c>
      <c r="U281" s="58">
        <v>0</v>
      </c>
      <c r="V281" s="58">
        <v>0</v>
      </c>
      <c r="W281" s="58">
        <v>0</v>
      </c>
      <c r="X281" s="58">
        <v>0</v>
      </c>
      <c r="Y281" s="58">
        <v>4875</v>
      </c>
      <c r="Z281" s="58">
        <v>4875</v>
      </c>
      <c r="AA281" s="58">
        <v>15136.95</v>
      </c>
      <c r="AE281" s="57"/>
    </row>
    <row r="282" spans="1:31" x14ac:dyDescent="0.35">
      <c r="A282" s="56" t="s">
        <v>350</v>
      </c>
      <c r="B282" s="58">
        <v>12900</v>
      </c>
      <c r="C282" s="58" t="s">
        <v>38</v>
      </c>
      <c r="D282" s="58">
        <v>0</v>
      </c>
      <c r="E282" s="58">
        <v>0</v>
      </c>
      <c r="F282" s="58">
        <v>0</v>
      </c>
      <c r="G282" s="58">
        <v>0</v>
      </c>
      <c r="H282" s="58">
        <v>0</v>
      </c>
      <c r="I282" s="58">
        <v>0</v>
      </c>
      <c r="J282" s="58">
        <v>0</v>
      </c>
      <c r="K282" s="58">
        <v>0</v>
      </c>
      <c r="L282" s="58">
        <v>1500</v>
      </c>
      <c r="M282" s="58">
        <v>0</v>
      </c>
      <c r="N282" s="58">
        <v>15136.95</v>
      </c>
      <c r="O282" s="58">
        <v>12900</v>
      </c>
      <c r="P282" s="58" t="s">
        <v>38</v>
      </c>
      <c r="Q282" s="58">
        <v>0</v>
      </c>
      <c r="R282" s="58">
        <v>0</v>
      </c>
      <c r="S282" s="58">
        <v>0</v>
      </c>
      <c r="T282" s="58">
        <v>0</v>
      </c>
      <c r="U282" s="58">
        <v>0</v>
      </c>
      <c r="V282" s="58">
        <v>0</v>
      </c>
      <c r="W282" s="58">
        <v>0</v>
      </c>
      <c r="X282" s="58">
        <v>0</v>
      </c>
      <c r="Y282" s="58">
        <v>4875</v>
      </c>
      <c r="Z282" s="58">
        <v>4875</v>
      </c>
      <c r="AA282" s="58">
        <v>15136.95</v>
      </c>
      <c r="AE282" s="57"/>
    </row>
    <row r="283" spans="1:31" x14ac:dyDescent="0.35">
      <c r="A283" s="56" t="s">
        <v>351</v>
      </c>
      <c r="B283" s="58">
        <v>12900</v>
      </c>
      <c r="C283" s="58" t="s">
        <v>34</v>
      </c>
      <c r="D283" s="58">
        <v>68</v>
      </c>
      <c r="E283" s="58">
        <v>0</v>
      </c>
      <c r="F283" s="58">
        <v>0</v>
      </c>
      <c r="G283" s="58">
        <v>0</v>
      </c>
      <c r="H283" s="58">
        <v>0</v>
      </c>
      <c r="I283" s="58">
        <v>0</v>
      </c>
      <c r="J283" s="58">
        <v>0</v>
      </c>
      <c r="K283" s="58">
        <v>0</v>
      </c>
      <c r="L283" s="58">
        <v>36525</v>
      </c>
      <c r="M283" s="58">
        <v>4725</v>
      </c>
      <c r="N283" s="58">
        <v>15136.95</v>
      </c>
      <c r="O283" s="58">
        <v>12900</v>
      </c>
      <c r="P283" s="58" t="s">
        <v>34</v>
      </c>
      <c r="Q283" s="58">
        <v>0</v>
      </c>
      <c r="R283" s="58">
        <v>0</v>
      </c>
      <c r="S283" s="58">
        <v>0</v>
      </c>
      <c r="T283" s="58">
        <v>0</v>
      </c>
      <c r="U283" s="58">
        <v>0</v>
      </c>
      <c r="V283" s="58">
        <v>0</v>
      </c>
      <c r="W283" s="58">
        <v>0</v>
      </c>
      <c r="X283" s="58">
        <v>0</v>
      </c>
      <c r="Y283" s="58">
        <v>7725</v>
      </c>
      <c r="Z283" s="58">
        <v>7725</v>
      </c>
      <c r="AA283" s="58">
        <v>15136.95</v>
      </c>
      <c r="AE283" s="57"/>
    </row>
    <row r="284" spans="1:31" x14ac:dyDescent="0.35">
      <c r="A284" s="56" t="s">
        <v>352</v>
      </c>
      <c r="B284" s="58">
        <v>0</v>
      </c>
      <c r="C284" s="58">
        <v>0</v>
      </c>
      <c r="D284" s="58">
        <v>0</v>
      </c>
      <c r="E284" s="58">
        <v>0</v>
      </c>
      <c r="F284" s="58">
        <v>0</v>
      </c>
      <c r="G284" s="58">
        <v>0</v>
      </c>
      <c r="H284" s="58">
        <v>0</v>
      </c>
      <c r="I284" s="58">
        <v>0</v>
      </c>
      <c r="J284" s="58">
        <v>0</v>
      </c>
      <c r="K284" s="58">
        <v>0</v>
      </c>
      <c r="L284" s="58">
        <v>0</v>
      </c>
      <c r="M284" s="58">
        <v>0</v>
      </c>
      <c r="N284" s="58">
        <v>0</v>
      </c>
      <c r="O284" s="58">
        <v>12900</v>
      </c>
      <c r="P284" s="58" t="s">
        <v>67</v>
      </c>
      <c r="Q284" s="58">
        <v>0</v>
      </c>
      <c r="R284" s="58">
        <v>0</v>
      </c>
      <c r="S284" s="58">
        <v>0</v>
      </c>
      <c r="T284" s="58">
        <v>0</v>
      </c>
      <c r="U284" s="58">
        <v>0</v>
      </c>
      <c r="V284" s="58">
        <v>0</v>
      </c>
      <c r="W284" s="58">
        <v>0</v>
      </c>
      <c r="X284" s="58">
        <v>0</v>
      </c>
      <c r="Y284" s="58">
        <v>4875</v>
      </c>
      <c r="Z284" s="58">
        <v>4875</v>
      </c>
      <c r="AA284" s="58">
        <v>15136.95</v>
      </c>
      <c r="AE284" s="57"/>
    </row>
    <row r="285" spans="1:31" x14ac:dyDescent="0.35">
      <c r="A285" s="56" t="s">
        <v>353</v>
      </c>
      <c r="B285" s="58">
        <v>12900</v>
      </c>
      <c r="C285" s="58" t="s">
        <v>2071</v>
      </c>
      <c r="D285" s="58">
        <v>0</v>
      </c>
      <c r="E285" s="58">
        <v>0</v>
      </c>
      <c r="F285" s="58">
        <v>0</v>
      </c>
      <c r="G285" s="58">
        <v>0</v>
      </c>
      <c r="H285" s="58">
        <v>0</v>
      </c>
      <c r="I285" s="58">
        <v>0</v>
      </c>
      <c r="J285" s="58">
        <v>0</v>
      </c>
      <c r="K285" s="58">
        <v>0</v>
      </c>
      <c r="L285" s="58">
        <v>1125</v>
      </c>
      <c r="M285" s="58">
        <v>0</v>
      </c>
      <c r="N285" s="58">
        <v>15136.95</v>
      </c>
      <c r="O285" s="58">
        <v>12900</v>
      </c>
      <c r="P285" s="58" t="s">
        <v>2071</v>
      </c>
      <c r="Q285" s="58">
        <v>0</v>
      </c>
      <c r="R285" s="58">
        <v>0</v>
      </c>
      <c r="S285" s="58">
        <v>0</v>
      </c>
      <c r="T285" s="58">
        <v>0</v>
      </c>
      <c r="U285" s="58">
        <v>0</v>
      </c>
      <c r="V285" s="58">
        <v>0</v>
      </c>
      <c r="W285" s="58">
        <v>0</v>
      </c>
      <c r="X285" s="58">
        <v>0</v>
      </c>
      <c r="Y285" s="58">
        <v>5400</v>
      </c>
      <c r="Z285" s="58">
        <v>4875</v>
      </c>
      <c r="AA285" s="58">
        <v>15136.95</v>
      </c>
      <c r="AE285" s="57"/>
    </row>
    <row r="286" spans="1:31" x14ac:dyDescent="0.35">
      <c r="A286" s="56" t="s">
        <v>354</v>
      </c>
      <c r="B286" s="58">
        <v>12900</v>
      </c>
      <c r="C286" s="58" t="s">
        <v>35</v>
      </c>
      <c r="D286" s="58">
        <v>525</v>
      </c>
      <c r="E286" s="58">
        <v>62</v>
      </c>
      <c r="F286" s="58">
        <v>13.390928725701944</v>
      </c>
      <c r="G286" s="58">
        <v>437</v>
      </c>
      <c r="H286" s="58">
        <v>102.78</v>
      </c>
      <c r="I286" s="58">
        <v>0.3</v>
      </c>
      <c r="J286" s="58">
        <v>-0.35000000000000003</v>
      </c>
      <c r="K286" s="58">
        <v>-53.846153846153854</v>
      </c>
      <c r="L286" s="58">
        <v>44400</v>
      </c>
      <c r="M286" s="58">
        <v>46350</v>
      </c>
      <c r="N286" s="58">
        <v>15136.95</v>
      </c>
      <c r="O286" s="58">
        <v>12900</v>
      </c>
      <c r="P286" s="58" t="s">
        <v>35</v>
      </c>
      <c r="Q286" s="58">
        <v>1</v>
      </c>
      <c r="R286" s="58">
        <v>0</v>
      </c>
      <c r="S286" s="58">
        <v>0</v>
      </c>
      <c r="T286" s="58">
        <v>0</v>
      </c>
      <c r="U286" s="58">
        <v>0</v>
      </c>
      <c r="V286" s="58">
        <v>0</v>
      </c>
      <c r="W286" s="58">
        <v>0</v>
      </c>
      <c r="X286" s="58">
        <v>0</v>
      </c>
      <c r="Y286" s="58">
        <v>6975</v>
      </c>
      <c r="Z286" s="58">
        <v>12525</v>
      </c>
      <c r="AA286" s="58">
        <v>15136.95</v>
      </c>
      <c r="AE286" s="57"/>
    </row>
    <row r="287" spans="1:31" x14ac:dyDescent="0.35">
      <c r="A287" s="56" t="s">
        <v>355</v>
      </c>
      <c r="B287" s="58">
        <v>12900</v>
      </c>
      <c r="C287" s="58" t="s">
        <v>36</v>
      </c>
      <c r="D287" s="58">
        <v>0</v>
      </c>
      <c r="E287" s="58">
        <v>0</v>
      </c>
      <c r="F287" s="58">
        <v>0</v>
      </c>
      <c r="G287" s="58">
        <v>0</v>
      </c>
      <c r="H287" s="58">
        <v>0</v>
      </c>
      <c r="I287" s="58">
        <v>0</v>
      </c>
      <c r="J287" s="58">
        <v>0</v>
      </c>
      <c r="K287" s="58">
        <v>0</v>
      </c>
      <c r="L287" s="58">
        <v>1500</v>
      </c>
      <c r="M287" s="58">
        <v>0</v>
      </c>
      <c r="N287" s="58">
        <v>15136.95</v>
      </c>
      <c r="O287" s="58">
        <v>12900</v>
      </c>
      <c r="P287" s="58" t="s">
        <v>36</v>
      </c>
      <c r="Q287" s="58">
        <v>0</v>
      </c>
      <c r="R287" s="58">
        <v>0</v>
      </c>
      <c r="S287" s="58">
        <v>0</v>
      </c>
      <c r="T287" s="58">
        <v>0</v>
      </c>
      <c r="U287" s="58">
        <v>0</v>
      </c>
      <c r="V287" s="58">
        <v>0</v>
      </c>
      <c r="W287" s="58">
        <v>0</v>
      </c>
      <c r="X287" s="58">
        <v>0</v>
      </c>
      <c r="Y287" s="58">
        <v>4875</v>
      </c>
      <c r="Z287" s="58">
        <v>4875</v>
      </c>
      <c r="AA287" s="58">
        <v>15136.95</v>
      </c>
      <c r="AE287" s="57"/>
    </row>
    <row r="288" spans="1:31" x14ac:dyDescent="0.35">
      <c r="A288" s="56" t="s">
        <v>356</v>
      </c>
      <c r="B288" s="58">
        <v>12950</v>
      </c>
      <c r="C288" s="58" t="s">
        <v>34</v>
      </c>
      <c r="D288" s="58">
        <v>0</v>
      </c>
      <c r="E288" s="58">
        <v>0</v>
      </c>
      <c r="F288" s="58">
        <v>0</v>
      </c>
      <c r="G288" s="58">
        <v>0</v>
      </c>
      <c r="H288" s="58">
        <v>0</v>
      </c>
      <c r="I288" s="58">
        <v>0</v>
      </c>
      <c r="J288" s="58">
        <v>0</v>
      </c>
      <c r="K288" s="58">
        <v>0</v>
      </c>
      <c r="L288" s="58">
        <v>11025</v>
      </c>
      <c r="M288" s="58">
        <v>0</v>
      </c>
      <c r="N288" s="58">
        <v>15136.95</v>
      </c>
      <c r="O288" s="58">
        <v>12950</v>
      </c>
      <c r="P288" s="58" t="s">
        <v>34</v>
      </c>
      <c r="Q288" s="58">
        <v>0</v>
      </c>
      <c r="R288" s="58">
        <v>0</v>
      </c>
      <c r="S288" s="58">
        <v>0</v>
      </c>
      <c r="T288" s="58">
        <v>0</v>
      </c>
      <c r="U288" s="58">
        <v>0</v>
      </c>
      <c r="V288" s="58">
        <v>0</v>
      </c>
      <c r="W288" s="58">
        <v>0</v>
      </c>
      <c r="X288" s="58">
        <v>0</v>
      </c>
      <c r="Y288" s="58">
        <v>7725</v>
      </c>
      <c r="Z288" s="58">
        <v>7725</v>
      </c>
      <c r="AA288" s="58">
        <v>15136.95</v>
      </c>
      <c r="AE288" s="57"/>
    </row>
    <row r="289" spans="1:31" x14ac:dyDescent="0.35">
      <c r="A289" s="56" t="s">
        <v>357</v>
      </c>
      <c r="B289" s="58">
        <v>0</v>
      </c>
      <c r="C289" s="58">
        <v>0</v>
      </c>
      <c r="D289" s="58">
        <v>0</v>
      </c>
      <c r="E289" s="58">
        <v>0</v>
      </c>
      <c r="F289" s="58">
        <v>0</v>
      </c>
      <c r="G289" s="58">
        <v>0</v>
      </c>
      <c r="H289" s="58">
        <v>0</v>
      </c>
      <c r="I289" s="58">
        <v>0</v>
      </c>
      <c r="J289" s="58">
        <v>0</v>
      </c>
      <c r="K289" s="58">
        <v>0</v>
      </c>
      <c r="L289" s="58">
        <v>0</v>
      </c>
      <c r="M289" s="58">
        <v>0</v>
      </c>
      <c r="N289" s="58">
        <v>0</v>
      </c>
      <c r="O289" s="58">
        <v>12950</v>
      </c>
      <c r="P289" s="58" t="s">
        <v>36</v>
      </c>
      <c r="Q289" s="58">
        <v>0</v>
      </c>
      <c r="R289" s="58">
        <v>0</v>
      </c>
      <c r="S289" s="58">
        <v>0</v>
      </c>
      <c r="T289" s="58">
        <v>0</v>
      </c>
      <c r="U289" s="58">
        <v>0</v>
      </c>
      <c r="V289" s="58">
        <v>0</v>
      </c>
      <c r="W289" s="58">
        <v>0</v>
      </c>
      <c r="X289" s="58">
        <v>0</v>
      </c>
      <c r="Y289" s="58">
        <v>4875</v>
      </c>
      <c r="Z289" s="58">
        <v>4875</v>
      </c>
      <c r="AA289" s="58">
        <v>15136.95</v>
      </c>
      <c r="AE289" s="57"/>
    </row>
    <row r="290" spans="1:31" x14ac:dyDescent="0.35">
      <c r="A290" s="56" t="s">
        <v>358</v>
      </c>
      <c r="B290" s="58">
        <v>0</v>
      </c>
      <c r="C290" s="58">
        <v>0</v>
      </c>
      <c r="D290" s="58">
        <v>0</v>
      </c>
      <c r="E290" s="58">
        <v>0</v>
      </c>
      <c r="F290" s="58">
        <v>0</v>
      </c>
      <c r="G290" s="58">
        <v>0</v>
      </c>
      <c r="H290" s="58">
        <v>0</v>
      </c>
      <c r="I290" s="58">
        <v>0</v>
      </c>
      <c r="J290" s="58">
        <v>0</v>
      </c>
      <c r="K290" s="58">
        <v>0</v>
      </c>
      <c r="L290" s="58">
        <v>0</v>
      </c>
      <c r="M290" s="58">
        <v>0</v>
      </c>
      <c r="N290" s="58">
        <v>0</v>
      </c>
      <c r="O290" s="58">
        <v>12950</v>
      </c>
      <c r="P290" s="58" t="s">
        <v>37</v>
      </c>
      <c r="Q290" s="58">
        <v>0</v>
      </c>
      <c r="R290" s="58">
        <v>0</v>
      </c>
      <c r="S290" s="58">
        <v>0</v>
      </c>
      <c r="T290" s="58">
        <v>0</v>
      </c>
      <c r="U290" s="58">
        <v>0</v>
      </c>
      <c r="V290" s="58">
        <v>0</v>
      </c>
      <c r="W290" s="58">
        <v>0</v>
      </c>
      <c r="X290" s="58">
        <v>0</v>
      </c>
      <c r="Y290" s="58">
        <v>4875</v>
      </c>
      <c r="Z290" s="58">
        <v>4875</v>
      </c>
      <c r="AA290" s="58">
        <v>15136.95</v>
      </c>
      <c r="AE290" s="57"/>
    </row>
    <row r="291" spans="1:31" x14ac:dyDescent="0.35">
      <c r="A291" s="56" t="s">
        <v>359</v>
      </c>
      <c r="B291" s="58">
        <v>0</v>
      </c>
      <c r="C291" s="58">
        <v>0</v>
      </c>
      <c r="D291" s="58">
        <v>0</v>
      </c>
      <c r="E291" s="58">
        <v>0</v>
      </c>
      <c r="F291" s="58">
        <v>0</v>
      </c>
      <c r="G291" s="58">
        <v>0</v>
      </c>
      <c r="H291" s="58">
        <v>0</v>
      </c>
      <c r="I291" s="58">
        <v>0</v>
      </c>
      <c r="J291" s="58">
        <v>0</v>
      </c>
      <c r="K291" s="58">
        <v>0</v>
      </c>
      <c r="L291" s="58">
        <v>0</v>
      </c>
      <c r="M291" s="58">
        <v>0</v>
      </c>
      <c r="N291" s="58">
        <v>0</v>
      </c>
      <c r="O291" s="58">
        <v>12950</v>
      </c>
      <c r="P291" s="58" t="s">
        <v>38</v>
      </c>
      <c r="Q291" s="58">
        <v>0</v>
      </c>
      <c r="R291" s="58">
        <v>0</v>
      </c>
      <c r="S291" s="58">
        <v>0</v>
      </c>
      <c r="T291" s="58">
        <v>0</v>
      </c>
      <c r="U291" s="58">
        <v>0</v>
      </c>
      <c r="V291" s="58">
        <v>0</v>
      </c>
      <c r="W291" s="58">
        <v>0</v>
      </c>
      <c r="X291" s="58">
        <v>0</v>
      </c>
      <c r="Y291" s="58">
        <v>4875</v>
      </c>
      <c r="Z291" s="58">
        <v>4875</v>
      </c>
      <c r="AA291" s="58">
        <v>15136.95</v>
      </c>
      <c r="AE291" s="57"/>
    </row>
    <row r="292" spans="1:31" x14ac:dyDescent="0.35">
      <c r="A292" s="56" t="s">
        <v>360</v>
      </c>
      <c r="B292" s="58">
        <v>12950</v>
      </c>
      <c r="C292" s="58" t="s">
        <v>26</v>
      </c>
      <c r="D292" s="58">
        <v>2</v>
      </c>
      <c r="E292" s="58">
        <v>0</v>
      </c>
      <c r="F292" s="58">
        <v>0</v>
      </c>
      <c r="G292" s="58">
        <v>0</v>
      </c>
      <c r="H292" s="58">
        <v>0</v>
      </c>
      <c r="I292" s="58">
        <v>0</v>
      </c>
      <c r="J292" s="58">
        <v>0</v>
      </c>
      <c r="K292" s="58">
        <v>0</v>
      </c>
      <c r="L292" s="58">
        <v>300</v>
      </c>
      <c r="M292" s="58">
        <v>0</v>
      </c>
      <c r="N292" s="58">
        <v>15136.95</v>
      </c>
      <c r="O292" s="58">
        <v>12950</v>
      </c>
      <c r="P292" s="58" t="s">
        <v>26</v>
      </c>
      <c r="Q292" s="58">
        <v>0</v>
      </c>
      <c r="R292" s="58">
        <v>0</v>
      </c>
      <c r="S292" s="58">
        <v>0</v>
      </c>
      <c r="T292" s="58">
        <v>0</v>
      </c>
      <c r="U292" s="58">
        <v>0</v>
      </c>
      <c r="V292" s="58">
        <v>0</v>
      </c>
      <c r="W292" s="58">
        <v>0</v>
      </c>
      <c r="X292" s="58">
        <v>0</v>
      </c>
      <c r="Y292" s="58">
        <v>12675</v>
      </c>
      <c r="Z292" s="58">
        <v>7725</v>
      </c>
      <c r="AA292" s="58">
        <v>15136.95</v>
      </c>
      <c r="AE292" s="57"/>
    </row>
    <row r="293" spans="1:31" x14ac:dyDescent="0.35">
      <c r="A293" s="56" t="s">
        <v>361</v>
      </c>
      <c r="B293" s="58">
        <v>0</v>
      </c>
      <c r="C293" s="58">
        <v>0</v>
      </c>
      <c r="D293" s="58">
        <v>0</v>
      </c>
      <c r="E293" s="58">
        <v>0</v>
      </c>
      <c r="F293" s="58">
        <v>0</v>
      </c>
      <c r="G293" s="58">
        <v>0</v>
      </c>
      <c r="H293" s="58">
        <v>0</v>
      </c>
      <c r="I293" s="58">
        <v>0</v>
      </c>
      <c r="J293" s="58">
        <v>0</v>
      </c>
      <c r="K293" s="58">
        <v>0</v>
      </c>
      <c r="L293" s="58">
        <v>0</v>
      </c>
      <c r="M293" s="58">
        <v>0</v>
      </c>
      <c r="N293" s="58">
        <v>0</v>
      </c>
      <c r="O293" s="58">
        <v>12950</v>
      </c>
      <c r="P293" s="58" t="s">
        <v>67</v>
      </c>
      <c r="Q293" s="58">
        <v>0</v>
      </c>
      <c r="R293" s="58">
        <v>0</v>
      </c>
      <c r="S293" s="58">
        <v>0</v>
      </c>
      <c r="T293" s="58">
        <v>0</v>
      </c>
      <c r="U293" s="58">
        <v>0</v>
      </c>
      <c r="V293" s="58">
        <v>0</v>
      </c>
      <c r="W293" s="58">
        <v>0</v>
      </c>
      <c r="X293" s="58">
        <v>0</v>
      </c>
      <c r="Y293" s="58">
        <v>4875</v>
      </c>
      <c r="Z293" s="58">
        <v>4875</v>
      </c>
      <c r="AA293" s="58">
        <v>15136.95</v>
      </c>
      <c r="AE293" s="57"/>
    </row>
    <row r="294" spans="1:31" x14ac:dyDescent="0.35">
      <c r="A294" s="56" t="s">
        <v>362</v>
      </c>
      <c r="B294" s="58">
        <v>0</v>
      </c>
      <c r="C294" s="58">
        <v>0</v>
      </c>
      <c r="D294" s="58">
        <v>0</v>
      </c>
      <c r="E294" s="58">
        <v>0</v>
      </c>
      <c r="F294" s="58">
        <v>0</v>
      </c>
      <c r="G294" s="58">
        <v>0</v>
      </c>
      <c r="H294" s="58">
        <v>0</v>
      </c>
      <c r="I294" s="58">
        <v>0</v>
      </c>
      <c r="J294" s="58">
        <v>0</v>
      </c>
      <c r="K294" s="58">
        <v>0</v>
      </c>
      <c r="L294" s="58">
        <v>0</v>
      </c>
      <c r="M294" s="58">
        <v>0</v>
      </c>
      <c r="N294" s="58">
        <v>0</v>
      </c>
      <c r="O294" s="58">
        <v>12950</v>
      </c>
      <c r="P294" s="58" t="s">
        <v>2071</v>
      </c>
      <c r="Q294" s="58">
        <v>0</v>
      </c>
      <c r="R294" s="58">
        <v>0</v>
      </c>
      <c r="S294" s="58">
        <v>0</v>
      </c>
      <c r="T294" s="58">
        <v>0</v>
      </c>
      <c r="U294" s="58">
        <v>0</v>
      </c>
      <c r="V294" s="58">
        <v>0</v>
      </c>
      <c r="W294" s="58">
        <v>0</v>
      </c>
      <c r="X294" s="58">
        <v>0</v>
      </c>
      <c r="Y294" s="58">
        <v>5400</v>
      </c>
      <c r="Z294" s="58">
        <v>4875</v>
      </c>
      <c r="AA294" s="58">
        <v>15136.95</v>
      </c>
      <c r="AE294" s="57"/>
    </row>
    <row r="295" spans="1:31" x14ac:dyDescent="0.35">
      <c r="A295" s="56" t="s">
        <v>363</v>
      </c>
      <c r="B295" s="58">
        <v>12950</v>
      </c>
      <c r="C295" s="58" t="s">
        <v>35</v>
      </c>
      <c r="D295" s="58">
        <v>36</v>
      </c>
      <c r="E295" s="58">
        <v>0</v>
      </c>
      <c r="F295" s="58">
        <v>0</v>
      </c>
      <c r="G295" s="58">
        <v>7</v>
      </c>
      <c r="H295" s="58">
        <v>98.94</v>
      </c>
      <c r="I295" s="58">
        <v>0.25</v>
      </c>
      <c r="J295" s="58">
        <v>-0.25</v>
      </c>
      <c r="K295" s="58">
        <v>-50</v>
      </c>
      <c r="L295" s="58">
        <v>225</v>
      </c>
      <c r="M295" s="58">
        <v>28800</v>
      </c>
      <c r="N295" s="58">
        <v>15136.95</v>
      </c>
      <c r="O295" s="58">
        <v>12950</v>
      </c>
      <c r="P295" s="58" t="s">
        <v>35</v>
      </c>
      <c r="Q295" s="58">
        <v>0</v>
      </c>
      <c r="R295" s="58">
        <v>0</v>
      </c>
      <c r="S295" s="58">
        <v>0</v>
      </c>
      <c r="T295" s="58">
        <v>0</v>
      </c>
      <c r="U295" s="58">
        <v>0</v>
      </c>
      <c r="V295" s="58">
        <v>0</v>
      </c>
      <c r="W295" s="58">
        <v>0</v>
      </c>
      <c r="X295" s="58">
        <v>0</v>
      </c>
      <c r="Y295" s="58">
        <v>9225</v>
      </c>
      <c r="Z295" s="58">
        <v>9300</v>
      </c>
      <c r="AA295" s="58">
        <v>15136.95</v>
      </c>
      <c r="AE295" s="57"/>
    </row>
    <row r="296" spans="1:31" x14ac:dyDescent="0.35">
      <c r="A296" s="56" t="s">
        <v>364</v>
      </c>
      <c r="B296" s="58">
        <v>12950</v>
      </c>
      <c r="C296" s="58" t="s">
        <v>33</v>
      </c>
      <c r="D296" s="58">
        <v>241</v>
      </c>
      <c r="E296" s="58">
        <v>0</v>
      </c>
      <c r="F296" s="58">
        <v>0</v>
      </c>
      <c r="G296" s="58">
        <v>0</v>
      </c>
      <c r="H296" s="58">
        <v>0</v>
      </c>
      <c r="I296" s="58">
        <v>0</v>
      </c>
      <c r="J296" s="58">
        <v>0</v>
      </c>
      <c r="K296" s="58">
        <v>0</v>
      </c>
      <c r="L296" s="58">
        <v>7500</v>
      </c>
      <c r="M296" s="58">
        <v>3525</v>
      </c>
      <c r="N296" s="58">
        <v>15136.95</v>
      </c>
      <c r="O296" s="58">
        <v>12950</v>
      </c>
      <c r="P296" s="58" t="s">
        <v>33</v>
      </c>
      <c r="Q296" s="58">
        <v>1</v>
      </c>
      <c r="R296" s="58">
        <v>0</v>
      </c>
      <c r="S296" s="58">
        <v>0</v>
      </c>
      <c r="T296" s="58">
        <v>0</v>
      </c>
      <c r="U296" s="58">
        <v>0</v>
      </c>
      <c r="V296" s="58">
        <v>0</v>
      </c>
      <c r="W296" s="58">
        <v>0</v>
      </c>
      <c r="X296" s="58">
        <v>0</v>
      </c>
      <c r="Y296" s="58">
        <v>14325</v>
      </c>
      <c r="Z296" s="58">
        <v>14250</v>
      </c>
      <c r="AA296" s="58">
        <v>15136.95</v>
      </c>
      <c r="AE296" s="57"/>
    </row>
    <row r="297" spans="1:31" x14ac:dyDescent="0.35">
      <c r="A297" s="56" t="s">
        <v>365</v>
      </c>
      <c r="B297" s="58">
        <v>13000</v>
      </c>
      <c r="C297" s="58" t="s">
        <v>34</v>
      </c>
      <c r="D297" s="58">
        <v>3945</v>
      </c>
      <c r="E297" s="58">
        <v>1372</v>
      </c>
      <c r="F297" s="58">
        <v>53.322969296541011</v>
      </c>
      <c r="G297" s="58">
        <v>4499</v>
      </c>
      <c r="H297" s="58">
        <v>46.74</v>
      </c>
      <c r="I297" s="58">
        <v>2.5499999999999998</v>
      </c>
      <c r="J297" s="58">
        <v>-0.85000000000000009</v>
      </c>
      <c r="K297" s="58">
        <v>-25.000000000000007</v>
      </c>
      <c r="L297" s="58">
        <v>224775</v>
      </c>
      <c r="M297" s="58">
        <v>27375</v>
      </c>
      <c r="N297" s="58">
        <v>15136.95</v>
      </c>
      <c r="O297" s="58">
        <v>13000</v>
      </c>
      <c r="P297" s="58" t="s">
        <v>34</v>
      </c>
      <c r="Q297" s="58">
        <v>0</v>
      </c>
      <c r="R297" s="58">
        <v>0</v>
      </c>
      <c r="S297" s="58">
        <v>0</v>
      </c>
      <c r="T297" s="58">
        <v>0</v>
      </c>
      <c r="U297" s="58">
        <v>0</v>
      </c>
      <c r="V297" s="58">
        <v>0</v>
      </c>
      <c r="W297" s="58">
        <v>0</v>
      </c>
      <c r="X297" s="58">
        <v>0</v>
      </c>
      <c r="Y297" s="58">
        <v>5175</v>
      </c>
      <c r="Z297" s="58">
        <v>5700</v>
      </c>
      <c r="AA297" s="58">
        <v>15136.95</v>
      </c>
      <c r="AE297" s="57"/>
    </row>
    <row r="298" spans="1:31" x14ac:dyDescent="0.35">
      <c r="A298" s="56" t="s">
        <v>366</v>
      </c>
      <c r="B298" s="58">
        <v>13000</v>
      </c>
      <c r="C298" s="58" t="s">
        <v>33</v>
      </c>
      <c r="D298" s="58">
        <v>24591</v>
      </c>
      <c r="E298" s="58">
        <v>286</v>
      </c>
      <c r="F298" s="58">
        <v>1.176712610573956</v>
      </c>
      <c r="G298" s="58">
        <v>2191</v>
      </c>
      <c r="H298" s="58">
        <v>38.47</v>
      </c>
      <c r="I298" s="58">
        <v>7.4</v>
      </c>
      <c r="J298" s="58">
        <v>-1.4000000000000004</v>
      </c>
      <c r="K298" s="58">
        <v>-15.909090909090912</v>
      </c>
      <c r="L298" s="58">
        <v>50325</v>
      </c>
      <c r="M298" s="58">
        <v>23925</v>
      </c>
      <c r="N298" s="58">
        <v>15136.95</v>
      </c>
      <c r="O298" s="58">
        <v>13000</v>
      </c>
      <c r="P298" s="58" t="s">
        <v>33</v>
      </c>
      <c r="Q298" s="58">
        <v>4191</v>
      </c>
      <c r="R298" s="58">
        <v>0</v>
      </c>
      <c r="S298" s="58">
        <v>0</v>
      </c>
      <c r="T298" s="58">
        <v>80</v>
      </c>
      <c r="U298" s="58">
        <v>0</v>
      </c>
      <c r="V298" s="58">
        <v>2148</v>
      </c>
      <c r="W298" s="58">
        <v>32.150000000000091</v>
      </c>
      <c r="X298" s="58">
        <v>1.5194838953612066</v>
      </c>
      <c r="Y298" s="58">
        <v>18150</v>
      </c>
      <c r="Z298" s="58">
        <v>16650</v>
      </c>
      <c r="AA298" s="58">
        <v>15136.95</v>
      </c>
      <c r="AE298" s="57"/>
    </row>
    <row r="299" spans="1:31" x14ac:dyDescent="0.35">
      <c r="A299" s="56" t="s">
        <v>367</v>
      </c>
      <c r="B299" s="58">
        <v>13000</v>
      </c>
      <c r="C299" s="58" t="s">
        <v>36</v>
      </c>
      <c r="D299" s="58">
        <v>0</v>
      </c>
      <c r="E299" s="58">
        <v>0</v>
      </c>
      <c r="F299" s="58">
        <v>0</v>
      </c>
      <c r="G299" s="58">
        <v>1</v>
      </c>
      <c r="H299" s="58">
        <v>35.89</v>
      </c>
      <c r="I299" s="58">
        <v>15.5</v>
      </c>
      <c r="J299" s="58">
        <v>-319.95</v>
      </c>
      <c r="K299" s="58">
        <v>-95.379341183484883</v>
      </c>
      <c r="L299" s="58">
        <v>3675</v>
      </c>
      <c r="M299" s="58">
        <v>225</v>
      </c>
      <c r="N299" s="58">
        <v>15136.95</v>
      </c>
      <c r="O299" s="58">
        <v>13000</v>
      </c>
      <c r="P299" s="58" t="s">
        <v>36</v>
      </c>
      <c r="Q299" s="58">
        <v>0</v>
      </c>
      <c r="R299" s="58">
        <v>0</v>
      </c>
      <c r="S299" s="58">
        <v>0</v>
      </c>
      <c r="T299" s="58">
        <v>0</v>
      </c>
      <c r="U299" s="58">
        <v>0</v>
      </c>
      <c r="V299" s="58">
        <v>0</v>
      </c>
      <c r="W299" s="58">
        <v>0</v>
      </c>
      <c r="X299" s="58">
        <v>0</v>
      </c>
      <c r="Y299" s="58">
        <v>4875</v>
      </c>
      <c r="Z299" s="58">
        <v>4875</v>
      </c>
      <c r="AA299" s="58">
        <v>15136.95</v>
      </c>
      <c r="AE299" s="57"/>
    </row>
    <row r="300" spans="1:31" x14ac:dyDescent="0.35">
      <c r="A300" s="56" t="s">
        <v>368</v>
      </c>
      <c r="B300" s="58">
        <v>13000</v>
      </c>
      <c r="C300" s="58" t="s">
        <v>37</v>
      </c>
      <c r="D300" s="58">
        <v>8</v>
      </c>
      <c r="E300" s="58">
        <v>0</v>
      </c>
      <c r="F300" s="58">
        <v>0</v>
      </c>
      <c r="G300" s="58">
        <v>0</v>
      </c>
      <c r="H300" s="58">
        <v>0</v>
      </c>
      <c r="I300" s="58">
        <v>0</v>
      </c>
      <c r="J300" s="58">
        <v>0</v>
      </c>
      <c r="K300" s="58">
        <v>0</v>
      </c>
      <c r="L300" s="58">
        <v>2175</v>
      </c>
      <c r="M300" s="58">
        <v>0</v>
      </c>
      <c r="N300" s="58">
        <v>15136.95</v>
      </c>
      <c r="O300" s="58">
        <v>13000</v>
      </c>
      <c r="P300" s="58" t="s">
        <v>37</v>
      </c>
      <c r="Q300" s="58">
        <v>0</v>
      </c>
      <c r="R300" s="58">
        <v>0</v>
      </c>
      <c r="S300" s="58">
        <v>0</v>
      </c>
      <c r="T300" s="58">
        <v>0</v>
      </c>
      <c r="U300" s="58">
        <v>0</v>
      </c>
      <c r="V300" s="58">
        <v>0</v>
      </c>
      <c r="W300" s="58">
        <v>0</v>
      </c>
      <c r="X300" s="58">
        <v>0</v>
      </c>
      <c r="Y300" s="58">
        <v>4875</v>
      </c>
      <c r="Z300" s="58">
        <v>4875</v>
      </c>
      <c r="AA300" s="58">
        <v>15136.95</v>
      </c>
      <c r="AE300" s="57"/>
    </row>
    <row r="301" spans="1:31" x14ac:dyDescent="0.35">
      <c r="A301" s="56" t="s">
        <v>369</v>
      </c>
      <c r="B301" s="58">
        <v>13000</v>
      </c>
      <c r="C301" s="58" t="s">
        <v>38</v>
      </c>
      <c r="D301" s="58">
        <v>0</v>
      </c>
      <c r="E301" s="58">
        <v>0</v>
      </c>
      <c r="F301" s="58">
        <v>0</v>
      </c>
      <c r="G301" s="58">
        <v>0</v>
      </c>
      <c r="H301" s="58">
        <v>0</v>
      </c>
      <c r="I301" s="58">
        <v>0</v>
      </c>
      <c r="J301" s="58">
        <v>0</v>
      </c>
      <c r="K301" s="58">
        <v>0</v>
      </c>
      <c r="L301" s="58">
        <v>1575</v>
      </c>
      <c r="M301" s="58">
        <v>0</v>
      </c>
      <c r="N301" s="58">
        <v>15136.95</v>
      </c>
      <c r="O301" s="58">
        <v>13000</v>
      </c>
      <c r="P301" s="58" t="s">
        <v>38</v>
      </c>
      <c r="Q301" s="58">
        <v>0</v>
      </c>
      <c r="R301" s="58">
        <v>0</v>
      </c>
      <c r="S301" s="58">
        <v>0</v>
      </c>
      <c r="T301" s="58">
        <v>0</v>
      </c>
      <c r="U301" s="58">
        <v>0</v>
      </c>
      <c r="V301" s="58">
        <v>0</v>
      </c>
      <c r="W301" s="58">
        <v>0</v>
      </c>
      <c r="X301" s="58">
        <v>0</v>
      </c>
      <c r="Y301" s="58">
        <v>4875</v>
      </c>
      <c r="Z301" s="58">
        <v>4875</v>
      </c>
      <c r="AA301" s="58">
        <v>15136.95</v>
      </c>
      <c r="AE301" s="57"/>
    </row>
    <row r="302" spans="1:31" x14ac:dyDescent="0.35">
      <c r="A302" s="56" t="s">
        <v>370</v>
      </c>
      <c r="B302" s="58">
        <v>13000</v>
      </c>
      <c r="C302" s="58" t="s">
        <v>26</v>
      </c>
      <c r="D302" s="58">
        <v>19163</v>
      </c>
      <c r="E302" s="58">
        <v>97</v>
      </c>
      <c r="F302" s="58">
        <v>0.50875904751914403</v>
      </c>
      <c r="G302" s="58">
        <v>436</v>
      </c>
      <c r="H302" s="58">
        <v>32.04</v>
      </c>
      <c r="I302" s="58">
        <v>44</v>
      </c>
      <c r="J302" s="58">
        <v>-3.2000000000000028</v>
      </c>
      <c r="K302" s="58">
        <v>-6.7796610169491585</v>
      </c>
      <c r="L302" s="58">
        <v>65625</v>
      </c>
      <c r="M302" s="58">
        <v>23550</v>
      </c>
      <c r="N302" s="58">
        <v>15136.95</v>
      </c>
      <c r="O302" s="58">
        <v>13000</v>
      </c>
      <c r="P302" s="58" t="s">
        <v>26</v>
      </c>
      <c r="Q302" s="58">
        <v>2342</v>
      </c>
      <c r="R302" s="58">
        <v>4</v>
      </c>
      <c r="S302" s="58">
        <v>0.17108639863130881</v>
      </c>
      <c r="T302" s="58">
        <v>26</v>
      </c>
      <c r="U302" s="58">
        <v>0</v>
      </c>
      <c r="V302" s="58">
        <v>2219.4499999999998</v>
      </c>
      <c r="W302" s="58">
        <v>33.199999999999818</v>
      </c>
      <c r="X302" s="58">
        <v>1.5185820468839253</v>
      </c>
      <c r="Y302" s="58">
        <v>12750</v>
      </c>
      <c r="Z302" s="58">
        <v>13500</v>
      </c>
      <c r="AA302" s="58">
        <v>15136.95</v>
      </c>
      <c r="AE302" s="57"/>
    </row>
    <row r="303" spans="1:31" x14ac:dyDescent="0.35">
      <c r="A303" s="56" t="s">
        <v>371</v>
      </c>
      <c r="B303" s="58">
        <v>13000</v>
      </c>
      <c r="C303" s="58" t="s">
        <v>67</v>
      </c>
      <c r="D303" s="58">
        <v>0</v>
      </c>
      <c r="E303" s="58">
        <v>0</v>
      </c>
      <c r="F303" s="58">
        <v>0</v>
      </c>
      <c r="G303" s="58">
        <v>0</v>
      </c>
      <c r="H303" s="58">
        <v>0</v>
      </c>
      <c r="I303" s="58">
        <v>0</v>
      </c>
      <c r="J303" s="58">
        <v>0</v>
      </c>
      <c r="K303" s="58">
        <v>0</v>
      </c>
      <c r="L303" s="58">
        <v>4950</v>
      </c>
      <c r="M303" s="58">
        <v>0</v>
      </c>
      <c r="N303" s="58">
        <v>15136.95</v>
      </c>
      <c r="O303" s="58">
        <v>13000</v>
      </c>
      <c r="P303" s="58" t="s">
        <v>67</v>
      </c>
      <c r="Q303" s="58">
        <v>0</v>
      </c>
      <c r="R303" s="58">
        <v>0</v>
      </c>
      <c r="S303" s="58">
        <v>0</v>
      </c>
      <c r="T303" s="58">
        <v>0</v>
      </c>
      <c r="U303" s="58">
        <v>0</v>
      </c>
      <c r="V303" s="58">
        <v>0</v>
      </c>
      <c r="W303" s="58">
        <v>0</v>
      </c>
      <c r="X303" s="58">
        <v>0</v>
      </c>
      <c r="Y303" s="58">
        <v>4875</v>
      </c>
      <c r="Z303" s="58">
        <v>4875</v>
      </c>
      <c r="AA303" s="58">
        <v>15136.95</v>
      </c>
      <c r="AE303" s="57"/>
    </row>
    <row r="304" spans="1:31" x14ac:dyDescent="0.35">
      <c r="A304" s="56" t="s">
        <v>372</v>
      </c>
      <c r="B304" s="58">
        <v>13000</v>
      </c>
      <c r="C304" s="58" t="s">
        <v>2071</v>
      </c>
      <c r="D304" s="58">
        <v>1273</v>
      </c>
      <c r="E304" s="58">
        <v>2</v>
      </c>
      <c r="F304" s="58">
        <v>0.15735641227380015</v>
      </c>
      <c r="G304" s="58">
        <v>46</v>
      </c>
      <c r="H304" s="58">
        <v>29.25</v>
      </c>
      <c r="I304" s="58">
        <v>85.9</v>
      </c>
      <c r="J304" s="58">
        <v>-2.0499999999999972</v>
      </c>
      <c r="K304" s="58">
        <v>-2.3308698123934022</v>
      </c>
      <c r="L304" s="58">
        <v>23625</v>
      </c>
      <c r="M304" s="58">
        <v>9825</v>
      </c>
      <c r="N304" s="58">
        <v>15136.95</v>
      </c>
      <c r="O304" s="58">
        <v>13000</v>
      </c>
      <c r="P304" s="58" t="s">
        <v>2071</v>
      </c>
      <c r="Q304" s="58">
        <v>20</v>
      </c>
      <c r="R304" s="58">
        <v>0</v>
      </c>
      <c r="S304" s="58">
        <v>0</v>
      </c>
      <c r="T304" s="58">
        <v>3</v>
      </c>
      <c r="U304" s="58">
        <v>0</v>
      </c>
      <c r="V304" s="58">
        <v>2274.35</v>
      </c>
      <c r="W304" s="58">
        <v>12.900000000000093</v>
      </c>
      <c r="X304" s="58">
        <v>0.57043047602202535</v>
      </c>
      <c r="Y304" s="58">
        <v>10500</v>
      </c>
      <c r="Z304" s="58">
        <v>10425</v>
      </c>
      <c r="AA304" s="58">
        <v>15136.95</v>
      </c>
      <c r="AE304" s="57"/>
    </row>
    <row r="305" spans="1:31" x14ac:dyDescent="0.35">
      <c r="A305" s="56" t="s">
        <v>373</v>
      </c>
      <c r="B305" s="58">
        <v>13000</v>
      </c>
      <c r="C305" s="58" t="s">
        <v>35</v>
      </c>
      <c r="D305" s="58">
        <v>14160</v>
      </c>
      <c r="E305" s="58">
        <v>-344</v>
      </c>
      <c r="F305" s="58">
        <v>-2.3717595146166577</v>
      </c>
      <c r="G305" s="58">
        <v>2314</v>
      </c>
      <c r="H305" s="58">
        <v>92.72</v>
      </c>
      <c r="I305" s="58">
        <v>0.15</v>
      </c>
      <c r="J305" s="58">
        <v>-0.5</v>
      </c>
      <c r="K305" s="58">
        <v>-76.92307692307692</v>
      </c>
      <c r="L305" s="58">
        <v>460575</v>
      </c>
      <c r="M305" s="58">
        <v>96300</v>
      </c>
      <c r="N305" s="58">
        <v>15136.95</v>
      </c>
      <c r="O305" s="58">
        <v>13000</v>
      </c>
      <c r="P305" s="58" t="s">
        <v>35</v>
      </c>
      <c r="Q305" s="58">
        <v>84</v>
      </c>
      <c r="R305" s="58">
        <v>0</v>
      </c>
      <c r="S305" s="58">
        <v>0</v>
      </c>
      <c r="T305" s="58">
        <v>2</v>
      </c>
      <c r="U305" s="58">
        <v>0</v>
      </c>
      <c r="V305" s="58">
        <v>2104</v>
      </c>
      <c r="W305" s="58">
        <v>25.199999999999815</v>
      </c>
      <c r="X305" s="58">
        <v>1.2122378295170202</v>
      </c>
      <c r="Y305" s="58">
        <v>11175</v>
      </c>
      <c r="Z305" s="58">
        <v>10875</v>
      </c>
      <c r="AA305" s="58">
        <v>15136.95</v>
      </c>
      <c r="AE305" s="57"/>
    </row>
    <row r="306" spans="1:31" x14ac:dyDescent="0.35">
      <c r="A306" s="56" t="s">
        <v>374</v>
      </c>
      <c r="B306" s="58">
        <v>13000</v>
      </c>
      <c r="C306" s="58" t="s">
        <v>31</v>
      </c>
      <c r="D306" s="58">
        <v>0</v>
      </c>
      <c r="E306" s="58">
        <v>0</v>
      </c>
      <c r="F306" s="58">
        <v>0</v>
      </c>
      <c r="G306" s="58">
        <v>0</v>
      </c>
      <c r="H306" s="58">
        <v>0</v>
      </c>
      <c r="I306" s="58">
        <v>0</v>
      </c>
      <c r="J306" s="58">
        <v>0</v>
      </c>
      <c r="K306" s="58">
        <v>0</v>
      </c>
      <c r="L306" s="58">
        <v>6150</v>
      </c>
      <c r="M306" s="58">
        <v>0</v>
      </c>
      <c r="N306" s="58">
        <v>15136.95</v>
      </c>
      <c r="O306" s="58">
        <v>13000</v>
      </c>
      <c r="P306" s="58" t="s">
        <v>31</v>
      </c>
      <c r="Q306" s="58">
        <v>0</v>
      </c>
      <c r="R306" s="58">
        <v>0</v>
      </c>
      <c r="S306" s="58">
        <v>0</v>
      </c>
      <c r="T306" s="58">
        <v>0</v>
      </c>
      <c r="U306" s="58">
        <v>0</v>
      </c>
      <c r="V306" s="58">
        <v>0</v>
      </c>
      <c r="W306" s="58">
        <v>0</v>
      </c>
      <c r="X306" s="58">
        <v>0</v>
      </c>
      <c r="Y306" s="58">
        <v>1800</v>
      </c>
      <c r="Z306" s="58">
        <v>0</v>
      </c>
      <c r="AA306" s="58">
        <v>15136.95</v>
      </c>
      <c r="AE306" s="57"/>
    </row>
    <row r="307" spans="1:31" x14ac:dyDescent="0.35">
      <c r="A307" s="56" t="s">
        <v>375</v>
      </c>
      <c r="B307" s="58">
        <v>13000</v>
      </c>
      <c r="C307" s="58" t="s">
        <v>29</v>
      </c>
      <c r="D307" s="58">
        <v>1647</v>
      </c>
      <c r="E307" s="58">
        <v>4</v>
      </c>
      <c r="F307" s="58">
        <v>0.24345709068776628</v>
      </c>
      <c r="G307" s="58">
        <v>18</v>
      </c>
      <c r="H307" s="58">
        <v>29.25</v>
      </c>
      <c r="I307" s="58">
        <v>384.1</v>
      </c>
      <c r="J307" s="58">
        <v>-3.8999999999999777</v>
      </c>
      <c r="K307" s="58">
        <v>-1.0051546391752519</v>
      </c>
      <c r="L307" s="58">
        <v>5475</v>
      </c>
      <c r="M307" s="58">
        <v>1500</v>
      </c>
      <c r="N307" s="58">
        <v>15136.95</v>
      </c>
      <c r="O307" s="58">
        <v>13000</v>
      </c>
      <c r="P307" s="58" t="s">
        <v>29</v>
      </c>
      <c r="Q307" s="58">
        <v>486</v>
      </c>
      <c r="R307" s="58">
        <v>0</v>
      </c>
      <c r="S307" s="58">
        <v>0</v>
      </c>
      <c r="T307" s="58">
        <v>0</v>
      </c>
      <c r="U307" s="58">
        <v>0</v>
      </c>
      <c r="V307" s="58">
        <v>0</v>
      </c>
      <c r="W307" s="58">
        <v>0</v>
      </c>
      <c r="X307" s="58">
        <v>0</v>
      </c>
      <c r="Y307" s="58">
        <v>6075</v>
      </c>
      <c r="Z307" s="58">
        <v>3225</v>
      </c>
      <c r="AA307" s="58">
        <v>15136.95</v>
      </c>
      <c r="AE307" s="57"/>
    </row>
    <row r="308" spans="1:31" x14ac:dyDescent="0.35">
      <c r="A308" s="56" t="s">
        <v>376</v>
      </c>
      <c r="B308" s="58">
        <v>13000</v>
      </c>
      <c r="C308" s="58" t="s">
        <v>30</v>
      </c>
      <c r="D308" s="58">
        <v>375</v>
      </c>
      <c r="E308" s="58">
        <v>0</v>
      </c>
      <c r="F308" s="58">
        <v>0</v>
      </c>
      <c r="G308" s="58">
        <v>0</v>
      </c>
      <c r="H308" s="58">
        <v>0</v>
      </c>
      <c r="I308" s="58">
        <v>0</v>
      </c>
      <c r="J308" s="58">
        <v>0</v>
      </c>
      <c r="K308" s="58">
        <v>0</v>
      </c>
      <c r="L308" s="58">
        <v>3000</v>
      </c>
      <c r="M308" s="58">
        <v>0</v>
      </c>
      <c r="N308" s="58">
        <v>15136.95</v>
      </c>
      <c r="O308" s="58">
        <v>0</v>
      </c>
      <c r="P308" s="58">
        <v>0</v>
      </c>
      <c r="Q308" s="58">
        <v>0</v>
      </c>
      <c r="R308" s="58">
        <v>0</v>
      </c>
      <c r="S308" s="58">
        <v>0</v>
      </c>
      <c r="T308" s="58">
        <v>0</v>
      </c>
      <c r="U308" s="58">
        <v>0</v>
      </c>
      <c r="V308" s="58">
        <v>0</v>
      </c>
      <c r="W308" s="58">
        <v>0</v>
      </c>
      <c r="X308" s="58">
        <v>0</v>
      </c>
      <c r="Y308" s="58">
        <v>0</v>
      </c>
      <c r="Z308" s="58">
        <v>0</v>
      </c>
      <c r="AA308" s="58">
        <v>0</v>
      </c>
      <c r="AE308" s="57"/>
    </row>
    <row r="309" spans="1:31" x14ac:dyDescent="0.35">
      <c r="A309" s="56" t="s">
        <v>377</v>
      </c>
      <c r="B309" s="58">
        <v>13000</v>
      </c>
      <c r="C309" s="58" t="s">
        <v>28</v>
      </c>
      <c r="D309" s="58">
        <v>3</v>
      </c>
      <c r="E309" s="58">
        <v>0</v>
      </c>
      <c r="F309" s="58">
        <v>0</v>
      </c>
      <c r="G309" s="58">
        <v>0</v>
      </c>
      <c r="H309" s="58">
        <v>0</v>
      </c>
      <c r="I309" s="58">
        <v>0</v>
      </c>
      <c r="J309" s="58">
        <v>0</v>
      </c>
      <c r="K309" s="58">
        <v>0</v>
      </c>
      <c r="L309" s="58">
        <v>3525</v>
      </c>
      <c r="M309" s="58">
        <v>0</v>
      </c>
      <c r="N309" s="58">
        <v>15136.95</v>
      </c>
      <c r="O309" s="58">
        <v>0</v>
      </c>
      <c r="P309" s="58">
        <v>0</v>
      </c>
      <c r="Q309" s="58">
        <v>0</v>
      </c>
      <c r="R309" s="58">
        <v>0</v>
      </c>
      <c r="S309" s="58">
        <v>0</v>
      </c>
      <c r="T309" s="58">
        <v>0</v>
      </c>
      <c r="U309" s="58">
        <v>0</v>
      </c>
      <c r="V309" s="58">
        <v>0</v>
      </c>
      <c r="W309" s="58">
        <v>0</v>
      </c>
      <c r="X309" s="58">
        <v>0</v>
      </c>
      <c r="Y309" s="58">
        <v>0</v>
      </c>
      <c r="Z309" s="58">
        <v>0</v>
      </c>
      <c r="AA309" s="58">
        <v>0</v>
      </c>
      <c r="AE309" s="57"/>
    </row>
    <row r="310" spans="1:31" x14ac:dyDescent="0.35">
      <c r="A310" s="56" t="s">
        <v>378</v>
      </c>
      <c r="B310" s="58">
        <v>13000</v>
      </c>
      <c r="C310" s="58" t="s">
        <v>27</v>
      </c>
      <c r="D310" s="58">
        <v>450</v>
      </c>
      <c r="E310" s="58">
        <v>0</v>
      </c>
      <c r="F310" s="58">
        <v>0</v>
      </c>
      <c r="G310" s="58">
        <v>2</v>
      </c>
      <c r="H310" s="58">
        <v>31.7</v>
      </c>
      <c r="I310" s="58">
        <v>223.9</v>
      </c>
      <c r="J310" s="58">
        <v>-15.099999999999994</v>
      </c>
      <c r="K310" s="58">
        <v>-6.3179916317991607</v>
      </c>
      <c r="L310" s="58">
        <v>13200</v>
      </c>
      <c r="M310" s="58">
        <v>1500</v>
      </c>
      <c r="N310" s="58">
        <v>15136.95</v>
      </c>
      <c r="O310" s="58">
        <v>13000</v>
      </c>
      <c r="P310" s="58" t="s">
        <v>27</v>
      </c>
      <c r="Q310" s="58">
        <v>402</v>
      </c>
      <c r="R310" s="58">
        <v>2</v>
      </c>
      <c r="S310" s="58">
        <v>0.5</v>
      </c>
      <c r="T310" s="58">
        <v>2</v>
      </c>
      <c r="U310" s="58">
        <v>0</v>
      </c>
      <c r="V310" s="58">
        <v>2250</v>
      </c>
      <c r="W310" s="58">
        <v>952.5</v>
      </c>
      <c r="X310" s="58">
        <v>73.410404624277461</v>
      </c>
      <c r="Y310" s="58">
        <v>3300</v>
      </c>
      <c r="Z310" s="58">
        <v>150</v>
      </c>
      <c r="AA310" s="58">
        <v>15136.95</v>
      </c>
      <c r="AE310" s="57"/>
    </row>
    <row r="311" spans="1:31" x14ac:dyDescent="0.35">
      <c r="A311" s="56" t="s">
        <v>379</v>
      </c>
      <c r="B311" s="58">
        <v>13050</v>
      </c>
      <c r="C311" s="58" t="s">
        <v>35</v>
      </c>
      <c r="D311" s="58">
        <v>334</v>
      </c>
      <c r="E311" s="58">
        <v>71</v>
      </c>
      <c r="F311" s="58">
        <v>26.99619771863118</v>
      </c>
      <c r="G311" s="58">
        <v>258</v>
      </c>
      <c r="H311" s="58">
        <v>90.56</v>
      </c>
      <c r="I311" s="58">
        <v>0.15</v>
      </c>
      <c r="J311" s="58">
        <v>-0.4</v>
      </c>
      <c r="K311" s="58">
        <v>-72.727272727272734</v>
      </c>
      <c r="L311" s="58">
        <v>12975</v>
      </c>
      <c r="M311" s="58">
        <v>27225</v>
      </c>
      <c r="N311" s="58">
        <v>15136.95</v>
      </c>
      <c r="O311" s="58">
        <v>13050</v>
      </c>
      <c r="P311" s="58" t="s">
        <v>35</v>
      </c>
      <c r="Q311" s="58">
        <v>0</v>
      </c>
      <c r="R311" s="58">
        <v>0</v>
      </c>
      <c r="S311" s="58">
        <v>0</v>
      </c>
      <c r="T311" s="58">
        <v>0</v>
      </c>
      <c r="U311" s="58">
        <v>0</v>
      </c>
      <c r="V311" s="58">
        <v>0</v>
      </c>
      <c r="W311" s="58">
        <v>0</v>
      </c>
      <c r="X311" s="58">
        <v>0</v>
      </c>
      <c r="Y311" s="58">
        <v>9225</v>
      </c>
      <c r="Z311" s="58">
        <v>12300</v>
      </c>
      <c r="AA311" s="58">
        <v>15136.95</v>
      </c>
      <c r="AE311" s="57"/>
    </row>
    <row r="312" spans="1:31" x14ac:dyDescent="0.35">
      <c r="A312" s="56" t="s">
        <v>380</v>
      </c>
      <c r="B312" s="58">
        <v>13050</v>
      </c>
      <c r="C312" s="58" t="s">
        <v>33</v>
      </c>
      <c r="D312" s="58">
        <v>348</v>
      </c>
      <c r="E312" s="58">
        <v>7</v>
      </c>
      <c r="F312" s="58">
        <v>2.0527859237536656</v>
      </c>
      <c r="G312" s="58">
        <v>24</v>
      </c>
      <c r="H312" s="58">
        <v>37.58</v>
      </c>
      <c r="I312" s="58">
        <v>7.15</v>
      </c>
      <c r="J312" s="58">
        <v>-1.6500000000000004</v>
      </c>
      <c r="K312" s="58">
        <v>-18.750000000000004</v>
      </c>
      <c r="L312" s="58">
        <v>30375</v>
      </c>
      <c r="M312" s="58">
        <v>2850</v>
      </c>
      <c r="N312" s="58">
        <v>15136.95</v>
      </c>
      <c r="O312" s="58">
        <v>13050</v>
      </c>
      <c r="P312" s="58" t="s">
        <v>33</v>
      </c>
      <c r="Q312" s="58">
        <v>2</v>
      </c>
      <c r="R312" s="58">
        <v>0</v>
      </c>
      <c r="S312" s="58">
        <v>0</v>
      </c>
      <c r="T312" s="58">
        <v>0</v>
      </c>
      <c r="U312" s="58">
        <v>0</v>
      </c>
      <c r="V312" s="58">
        <v>0</v>
      </c>
      <c r="W312" s="58">
        <v>0</v>
      </c>
      <c r="X312" s="58">
        <v>0</v>
      </c>
      <c r="Y312" s="58">
        <v>14175</v>
      </c>
      <c r="Z312" s="58">
        <v>14175</v>
      </c>
      <c r="AA312" s="58">
        <v>15136.95</v>
      </c>
      <c r="AE312" s="57"/>
    </row>
    <row r="313" spans="1:31" x14ac:dyDescent="0.35">
      <c r="A313" s="56" t="s">
        <v>381</v>
      </c>
      <c r="B313" s="58">
        <v>13050</v>
      </c>
      <c r="C313" s="58" t="s">
        <v>36</v>
      </c>
      <c r="D313" s="58">
        <v>0</v>
      </c>
      <c r="E313" s="58">
        <v>0</v>
      </c>
      <c r="F313" s="58">
        <v>0</v>
      </c>
      <c r="G313" s="58">
        <v>0</v>
      </c>
      <c r="H313" s="58">
        <v>0</v>
      </c>
      <c r="I313" s="58">
        <v>0</v>
      </c>
      <c r="J313" s="58">
        <v>0</v>
      </c>
      <c r="K313" s="58">
        <v>0</v>
      </c>
      <c r="L313" s="58">
        <v>75</v>
      </c>
      <c r="M313" s="58">
        <v>0</v>
      </c>
      <c r="N313" s="58">
        <v>15136.95</v>
      </c>
      <c r="O313" s="58">
        <v>13050</v>
      </c>
      <c r="P313" s="58" t="s">
        <v>36</v>
      </c>
      <c r="Q313" s="58">
        <v>0</v>
      </c>
      <c r="R313" s="58">
        <v>0</v>
      </c>
      <c r="S313" s="58">
        <v>0</v>
      </c>
      <c r="T313" s="58">
        <v>0</v>
      </c>
      <c r="U313" s="58">
        <v>0</v>
      </c>
      <c r="V313" s="58">
        <v>0</v>
      </c>
      <c r="W313" s="58">
        <v>0</v>
      </c>
      <c r="X313" s="58">
        <v>0</v>
      </c>
      <c r="Y313" s="58">
        <v>4875</v>
      </c>
      <c r="Z313" s="58">
        <v>4875</v>
      </c>
      <c r="AA313" s="58">
        <v>15136.95</v>
      </c>
      <c r="AE313" s="57"/>
    </row>
    <row r="314" spans="1:31" x14ac:dyDescent="0.35">
      <c r="A314" s="56" t="s">
        <v>382</v>
      </c>
      <c r="B314" s="58">
        <v>0</v>
      </c>
      <c r="C314" s="58">
        <v>0</v>
      </c>
      <c r="D314" s="58">
        <v>0</v>
      </c>
      <c r="E314" s="58">
        <v>0</v>
      </c>
      <c r="F314" s="58">
        <v>0</v>
      </c>
      <c r="G314" s="58">
        <v>0</v>
      </c>
      <c r="H314" s="58">
        <v>0</v>
      </c>
      <c r="I314" s="58">
        <v>0</v>
      </c>
      <c r="J314" s="58">
        <v>0</v>
      </c>
      <c r="K314" s="58">
        <v>0</v>
      </c>
      <c r="L314" s="58">
        <v>0</v>
      </c>
      <c r="M314" s="58">
        <v>0</v>
      </c>
      <c r="N314" s="58">
        <v>0</v>
      </c>
      <c r="O314" s="58">
        <v>13050</v>
      </c>
      <c r="P314" s="58" t="s">
        <v>37</v>
      </c>
      <c r="Q314" s="58">
        <v>0</v>
      </c>
      <c r="R314" s="58">
        <v>0</v>
      </c>
      <c r="S314" s="58">
        <v>0</v>
      </c>
      <c r="T314" s="58">
        <v>0</v>
      </c>
      <c r="U314" s="58">
        <v>0</v>
      </c>
      <c r="V314" s="58">
        <v>0</v>
      </c>
      <c r="W314" s="58">
        <v>0</v>
      </c>
      <c r="X314" s="58">
        <v>0</v>
      </c>
      <c r="Y314" s="58">
        <v>4875</v>
      </c>
      <c r="Z314" s="58">
        <v>4875</v>
      </c>
      <c r="AA314" s="58">
        <v>15136.95</v>
      </c>
      <c r="AE314" s="57"/>
    </row>
    <row r="315" spans="1:31" x14ac:dyDescent="0.35">
      <c r="A315" s="56" t="s">
        <v>383</v>
      </c>
      <c r="B315" s="58">
        <v>13050</v>
      </c>
      <c r="C315" s="58" t="s">
        <v>38</v>
      </c>
      <c r="D315" s="58">
        <v>0</v>
      </c>
      <c r="E315" s="58">
        <v>0</v>
      </c>
      <c r="F315" s="58">
        <v>0</v>
      </c>
      <c r="G315" s="58">
        <v>0</v>
      </c>
      <c r="H315" s="58">
        <v>0</v>
      </c>
      <c r="I315" s="58">
        <v>0</v>
      </c>
      <c r="J315" s="58">
        <v>0</v>
      </c>
      <c r="K315" s="58">
        <v>0</v>
      </c>
      <c r="L315" s="58">
        <v>300</v>
      </c>
      <c r="M315" s="58">
        <v>0</v>
      </c>
      <c r="N315" s="58">
        <v>15136.95</v>
      </c>
      <c r="O315" s="58">
        <v>13050</v>
      </c>
      <c r="P315" s="58" t="s">
        <v>38</v>
      </c>
      <c r="Q315" s="58">
        <v>0</v>
      </c>
      <c r="R315" s="58">
        <v>0</v>
      </c>
      <c r="S315" s="58">
        <v>0</v>
      </c>
      <c r="T315" s="58">
        <v>0</v>
      </c>
      <c r="U315" s="58">
        <v>0</v>
      </c>
      <c r="V315" s="58">
        <v>0</v>
      </c>
      <c r="W315" s="58">
        <v>0</v>
      </c>
      <c r="X315" s="58">
        <v>0</v>
      </c>
      <c r="Y315" s="58">
        <v>4875</v>
      </c>
      <c r="Z315" s="58">
        <v>4875</v>
      </c>
      <c r="AA315" s="58">
        <v>15136.95</v>
      </c>
      <c r="AE315" s="57"/>
    </row>
    <row r="316" spans="1:31" x14ac:dyDescent="0.35">
      <c r="A316" s="56" t="s">
        <v>384</v>
      </c>
      <c r="B316" s="58">
        <v>13050</v>
      </c>
      <c r="C316" s="58" t="s">
        <v>26</v>
      </c>
      <c r="D316" s="58">
        <v>0</v>
      </c>
      <c r="E316" s="58">
        <v>0</v>
      </c>
      <c r="F316" s="58">
        <v>0</v>
      </c>
      <c r="G316" s="58">
        <v>0</v>
      </c>
      <c r="H316" s="58">
        <v>0</v>
      </c>
      <c r="I316" s="58">
        <v>0</v>
      </c>
      <c r="J316" s="58">
        <v>0</v>
      </c>
      <c r="K316" s="58">
        <v>0</v>
      </c>
      <c r="L316" s="58">
        <v>300</v>
      </c>
      <c r="M316" s="58">
        <v>0</v>
      </c>
      <c r="N316" s="58">
        <v>15136.95</v>
      </c>
      <c r="O316" s="58">
        <v>13050</v>
      </c>
      <c r="P316" s="58" t="s">
        <v>26</v>
      </c>
      <c r="Q316" s="58">
        <v>0</v>
      </c>
      <c r="R316" s="58">
        <v>0</v>
      </c>
      <c r="S316" s="58">
        <v>0</v>
      </c>
      <c r="T316" s="58">
        <v>0</v>
      </c>
      <c r="U316" s="58">
        <v>0</v>
      </c>
      <c r="V316" s="58">
        <v>0</v>
      </c>
      <c r="W316" s="58">
        <v>0</v>
      </c>
      <c r="X316" s="58">
        <v>0</v>
      </c>
      <c r="Y316" s="58">
        <v>12675</v>
      </c>
      <c r="Z316" s="58">
        <v>7725</v>
      </c>
      <c r="AA316" s="58">
        <v>15136.95</v>
      </c>
      <c r="AE316" s="57"/>
    </row>
    <row r="317" spans="1:31" x14ac:dyDescent="0.35">
      <c r="A317" s="56" t="s">
        <v>385</v>
      </c>
      <c r="B317" s="58">
        <v>0</v>
      </c>
      <c r="C317" s="58">
        <v>0</v>
      </c>
      <c r="D317" s="58">
        <v>0</v>
      </c>
      <c r="E317" s="58">
        <v>0</v>
      </c>
      <c r="F317" s="58">
        <v>0</v>
      </c>
      <c r="G317" s="58">
        <v>0</v>
      </c>
      <c r="H317" s="58">
        <v>0</v>
      </c>
      <c r="I317" s="58">
        <v>0</v>
      </c>
      <c r="J317" s="58">
        <v>0</v>
      </c>
      <c r="K317" s="58">
        <v>0</v>
      </c>
      <c r="L317" s="58">
        <v>0</v>
      </c>
      <c r="M317" s="58">
        <v>0</v>
      </c>
      <c r="N317" s="58">
        <v>0</v>
      </c>
      <c r="O317" s="58">
        <v>13050</v>
      </c>
      <c r="P317" s="58" t="s">
        <v>67</v>
      </c>
      <c r="Q317" s="58">
        <v>0</v>
      </c>
      <c r="R317" s="58">
        <v>0</v>
      </c>
      <c r="S317" s="58">
        <v>0</v>
      </c>
      <c r="T317" s="58">
        <v>0</v>
      </c>
      <c r="U317" s="58">
        <v>0</v>
      </c>
      <c r="V317" s="58">
        <v>0</v>
      </c>
      <c r="W317" s="58">
        <v>0</v>
      </c>
      <c r="X317" s="58">
        <v>0</v>
      </c>
      <c r="Y317" s="58">
        <v>4875</v>
      </c>
      <c r="Z317" s="58">
        <v>4875</v>
      </c>
      <c r="AA317" s="58">
        <v>15136.95</v>
      </c>
      <c r="AE317" s="57"/>
    </row>
    <row r="318" spans="1:31" x14ac:dyDescent="0.35">
      <c r="A318" s="56" t="s">
        <v>386</v>
      </c>
      <c r="B318" s="58">
        <v>0</v>
      </c>
      <c r="C318" s="58">
        <v>0</v>
      </c>
      <c r="D318" s="58">
        <v>0</v>
      </c>
      <c r="E318" s="58">
        <v>0</v>
      </c>
      <c r="F318" s="58">
        <v>0</v>
      </c>
      <c r="G318" s="58">
        <v>0</v>
      </c>
      <c r="H318" s="58">
        <v>0</v>
      </c>
      <c r="I318" s="58">
        <v>0</v>
      </c>
      <c r="J318" s="58">
        <v>0</v>
      </c>
      <c r="K318" s="58">
        <v>0</v>
      </c>
      <c r="L318" s="58">
        <v>0</v>
      </c>
      <c r="M318" s="58">
        <v>0</v>
      </c>
      <c r="N318" s="58">
        <v>0</v>
      </c>
      <c r="O318" s="58">
        <v>13050</v>
      </c>
      <c r="P318" s="58" t="s">
        <v>2071</v>
      </c>
      <c r="Q318" s="58">
        <v>0</v>
      </c>
      <c r="R318" s="58">
        <v>0</v>
      </c>
      <c r="S318" s="58">
        <v>0</v>
      </c>
      <c r="T318" s="58">
        <v>0</v>
      </c>
      <c r="U318" s="58">
        <v>0</v>
      </c>
      <c r="V318" s="58">
        <v>0</v>
      </c>
      <c r="W318" s="58">
        <v>0</v>
      </c>
      <c r="X318" s="58">
        <v>0</v>
      </c>
      <c r="Y318" s="58">
        <v>5400</v>
      </c>
      <c r="Z318" s="58">
        <v>4875</v>
      </c>
      <c r="AA318" s="58">
        <v>15136.95</v>
      </c>
      <c r="AE318" s="57"/>
    </row>
    <row r="319" spans="1:31" x14ac:dyDescent="0.35">
      <c r="A319" s="56" t="s">
        <v>387</v>
      </c>
      <c r="B319" s="58">
        <v>13050</v>
      </c>
      <c r="C319" s="58" t="s">
        <v>34</v>
      </c>
      <c r="D319" s="58">
        <v>3</v>
      </c>
      <c r="E319" s="58">
        <v>0</v>
      </c>
      <c r="F319" s="58">
        <v>0</v>
      </c>
      <c r="G319" s="58">
        <v>0</v>
      </c>
      <c r="H319" s="58">
        <v>0</v>
      </c>
      <c r="I319" s="58">
        <v>0</v>
      </c>
      <c r="J319" s="58">
        <v>0</v>
      </c>
      <c r="K319" s="58">
        <v>0</v>
      </c>
      <c r="L319" s="58">
        <v>10875</v>
      </c>
      <c r="M319" s="58">
        <v>0</v>
      </c>
      <c r="N319" s="58">
        <v>15136.95</v>
      </c>
      <c r="O319" s="58">
        <v>13050</v>
      </c>
      <c r="P319" s="58" t="s">
        <v>34</v>
      </c>
      <c r="Q319" s="58">
        <v>0</v>
      </c>
      <c r="R319" s="58">
        <v>0</v>
      </c>
      <c r="S319" s="58">
        <v>0</v>
      </c>
      <c r="T319" s="58">
        <v>0</v>
      </c>
      <c r="U319" s="58">
        <v>0</v>
      </c>
      <c r="V319" s="58">
        <v>0</v>
      </c>
      <c r="W319" s="58">
        <v>0</v>
      </c>
      <c r="X319" s="58">
        <v>0</v>
      </c>
      <c r="Y319" s="58">
        <v>7725</v>
      </c>
      <c r="Z319" s="58">
        <v>7725</v>
      </c>
      <c r="AA319" s="58">
        <v>15136.95</v>
      </c>
      <c r="AE319" s="57"/>
    </row>
    <row r="320" spans="1:31" x14ac:dyDescent="0.35">
      <c r="A320" s="56" t="s">
        <v>388</v>
      </c>
      <c r="B320" s="58">
        <v>13100</v>
      </c>
      <c r="C320" s="58" t="s">
        <v>34</v>
      </c>
      <c r="D320" s="58">
        <v>33</v>
      </c>
      <c r="E320" s="58">
        <v>0</v>
      </c>
      <c r="F320" s="58">
        <v>0</v>
      </c>
      <c r="G320" s="58">
        <v>100</v>
      </c>
      <c r="H320" s="58">
        <v>45.6</v>
      </c>
      <c r="I320" s="58">
        <v>2.8</v>
      </c>
      <c r="J320" s="58">
        <v>-1.4500000000000002</v>
      </c>
      <c r="K320" s="58">
        <v>-34.117647058823536</v>
      </c>
      <c r="L320" s="58">
        <v>18600</v>
      </c>
      <c r="M320" s="58">
        <v>6450</v>
      </c>
      <c r="N320" s="58">
        <v>15136.95</v>
      </c>
      <c r="O320" s="58">
        <v>13100</v>
      </c>
      <c r="P320" s="58" t="s">
        <v>34</v>
      </c>
      <c r="Q320" s="58">
        <v>2</v>
      </c>
      <c r="R320" s="58">
        <v>0</v>
      </c>
      <c r="S320" s="58">
        <v>0</v>
      </c>
      <c r="T320" s="58">
        <v>0</v>
      </c>
      <c r="U320" s="58">
        <v>0</v>
      </c>
      <c r="V320" s="58">
        <v>0</v>
      </c>
      <c r="W320" s="58">
        <v>0</v>
      </c>
      <c r="X320" s="58">
        <v>0</v>
      </c>
      <c r="Y320" s="58">
        <v>7800</v>
      </c>
      <c r="Z320" s="58">
        <v>7800</v>
      </c>
      <c r="AA320" s="58">
        <v>15136.95</v>
      </c>
      <c r="AE320" s="57"/>
    </row>
    <row r="321" spans="1:31" x14ac:dyDescent="0.35">
      <c r="A321" s="56" t="s">
        <v>389</v>
      </c>
      <c r="B321" s="58">
        <v>13100</v>
      </c>
      <c r="C321" s="58" t="s">
        <v>33</v>
      </c>
      <c r="D321" s="58">
        <v>6196</v>
      </c>
      <c r="E321" s="58">
        <v>19</v>
      </c>
      <c r="F321" s="58">
        <v>0.30759268253197347</v>
      </c>
      <c r="G321" s="58">
        <v>544</v>
      </c>
      <c r="H321" s="58">
        <v>36.770000000000003</v>
      </c>
      <c r="I321" s="58">
        <v>7.1</v>
      </c>
      <c r="J321" s="58">
        <v>-1.7000000000000011</v>
      </c>
      <c r="K321" s="58">
        <v>-19.318181818181827</v>
      </c>
      <c r="L321" s="58">
        <v>49275</v>
      </c>
      <c r="M321" s="58">
        <v>3150</v>
      </c>
      <c r="N321" s="58">
        <v>15136.95</v>
      </c>
      <c r="O321" s="58">
        <v>13100</v>
      </c>
      <c r="P321" s="58" t="s">
        <v>33</v>
      </c>
      <c r="Q321" s="58">
        <v>127</v>
      </c>
      <c r="R321" s="58">
        <v>0</v>
      </c>
      <c r="S321" s="58">
        <v>0</v>
      </c>
      <c r="T321" s="58">
        <v>0</v>
      </c>
      <c r="U321" s="58">
        <v>0</v>
      </c>
      <c r="V321" s="58">
        <v>0</v>
      </c>
      <c r="W321" s="58">
        <v>0</v>
      </c>
      <c r="X321" s="58">
        <v>0</v>
      </c>
      <c r="Y321" s="58">
        <v>11625</v>
      </c>
      <c r="Z321" s="58">
        <v>11550</v>
      </c>
      <c r="AA321" s="58">
        <v>15136.95</v>
      </c>
      <c r="AE321" s="57"/>
    </row>
    <row r="322" spans="1:31" x14ac:dyDescent="0.35">
      <c r="A322" s="56" t="s">
        <v>390</v>
      </c>
      <c r="B322" s="58">
        <v>13100</v>
      </c>
      <c r="C322" s="58" t="s">
        <v>37</v>
      </c>
      <c r="D322" s="58">
        <v>0</v>
      </c>
      <c r="E322" s="58">
        <v>0</v>
      </c>
      <c r="F322" s="58">
        <v>0</v>
      </c>
      <c r="G322" s="58">
        <v>0</v>
      </c>
      <c r="H322" s="58">
        <v>0</v>
      </c>
      <c r="I322" s="58">
        <v>0</v>
      </c>
      <c r="J322" s="58">
        <v>0</v>
      </c>
      <c r="K322" s="58">
        <v>0</v>
      </c>
      <c r="L322" s="58">
        <v>600</v>
      </c>
      <c r="M322" s="58">
        <v>0</v>
      </c>
      <c r="N322" s="58">
        <v>15136.95</v>
      </c>
      <c r="O322" s="58">
        <v>13100</v>
      </c>
      <c r="P322" s="58" t="s">
        <v>37</v>
      </c>
      <c r="Q322" s="58">
        <v>0</v>
      </c>
      <c r="R322" s="58">
        <v>0</v>
      </c>
      <c r="S322" s="58">
        <v>0</v>
      </c>
      <c r="T322" s="58">
        <v>0</v>
      </c>
      <c r="U322" s="58">
        <v>0</v>
      </c>
      <c r="V322" s="58">
        <v>0</v>
      </c>
      <c r="W322" s="58">
        <v>0</v>
      </c>
      <c r="X322" s="58">
        <v>0</v>
      </c>
      <c r="Y322" s="58">
        <v>4875</v>
      </c>
      <c r="Z322" s="58">
        <v>4875</v>
      </c>
      <c r="AA322" s="58">
        <v>15136.95</v>
      </c>
      <c r="AE322" s="57"/>
    </row>
    <row r="323" spans="1:31" x14ac:dyDescent="0.35">
      <c r="A323" s="56" t="s">
        <v>391</v>
      </c>
      <c r="B323" s="58">
        <v>13100</v>
      </c>
      <c r="C323" s="58" t="s">
        <v>38</v>
      </c>
      <c r="D323" s="58">
        <v>0</v>
      </c>
      <c r="E323" s="58">
        <v>0</v>
      </c>
      <c r="F323" s="58">
        <v>0</v>
      </c>
      <c r="G323" s="58">
        <v>0</v>
      </c>
      <c r="H323" s="58">
        <v>0</v>
      </c>
      <c r="I323" s="58">
        <v>0</v>
      </c>
      <c r="J323" s="58">
        <v>0</v>
      </c>
      <c r="K323" s="58">
        <v>0</v>
      </c>
      <c r="L323" s="58">
        <v>1200</v>
      </c>
      <c r="M323" s="58">
        <v>0</v>
      </c>
      <c r="N323" s="58">
        <v>15136.95</v>
      </c>
      <c r="O323" s="58">
        <v>13100</v>
      </c>
      <c r="P323" s="58" t="s">
        <v>38</v>
      </c>
      <c r="Q323" s="58">
        <v>0</v>
      </c>
      <c r="R323" s="58">
        <v>0</v>
      </c>
      <c r="S323" s="58">
        <v>0</v>
      </c>
      <c r="T323" s="58">
        <v>0</v>
      </c>
      <c r="U323" s="58">
        <v>0</v>
      </c>
      <c r="V323" s="58">
        <v>0</v>
      </c>
      <c r="W323" s="58">
        <v>0</v>
      </c>
      <c r="X323" s="58">
        <v>0</v>
      </c>
      <c r="Y323" s="58">
        <v>4875</v>
      </c>
      <c r="Z323" s="58">
        <v>4875</v>
      </c>
      <c r="AA323" s="58">
        <v>15136.95</v>
      </c>
      <c r="AE323" s="57"/>
    </row>
    <row r="324" spans="1:31" x14ac:dyDescent="0.35">
      <c r="A324" s="56" t="s">
        <v>392</v>
      </c>
      <c r="B324" s="58">
        <v>13100</v>
      </c>
      <c r="C324" s="58" t="s">
        <v>26</v>
      </c>
      <c r="D324" s="58">
        <v>201</v>
      </c>
      <c r="E324" s="58">
        <v>-2</v>
      </c>
      <c r="F324" s="58">
        <v>-0.9852216748768472</v>
      </c>
      <c r="G324" s="58">
        <v>14</v>
      </c>
      <c r="H324" s="58">
        <v>32.1</v>
      </c>
      <c r="I324" s="58">
        <v>51.35</v>
      </c>
      <c r="J324" s="58">
        <v>-0.29999999999999716</v>
      </c>
      <c r="K324" s="58">
        <v>-0.58083252662148532</v>
      </c>
      <c r="L324" s="58">
        <v>26550</v>
      </c>
      <c r="M324" s="58">
        <v>6525</v>
      </c>
      <c r="N324" s="58">
        <v>15136.95</v>
      </c>
      <c r="O324" s="58">
        <v>13100</v>
      </c>
      <c r="P324" s="58" t="s">
        <v>26</v>
      </c>
      <c r="Q324" s="58">
        <v>11</v>
      </c>
      <c r="R324" s="58">
        <v>0</v>
      </c>
      <c r="S324" s="58">
        <v>0</v>
      </c>
      <c r="T324" s="58">
        <v>0</v>
      </c>
      <c r="U324" s="58">
        <v>0</v>
      </c>
      <c r="V324" s="58">
        <v>0</v>
      </c>
      <c r="W324" s="58">
        <v>0</v>
      </c>
      <c r="X324" s="58">
        <v>0</v>
      </c>
      <c r="Y324" s="58">
        <v>10050</v>
      </c>
      <c r="Z324" s="58">
        <v>10050</v>
      </c>
      <c r="AA324" s="58">
        <v>15136.95</v>
      </c>
      <c r="AE324" s="57"/>
    </row>
    <row r="325" spans="1:31" x14ac:dyDescent="0.35">
      <c r="A325" s="56" t="s">
        <v>393</v>
      </c>
      <c r="B325" s="58">
        <v>0</v>
      </c>
      <c r="C325" s="58">
        <v>0</v>
      </c>
      <c r="D325" s="58">
        <v>0</v>
      </c>
      <c r="E325" s="58">
        <v>0</v>
      </c>
      <c r="F325" s="58">
        <v>0</v>
      </c>
      <c r="G325" s="58">
        <v>0</v>
      </c>
      <c r="H325" s="58">
        <v>0</v>
      </c>
      <c r="I325" s="58">
        <v>0</v>
      </c>
      <c r="J325" s="58">
        <v>0</v>
      </c>
      <c r="K325" s="58">
        <v>0</v>
      </c>
      <c r="L325" s="58">
        <v>0</v>
      </c>
      <c r="M325" s="58">
        <v>0</v>
      </c>
      <c r="N325" s="58">
        <v>0</v>
      </c>
      <c r="O325" s="58">
        <v>13100</v>
      </c>
      <c r="P325" s="58" t="s">
        <v>67</v>
      </c>
      <c r="Q325" s="58">
        <v>0</v>
      </c>
      <c r="R325" s="58">
        <v>0</v>
      </c>
      <c r="S325" s="58">
        <v>0</v>
      </c>
      <c r="T325" s="58">
        <v>0</v>
      </c>
      <c r="U325" s="58">
        <v>0</v>
      </c>
      <c r="V325" s="58">
        <v>0</v>
      </c>
      <c r="W325" s="58">
        <v>0</v>
      </c>
      <c r="X325" s="58">
        <v>0</v>
      </c>
      <c r="Y325" s="58">
        <v>4875</v>
      </c>
      <c r="Z325" s="58">
        <v>4875</v>
      </c>
      <c r="AA325" s="58">
        <v>15136.95</v>
      </c>
      <c r="AE325" s="57"/>
    </row>
    <row r="326" spans="1:31" x14ac:dyDescent="0.35">
      <c r="A326" s="56" t="s">
        <v>394</v>
      </c>
      <c r="B326" s="58">
        <v>13100</v>
      </c>
      <c r="C326" s="58" t="s">
        <v>2071</v>
      </c>
      <c r="D326" s="58">
        <v>0</v>
      </c>
      <c r="E326" s="58">
        <v>0</v>
      </c>
      <c r="F326" s="58">
        <v>0</v>
      </c>
      <c r="G326" s="58">
        <v>0</v>
      </c>
      <c r="H326" s="58">
        <v>0</v>
      </c>
      <c r="I326" s="58">
        <v>0</v>
      </c>
      <c r="J326" s="58">
        <v>0</v>
      </c>
      <c r="K326" s="58">
        <v>0</v>
      </c>
      <c r="L326" s="58">
        <v>1125</v>
      </c>
      <c r="M326" s="58">
        <v>0</v>
      </c>
      <c r="N326" s="58">
        <v>15136.95</v>
      </c>
      <c r="O326" s="58">
        <v>13100</v>
      </c>
      <c r="P326" s="58" t="s">
        <v>2071</v>
      </c>
      <c r="Q326" s="58">
        <v>0</v>
      </c>
      <c r="R326" s="58">
        <v>0</v>
      </c>
      <c r="S326" s="58">
        <v>0</v>
      </c>
      <c r="T326" s="58">
        <v>0</v>
      </c>
      <c r="U326" s="58">
        <v>0</v>
      </c>
      <c r="V326" s="58">
        <v>0</v>
      </c>
      <c r="W326" s="58">
        <v>0</v>
      </c>
      <c r="X326" s="58">
        <v>0</v>
      </c>
      <c r="Y326" s="58">
        <v>5400</v>
      </c>
      <c r="Z326" s="58">
        <v>4875</v>
      </c>
      <c r="AA326" s="58">
        <v>15136.95</v>
      </c>
      <c r="AE326" s="57"/>
    </row>
    <row r="327" spans="1:31" x14ac:dyDescent="0.35">
      <c r="A327" s="56" t="s">
        <v>395</v>
      </c>
      <c r="B327" s="58">
        <v>13100</v>
      </c>
      <c r="C327" s="58" t="s">
        <v>35</v>
      </c>
      <c r="D327" s="58">
        <v>2724</v>
      </c>
      <c r="E327" s="58">
        <v>65</v>
      </c>
      <c r="F327" s="58">
        <v>2.4445280180518991</v>
      </c>
      <c r="G327" s="58">
        <v>1003</v>
      </c>
      <c r="H327" s="58">
        <v>90.51</v>
      </c>
      <c r="I327" s="58">
        <v>0.15</v>
      </c>
      <c r="J327" s="58">
        <v>-0.4</v>
      </c>
      <c r="K327" s="58">
        <v>-72.727272727272734</v>
      </c>
      <c r="L327" s="58">
        <v>82200</v>
      </c>
      <c r="M327" s="58">
        <v>87225</v>
      </c>
      <c r="N327" s="58">
        <v>15136.95</v>
      </c>
      <c r="O327" s="58">
        <v>13100</v>
      </c>
      <c r="P327" s="58" t="s">
        <v>35</v>
      </c>
      <c r="Q327" s="58">
        <v>4</v>
      </c>
      <c r="R327" s="58">
        <v>0</v>
      </c>
      <c r="S327" s="58">
        <v>0</v>
      </c>
      <c r="T327" s="58">
        <v>0</v>
      </c>
      <c r="U327" s="58">
        <v>0</v>
      </c>
      <c r="V327" s="58">
        <v>0</v>
      </c>
      <c r="W327" s="58">
        <v>0</v>
      </c>
      <c r="X327" s="58">
        <v>0</v>
      </c>
      <c r="Y327" s="58">
        <v>9975</v>
      </c>
      <c r="Z327" s="58">
        <v>12225</v>
      </c>
      <c r="AA327" s="58">
        <v>15136.95</v>
      </c>
      <c r="AE327" s="57"/>
    </row>
    <row r="328" spans="1:31" x14ac:dyDescent="0.35">
      <c r="A328" s="56" t="s">
        <v>396</v>
      </c>
      <c r="B328" s="58">
        <v>13100</v>
      </c>
      <c r="C328" s="58" t="s">
        <v>36</v>
      </c>
      <c r="D328" s="58">
        <v>0</v>
      </c>
      <c r="E328" s="58">
        <v>0</v>
      </c>
      <c r="F328" s="58">
        <v>0</v>
      </c>
      <c r="G328" s="58">
        <v>0</v>
      </c>
      <c r="H328" s="58">
        <v>0</v>
      </c>
      <c r="I328" s="58">
        <v>0</v>
      </c>
      <c r="J328" s="58">
        <v>0</v>
      </c>
      <c r="K328" s="58">
        <v>0</v>
      </c>
      <c r="L328" s="58">
        <v>1425</v>
      </c>
      <c r="M328" s="58">
        <v>0</v>
      </c>
      <c r="N328" s="58">
        <v>15136.95</v>
      </c>
      <c r="O328" s="58">
        <v>13100</v>
      </c>
      <c r="P328" s="58" t="s">
        <v>36</v>
      </c>
      <c r="Q328" s="58">
        <v>0</v>
      </c>
      <c r="R328" s="58">
        <v>0</v>
      </c>
      <c r="S328" s="58">
        <v>0</v>
      </c>
      <c r="T328" s="58">
        <v>0</v>
      </c>
      <c r="U328" s="58">
        <v>0</v>
      </c>
      <c r="V328" s="58">
        <v>0</v>
      </c>
      <c r="W328" s="58">
        <v>0</v>
      </c>
      <c r="X328" s="58">
        <v>0</v>
      </c>
      <c r="Y328" s="58">
        <v>4875</v>
      </c>
      <c r="Z328" s="58">
        <v>4875</v>
      </c>
      <c r="AA328" s="58">
        <v>15136.95</v>
      </c>
      <c r="AE328" s="57"/>
    </row>
    <row r="329" spans="1:31" x14ac:dyDescent="0.35">
      <c r="A329" s="56" t="s">
        <v>397</v>
      </c>
      <c r="B329" s="58">
        <v>13150</v>
      </c>
      <c r="C329" s="58" t="s">
        <v>33</v>
      </c>
      <c r="D329" s="58">
        <v>169</v>
      </c>
      <c r="E329" s="58">
        <v>2</v>
      </c>
      <c r="F329" s="58">
        <v>1.1976047904191616</v>
      </c>
      <c r="G329" s="58">
        <v>41</v>
      </c>
      <c r="H329" s="58">
        <v>36.03</v>
      </c>
      <c r="I329" s="58">
        <v>7.05</v>
      </c>
      <c r="J329" s="58">
        <v>-2.0499999999999998</v>
      </c>
      <c r="K329" s="58">
        <v>-22.527472527472529</v>
      </c>
      <c r="L329" s="58">
        <v>47700</v>
      </c>
      <c r="M329" s="58">
        <v>9675</v>
      </c>
      <c r="N329" s="58">
        <v>15136.95</v>
      </c>
      <c r="O329" s="58">
        <v>13150</v>
      </c>
      <c r="P329" s="58" t="s">
        <v>33</v>
      </c>
      <c r="Q329" s="58">
        <v>3</v>
      </c>
      <c r="R329" s="58">
        <v>0</v>
      </c>
      <c r="S329" s="58">
        <v>0</v>
      </c>
      <c r="T329" s="58">
        <v>0</v>
      </c>
      <c r="U329" s="58">
        <v>0</v>
      </c>
      <c r="V329" s="58">
        <v>0</v>
      </c>
      <c r="W329" s="58">
        <v>0</v>
      </c>
      <c r="X329" s="58">
        <v>0</v>
      </c>
      <c r="Y329" s="58">
        <v>14250</v>
      </c>
      <c r="Z329" s="58">
        <v>14175</v>
      </c>
      <c r="AA329" s="58">
        <v>15136.95</v>
      </c>
      <c r="AE329" s="57"/>
    </row>
    <row r="330" spans="1:31" x14ac:dyDescent="0.35">
      <c r="A330" s="56" t="s">
        <v>398</v>
      </c>
      <c r="B330" s="58">
        <v>13150</v>
      </c>
      <c r="C330" s="58" t="s">
        <v>36</v>
      </c>
      <c r="D330" s="58">
        <v>0</v>
      </c>
      <c r="E330" s="58">
        <v>0</v>
      </c>
      <c r="F330" s="58">
        <v>0</v>
      </c>
      <c r="G330" s="58">
        <v>0</v>
      </c>
      <c r="H330" s="58">
        <v>0</v>
      </c>
      <c r="I330" s="58">
        <v>0</v>
      </c>
      <c r="J330" s="58">
        <v>0</v>
      </c>
      <c r="K330" s="58">
        <v>0</v>
      </c>
      <c r="L330" s="58">
        <v>75</v>
      </c>
      <c r="M330" s="58">
        <v>0</v>
      </c>
      <c r="N330" s="58">
        <v>15136.95</v>
      </c>
      <c r="O330" s="58">
        <v>13150</v>
      </c>
      <c r="P330" s="58" t="s">
        <v>36</v>
      </c>
      <c r="Q330" s="58">
        <v>0</v>
      </c>
      <c r="R330" s="58">
        <v>0</v>
      </c>
      <c r="S330" s="58">
        <v>0</v>
      </c>
      <c r="T330" s="58">
        <v>0</v>
      </c>
      <c r="U330" s="58">
        <v>0</v>
      </c>
      <c r="V330" s="58">
        <v>0</v>
      </c>
      <c r="W330" s="58">
        <v>0</v>
      </c>
      <c r="X330" s="58">
        <v>0</v>
      </c>
      <c r="Y330" s="58">
        <v>4875</v>
      </c>
      <c r="Z330" s="58">
        <v>4875</v>
      </c>
      <c r="AA330" s="58">
        <v>15136.95</v>
      </c>
      <c r="AE330" s="57"/>
    </row>
    <row r="331" spans="1:31" x14ac:dyDescent="0.35">
      <c r="A331" s="56" t="s">
        <v>399</v>
      </c>
      <c r="B331" s="58">
        <v>0</v>
      </c>
      <c r="C331" s="58">
        <v>0</v>
      </c>
      <c r="D331" s="58">
        <v>0</v>
      </c>
      <c r="E331" s="58">
        <v>0</v>
      </c>
      <c r="F331" s="58">
        <v>0</v>
      </c>
      <c r="G331" s="58">
        <v>0</v>
      </c>
      <c r="H331" s="58">
        <v>0</v>
      </c>
      <c r="I331" s="58">
        <v>0</v>
      </c>
      <c r="J331" s="58">
        <v>0</v>
      </c>
      <c r="K331" s="58">
        <v>0</v>
      </c>
      <c r="L331" s="58">
        <v>0</v>
      </c>
      <c r="M331" s="58">
        <v>0</v>
      </c>
      <c r="N331" s="58">
        <v>0</v>
      </c>
      <c r="O331" s="58">
        <v>13150</v>
      </c>
      <c r="P331" s="58" t="s">
        <v>38</v>
      </c>
      <c r="Q331" s="58">
        <v>0</v>
      </c>
      <c r="R331" s="58">
        <v>0</v>
      </c>
      <c r="S331" s="58">
        <v>0</v>
      </c>
      <c r="T331" s="58">
        <v>0</v>
      </c>
      <c r="U331" s="58">
        <v>0</v>
      </c>
      <c r="V331" s="58">
        <v>0</v>
      </c>
      <c r="W331" s="58">
        <v>0</v>
      </c>
      <c r="X331" s="58">
        <v>0</v>
      </c>
      <c r="Y331" s="58">
        <v>4875</v>
      </c>
      <c r="Z331" s="58">
        <v>4875</v>
      </c>
      <c r="AA331" s="58">
        <v>15136.95</v>
      </c>
      <c r="AE331" s="57"/>
    </row>
    <row r="332" spans="1:31" x14ac:dyDescent="0.35">
      <c r="A332" s="56" t="s">
        <v>400</v>
      </c>
      <c r="B332" s="58">
        <v>13150</v>
      </c>
      <c r="C332" s="58" t="s">
        <v>26</v>
      </c>
      <c r="D332" s="58">
        <v>0</v>
      </c>
      <c r="E332" s="58">
        <v>0</v>
      </c>
      <c r="F332" s="58">
        <v>0</v>
      </c>
      <c r="G332" s="58">
        <v>0</v>
      </c>
      <c r="H332" s="58">
        <v>0</v>
      </c>
      <c r="I332" s="58">
        <v>0</v>
      </c>
      <c r="J332" s="58">
        <v>0</v>
      </c>
      <c r="K332" s="58">
        <v>0</v>
      </c>
      <c r="L332" s="58">
        <v>375</v>
      </c>
      <c r="M332" s="58">
        <v>0</v>
      </c>
      <c r="N332" s="58">
        <v>15136.95</v>
      </c>
      <c r="O332" s="58">
        <v>13150</v>
      </c>
      <c r="P332" s="58" t="s">
        <v>26</v>
      </c>
      <c r="Q332" s="58">
        <v>1</v>
      </c>
      <c r="R332" s="58">
        <v>0</v>
      </c>
      <c r="S332" s="58">
        <v>0</v>
      </c>
      <c r="T332" s="58">
        <v>0</v>
      </c>
      <c r="U332" s="58">
        <v>0</v>
      </c>
      <c r="V332" s="58">
        <v>0</v>
      </c>
      <c r="W332" s="58">
        <v>0</v>
      </c>
      <c r="X332" s="58">
        <v>0</v>
      </c>
      <c r="Y332" s="58">
        <v>12675</v>
      </c>
      <c r="Z332" s="58">
        <v>7725</v>
      </c>
      <c r="AA332" s="58">
        <v>15136.95</v>
      </c>
      <c r="AE332" s="57"/>
    </row>
    <row r="333" spans="1:31" x14ac:dyDescent="0.35">
      <c r="A333" s="56" t="s">
        <v>401</v>
      </c>
      <c r="B333" s="58">
        <v>0</v>
      </c>
      <c r="C333" s="58">
        <v>0</v>
      </c>
      <c r="D333" s="58">
        <v>0</v>
      </c>
      <c r="E333" s="58">
        <v>0</v>
      </c>
      <c r="F333" s="58">
        <v>0</v>
      </c>
      <c r="G333" s="58">
        <v>0</v>
      </c>
      <c r="H333" s="58">
        <v>0</v>
      </c>
      <c r="I333" s="58">
        <v>0</v>
      </c>
      <c r="J333" s="58">
        <v>0</v>
      </c>
      <c r="K333" s="58">
        <v>0</v>
      </c>
      <c r="L333" s="58">
        <v>0</v>
      </c>
      <c r="M333" s="58">
        <v>0</v>
      </c>
      <c r="N333" s="58">
        <v>0</v>
      </c>
      <c r="O333" s="58">
        <v>13150</v>
      </c>
      <c r="P333" s="58" t="s">
        <v>67</v>
      </c>
      <c r="Q333" s="58">
        <v>0</v>
      </c>
      <c r="R333" s="58">
        <v>0</v>
      </c>
      <c r="S333" s="58">
        <v>0</v>
      </c>
      <c r="T333" s="58">
        <v>0</v>
      </c>
      <c r="U333" s="58">
        <v>0</v>
      </c>
      <c r="V333" s="58">
        <v>0</v>
      </c>
      <c r="W333" s="58">
        <v>0</v>
      </c>
      <c r="X333" s="58">
        <v>0</v>
      </c>
      <c r="Y333" s="58">
        <v>4875</v>
      </c>
      <c r="Z333" s="58">
        <v>4875</v>
      </c>
      <c r="AA333" s="58">
        <v>15136.95</v>
      </c>
      <c r="AE333" s="57"/>
    </row>
    <row r="334" spans="1:31" x14ac:dyDescent="0.35">
      <c r="A334" s="56" t="s">
        <v>402</v>
      </c>
      <c r="B334" s="58">
        <v>0</v>
      </c>
      <c r="C334" s="58">
        <v>0</v>
      </c>
      <c r="D334" s="58">
        <v>0</v>
      </c>
      <c r="E334" s="58">
        <v>0</v>
      </c>
      <c r="F334" s="58">
        <v>0</v>
      </c>
      <c r="G334" s="58">
        <v>0</v>
      </c>
      <c r="H334" s="58">
        <v>0</v>
      </c>
      <c r="I334" s="58">
        <v>0</v>
      </c>
      <c r="J334" s="58">
        <v>0</v>
      </c>
      <c r="K334" s="58">
        <v>0</v>
      </c>
      <c r="L334" s="58">
        <v>0</v>
      </c>
      <c r="M334" s="58">
        <v>0</v>
      </c>
      <c r="N334" s="58">
        <v>0</v>
      </c>
      <c r="O334" s="58">
        <v>13150</v>
      </c>
      <c r="P334" s="58" t="s">
        <v>2071</v>
      </c>
      <c r="Q334" s="58">
        <v>0</v>
      </c>
      <c r="R334" s="58">
        <v>0</v>
      </c>
      <c r="S334" s="58">
        <v>0</v>
      </c>
      <c r="T334" s="58">
        <v>0</v>
      </c>
      <c r="U334" s="58">
        <v>0</v>
      </c>
      <c r="V334" s="58">
        <v>0</v>
      </c>
      <c r="W334" s="58">
        <v>0</v>
      </c>
      <c r="X334" s="58">
        <v>0</v>
      </c>
      <c r="Y334" s="58">
        <v>5400</v>
      </c>
      <c r="Z334" s="58">
        <v>4875</v>
      </c>
      <c r="AA334" s="58">
        <v>15136.95</v>
      </c>
      <c r="AE334" s="57"/>
    </row>
    <row r="335" spans="1:31" x14ac:dyDescent="0.35">
      <c r="A335" s="56" t="s">
        <v>403</v>
      </c>
      <c r="B335" s="58">
        <v>13150</v>
      </c>
      <c r="C335" s="58" t="s">
        <v>35</v>
      </c>
      <c r="D335" s="58">
        <v>79</v>
      </c>
      <c r="E335" s="58">
        <v>-3</v>
      </c>
      <c r="F335" s="58">
        <v>-3.6585365853658538</v>
      </c>
      <c r="G335" s="58">
        <v>31</v>
      </c>
      <c r="H335" s="58">
        <v>83.57</v>
      </c>
      <c r="I335" s="58">
        <v>0.1</v>
      </c>
      <c r="J335" s="58">
        <v>-0.30000000000000004</v>
      </c>
      <c r="K335" s="58">
        <v>-75.000000000000014</v>
      </c>
      <c r="L335" s="58">
        <v>18300</v>
      </c>
      <c r="M335" s="58">
        <v>36750</v>
      </c>
      <c r="N335" s="58">
        <v>15136.95</v>
      </c>
      <c r="O335" s="58">
        <v>13150</v>
      </c>
      <c r="P335" s="58" t="s">
        <v>35</v>
      </c>
      <c r="Q335" s="58">
        <v>0</v>
      </c>
      <c r="R335" s="58">
        <v>0</v>
      </c>
      <c r="S335" s="58">
        <v>0</v>
      </c>
      <c r="T335" s="58">
        <v>0</v>
      </c>
      <c r="U335" s="58">
        <v>0</v>
      </c>
      <c r="V335" s="58">
        <v>0</v>
      </c>
      <c r="W335" s="58">
        <v>0</v>
      </c>
      <c r="X335" s="58">
        <v>0</v>
      </c>
      <c r="Y335" s="58">
        <v>9225</v>
      </c>
      <c r="Z335" s="58">
        <v>12300</v>
      </c>
      <c r="AA335" s="58">
        <v>15136.95</v>
      </c>
      <c r="AE335" s="57"/>
    </row>
    <row r="336" spans="1:31" x14ac:dyDescent="0.35">
      <c r="A336" s="56" t="s">
        <v>404</v>
      </c>
      <c r="B336" s="58">
        <v>13150</v>
      </c>
      <c r="C336" s="58" t="s">
        <v>34</v>
      </c>
      <c r="D336" s="58">
        <v>0</v>
      </c>
      <c r="E336" s="58">
        <v>0</v>
      </c>
      <c r="F336" s="58">
        <v>0</v>
      </c>
      <c r="G336" s="58">
        <v>0</v>
      </c>
      <c r="H336" s="58">
        <v>0</v>
      </c>
      <c r="I336" s="58">
        <v>0</v>
      </c>
      <c r="J336" s="58">
        <v>0</v>
      </c>
      <c r="K336" s="58">
        <v>0</v>
      </c>
      <c r="L336" s="58">
        <v>10950</v>
      </c>
      <c r="M336" s="58">
        <v>0</v>
      </c>
      <c r="N336" s="58">
        <v>15136.95</v>
      </c>
      <c r="O336" s="58">
        <v>13150</v>
      </c>
      <c r="P336" s="58" t="s">
        <v>34</v>
      </c>
      <c r="Q336" s="58">
        <v>0</v>
      </c>
      <c r="R336" s="58">
        <v>0</v>
      </c>
      <c r="S336" s="58">
        <v>0</v>
      </c>
      <c r="T336" s="58">
        <v>0</v>
      </c>
      <c r="U336" s="58">
        <v>0</v>
      </c>
      <c r="V336" s="58">
        <v>0</v>
      </c>
      <c r="W336" s="58">
        <v>0</v>
      </c>
      <c r="X336" s="58">
        <v>0</v>
      </c>
      <c r="Y336" s="58">
        <v>7725</v>
      </c>
      <c r="Z336" s="58">
        <v>7725</v>
      </c>
      <c r="AA336" s="58">
        <v>15136.95</v>
      </c>
      <c r="AE336" s="57"/>
    </row>
    <row r="337" spans="1:31" x14ac:dyDescent="0.35">
      <c r="A337" s="56" t="s">
        <v>405</v>
      </c>
      <c r="B337" s="58">
        <v>0</v>
      </c>
      <c r="C337" s="58">
        <v>0</v>
      </c>
      <c r="D337" s="58">
        <v>0</v>
      </c>
      <c r="E337" s="58">
        <v>0</v>
      </c>
      <c r="F337" s="58">
        <v>0</v>
      </c>
      <c r="G337" s="58">
        <v>0</v>
      </c>
      <c r="H337" s="58">
        <v>0</v>
      </c>
      <c r="I337" s="58">
        <v>0</v>
      </c>
      <c r="J337" s="58">
        <v>0</v>
      </c>
      <c r="K337" s="58">
        <v>0</v>
      </c>
      <c r="L337" s="58">
        <v>0</v>
      </c>
      <c r="M337" s="58">
        <v>0</v>
      </c>
      <c r="N337" s="58">
        <v>0</v>
      </c>
      <c r="O337" s="58">
        <v>13150</v>
      </c>
      <c r="P337" s="58" t="s">
        <v>37</v>
      </c>
      <c r="Q337" s="58">
        <v>0</v>
      </c>
      <c r="R337" s="58">
        <v>0</v>
      </c>
      <c r="S337" s="58">
        <v>0</v>
      </c>
      <c r="T337" s="58">
        <v>0</v>
      </c>
      <c r="U337" s="58">
        <v>0</v>
      </c>
      <c r="V337" s="58">
        <v>0</v>
      </c>
      <c r="W337" s="58">
        <v>0</v>
      </c>
      <c r="X337" s="58">
        <v>0</v>
      </c>
      <c r="Y337" s="58">
        <v>4875</v>
      </c>
      <c r="Z337" s="58">
        <v>4875</v>
      </c>
      <c r="AA337" s="58">
        <v>15136.95</v>
      </c>
      <c r="AE337" s="57"/>
    </row>
    <row r="338" spans="1:31" x14ac:dyDescent="0.35">
      <c r="A338" s="56" t="s">
        <v>406</v>
      </c>
      <c r="B338" s="58">
        <v>13200</v>
      </c>
      <c r="C338" s="58" t="s">
        <v>36</v>
      </c>
      <c r="D338" s="58">
        <v>4</v>
      </c>
      <c r="E338" s="58">
        <v>0</v>
      </c>
      <c r="F338" s="58">
        <v>0</v>
      </c>
      <c r="G338" s="58">
        <v>0</v>
      </c>
      <c r="H338" s="58">
        <v>0</v>
      </c>
      <c r="I338" s="58">
        <v>0</v>
      </c>
      <c r="J338" s="58">
        <v>0</v>
      </c>
      <c r="K338" s="58">
        <v>0</v>
      </c>
      <c r="L338" s="58">
        <v>3975</v>
      </c>
      <c r="M338" s="58">
        <v>225</v>
      </c>
      <c r="N338" s="58">
        <v>15136.95</v>
      </c>
      <c r="O338" s="58">
        <v>13200</v>
      </c>
      <c r="P338" s="58" t="s">
        <v>36</v>
      </c>
      <c r="Q338" s="58">
        <v>0</v>
      </c>
      <c r="R338" s="58">
        <v>0</v>
      </c>
      <c r="S338" s="58">
        <v>0</v>
      </c>
      <c r="T338" s="58">
        <v>0</v>
      </c>
      <c r="U338" s="58">
        <v>0</v>
      </c>
      <c r="V338" s="58">
        <v>0</v>
      </c>
      <c r="W338" s="58">
        <v>0</v>
      </c>
      <c r="X338" s="58">
        <v>0</v>
      </c>
      <c r="Y338" s="58">
        <v>4875</v>
      </c>
      <c r="Z338" s="58">
        <v>4875</v>
      </c>
      <c r="AA338" s="58">
        <v>15136.95</v>
      </c>
      <c r="AE338" s="57"/>
    </row>
    <row r="339" spans="1:31" x14ac:dyDescent="0.35">
      <c r="A339" s="56" t="s">
        <v>407</v>
      </c>
      <c r="B339" s="58">
        <v>13200</v>
      </c>
      <c r="C339" s="58" t="s">
        <v>34</v>
      </c>
      <c r="D339" s="58">
        <v>515</v>
      </c>
      <c r="E339" s="58">
        <v>146</v>
      </c>
      <c r="F339" s="58">
        <v>39.566395663956641</v>
      </c>
      <c r="G339" s="58">
        <v>557</v>
      </c>
      <c r="H339" s="58">
        <v>43.97</v>
      </c>
      <c r="I339" s="58">
        <v>3.2</v>
      </c>
      <c r="J339" s="58">
        <v>-1</v>
      </c>
      <c r="K339" s="58">
        <v>-23.809523809523807</v>
      </c>
      <c r="L339" s="58">
        <v>38700</v>
      </c>
      <c r="M339" s="58">
        <v>7950</v>
      </c>
      <c r="N339" s="58">
        <v>15136.95</v>
      </c>
      <c r="O339" s="58">
        <v>13200</v>
      </c>
      <c r="P339" s="58" t="s">
        <v>34</v>
      </c>
      <c r="Q339" s="58">
        <v>2</v>
      </c>
      <c r="R339" s="58">
        <v>0</v>
      </c>
      <c r="S339" s="58">
        <v>0</v>
      </c>
      <c r="T339" s="58">
        <v>1</v>
      </c>
      <c r="U339" s="58">
        <v>0</v>
      </c>
      <c r="V339" s="58">
        <v>1930</v>
      </c>
      <c r="W339" s="58">
        <v>40</v>
      </c>
      <c r="X339" s="58">
        <v>2.1164021164021163</v>
      </c>
      <c r="Y339" s="58">
        <v>7800</v>
      </c>
      <c r="Z339" s="58">
        <v>7800</v>
      </c>
      <c r="AA339" s="58">
        <v>15136.95</v>
      </c>
      <c r="AE339" s="57"/>
    </row>
    <row r="340" spans="1:31" x14ac:dyDescent="0.35">
      <c r="A340" s="56" t="s">
        <v>408</v>
      </c>
      <c r="B340" s="58">
        <v>13200</v>
      </c>
      <c r="C340" s="58" t="s">
        <v>26</v>
      </c>
      <c r="D340" s="58">
        <v>278</v>
      </c>
      <c r="E340" s="58">
        <v>1</v>
      </c>
      <c r="F340" s="58">
        <v>0.36101083032490977</v>
      </c>
      <c r="G340" s="58">
        <v>22</v>
      </c>
      <c r="H340" s="58">
        <v>31.8</v>
      </c>
      <c r="I340" s="58">
        <v>57.9</v>
      </c>
      <c r="J340" s="58">
        <v>0.89999999999999858</v>
      </c>
      <c r="K340" s="58">
        <v>1.5789473684210502</v>
      </c>
      <c r="L340" s="58">
        <v>31950</v>
      </c>
      <c r="M340" s="58">
        <v>6300</v>
      </c>
      <c r="N340" s="58">
        <v>15136.95</v>
      </c>
      <c r="O340" s="58">
        <v>13200</v>
      </c>
      <c r="P340" s="58" t="s">
        <v>26</v>
      </c>
      <c r="Q340" s="58">
        <v>22</v>
      </c>
      <c r="R340" s="58">
        <v>0</v>
      </c>
      <c r="S340" s="58">
        <v>0</v>
      </c>
      <c r="T340" s="58">
        <v>0</v>
      </c>
      <c r="U340" s="58">
        <v>0</v>
      </c>
      <c r="V340" s="58">
        <v>0</v>
      </c>
      <c r="W340" s="58">
        <v>0</v>
      </c>
      <c r="X340" s="58">
        <v>0</v>
      </c>
      <c r="Y340" s="58">
        <v>10050</v>
      </c>
      <c r="Z340" s="58">
        <v>10050</v>
      </c>
      <c r="AA340" s="58">
        <v>15136.95</v>
      </c>
      <c r="AE340" s="57"/>
    </row>
    <row r="341" spans="1:31" x14ac:dyDescent="0.35">
      <c r="A341" s="56" t="s">
        <v>409</v>
      </c>
      <c r="B341" s="58">
        <v>0</v>
      </c>
      <c r="C341" s="58">
        <v>0</v>
      </c>
      <c r="D341" s="58">
        <v>0</v>
      </c>
      <c r="E341" s="58">
        <v>0</v>
      </c>
      <c r="F341" s="58">
        <v>0</v>
      </c>
      <c r="G341" s="58">
        <v>0</v>
      </c>
      <c r="H341" s="58">
        <v>0</v>
      </c>
      <c r="I341" s="58">
        <v>0</v>
      </c>
      <c r="J341" s="58">
        <v>0</v>
      </c>
      <c r="K341" s="58">
        <v>0</v>
      </c>
      <c r="L341" s="58">
        <v>0</v>
      </c>
      <c r="M341" s="58">
        <v>0</v>
      </c>
      <c r="N341" s="58">
        <v>0</v>
      </c>
      <c r="O341" s="58">
        <v>13200</v>
      </c>
      <c r="P341" s="58" t="s">
        <v>67</v>
      </c>
      <c r="Q341" s="58">
        <v>0</v>
      </c>
      <c r="R341" s="58">
        <v>0</v>
      </c>
      <c r="S341" s="58">
        <v>0</v>
      </c>
      <c r="T341" s="58">
        <v>0</v>
      </c>
      <c r="U341" s="58">
        <v>0</v>
      </c>
      <c r="V341" s="58">
        <v>0</v>
      </c>
      <c r="W341" s="58">
        <v>0</v>
      </c>
      <c r="X341" s="58">
        <v>0</v>
      </c>
      <c r="Y341" s="58">
        <v>4875</v>
      </c>
      <c r="Z341" s="58">
        <v>4875</v>
      </c>
      <c r="AA341" s="58">
        <v>15136.95</v>
      </c>
      <c r="AE341" s="57"/>
    </row>
    <row r="342" spans="1:31" x14ac:dyDescent="0.35">
      <c r="A342" s="56" t="s">
        <v>410</v>
      </c>
      <c r="B342" s="58">
        <v>13200</v>
      </c>
      <c r="C342" s="58" t="s">
        <v>2071</v>
      </c>
      <c r="D342" s="58">
        <v>0</v>
      </c>
      <c r="E342" s="58">
        <v>0</v>
      </c>
      <c r="F342" s="58">
        <v>0</v>
      </c>
      <c r="G342" s="58">
        <v>0</v>
      </c>
      <c r="H342" s="58">
        <v>0</v>
      </c>
      <c r="I342" s="58">
        <v>0</v>
      </c>
      <c r="J342" s="58">
        <v>0</v>
      </c>
      <c r="K342" s="58">
        <v>0</v>
      </c>
      <c r="L342" s="58">
        <v>1125</v>
      </c>
      <c r="M342" s="58">
        <v>0</v>
      </c>
      <c r="N342" s="58">
        <v>15136.95</v>
      </c>
      <c r="O342" s="58">
        <v>13200</v>
      </c>
      <c r="P342" s="58" t="s">
        <v>2071</v>
      </c>
      <c r="Q342" s="58">
        <v>0</v>
      </c>
      <c r="R342" s="58">
        <v>0</v>
      </c>
      <c r="S342" s="58">
        <v>0</v>
      </c>
      <c r="T342" s="58">
        <v>0</v>
      </c>
      <c r="U342" s="58">
        <v>0</v>
      </c>
      <c r="V342" s="58">
        <v>0</v>
      </c>
      <c r="W342" s="58">
        <v>0</v>
      </c>
      <c r="X342" s="58">
        <v>0</v>
      </c>
      <c r="Y342" s="58">
        <v>5400</v>
      </c>
      <c r="Z342" s="58">
        <v>4875</v>
      </c>
      <c r="AA342" s="58">
        <v>15136.95</v>
      </c>
      <c r="AE342" s="57"/>
    </row>
    <row r="343" spans="1:31" x14ac:dyDescent="0.35">
      <c r="A343" s="56" t="s">
        <v>411</v>
      </c>
      <c r="B343" s="58">
        <v>13200</v>
      </c>
      <c r="C343" s="58" t="s">
        <v>35</v>
      </c>
      <c r="D343" s="58">
        <v>3054</v>
      </c>
      <c r="E343" s="58">
        <v>-105</v>
      </c>
      <c r="F343" s="58">
        <v>-3.3238366571699904</v>
      </c>
      <c r="G343" s="58">
        <v>764</v>
      </c>
      <c r="H343" s="58">
        <v>86.13</v>
      </c>
      <c r="I343" s="58">
        <v>0.2</v>
      </c>
      <c r="J343" s="58">
        <v>-0.45</v>
      </c>
      <c r="K343" s="58">
        <v>-69.230769230769226</v>
      </c>
      <c r="L343" s="58">
        <v>136875</v>
      </c>
      <c r="M343" s="58">
        <v>44925</v>
      </c>
      <c r="N343" s="58">
        <v>15136.95</v>
      </c>
      <c r="O343" s="58">
        <v>13200</v>
      </c>
      <c r="P343" s="58" t="s">
        <v>35</v>
      </c>
      <c r="Q343" s="58">
        <v>8</v>
      </c>
      <c r="R343" s="58">
        <v>0</v>
      </c>
      <c r="S343" s="58">
        <v>0</v>
      </c>
      <c r="T343" s="58">
        <v>4</v>
      </c>
      <c r="U343" s="58">
        <v>0</v>
      </c>
      <c r="V343" s="58">
        <v>1939.3</v>
      </c>
      <c r="W343" s="58">
        <v>64.299999999999955</v>
      </c>
      <c r="X343" s="58">
        <v>3.4293333333333309</v>
      </c>
      <c r="Y343" s="58">
        <v>12225</v>
      </c>
      <c r="Z343" s="58">
        <v>12225</v>
      </c>
      <c r="AA343" s="58">
        <v>15136.95</v>
      </c>
      <c r="AE343" s="57"/>
    </row>
    <row r="344" spans="1:31" x14ac:dyDescent="0.35">
      <c r="A344" s="56" t="s">
        <v>412</v>
      </c>
      <c r="B344" s="58">
        <v>13200</v>
      </c>
      <c r="C344" s="58" t="s">
        <v>37</v>
      </c>
      <c r="D344" s="58">
        <v>0</v>
      </c>
      <c r="E344" s="58">
        <v>0</v>
      </c>
      <c r="F344" s="58">
        <v>0</v>
      </c>
      <c r="G344" s="58">
        <v>0</v>
      </c>
      <c r="H344" s="58">
        <v>0</v>
      </c>
      <c r="I344" s="58">
        <v>0</v>
      </c>
      <c r="J344" s="58">
        <v>0</v>
      </c>
      <c r="K344" s="58">
        <v>0</v>
      </c>
      <c r="L344" s="58">
        <v>600</v>
      </c>
      <c r="M344" s="58">
        <v>0</v>
      </c>
      <c r="N344" s="58">
        <v>15136.95</v>
      </c>
      <c r="O344" s="58">
        <v>13200</v>
      </c>
      <c r="P344" s="58" t="s">
        <v>37</v>
      </c>
      <c r="Q344" s="58">
        <v>0</v>
      </c>
      <c r="R344" s="58">
        <v>0</v>
      </c>
      <c r="S344" s="58">
        <v>0</v>
      </c>
      <c r="T344" s="58">
        <v>0</v>
      </c>
      <c r="U344" s="58">
        <v>0</v>
      </c>
      <c r="V344" s="58">
        <v>0</v>
      </c>
      <c r="W344" s="58">
        <v>0</v>
      </c>
      <c r="X344" s="58">
        <v>0</v>
      </c>
      <c r="Y344" s="58">
        <v>4875</v>
      </c>
      <c r="Z344" s="58">
        <v>4875</v>
      </c>
      <c r="AA344" s="58">
        <v>15136.95</v>
      </c>
      <c r="AE344" s="57"/>
    </row>
    <row r="345" spans="1:31" x14ac:dyDescent="0.35">
      <c r="A345" s="56" t="s">
        <v>413</v>
      </c>
      <c r="B345" s="58">
        <v>13200</v>
      </c>
      <c r="C345" s="58" t="s">
        <v>33</v>
      </c>
      <c r="D345" s="58">
        <v>8176</v>
      </c>
      <c r="E345" s="58">
        <v>117</v>
      </c>
      <c r="F345" s="58">
        <v>1.4517930264300782</v>
      </c>
      <c r="G345" s="58">
        <v>929</v>
      </c>
      <c r="H345" s="58">
        <v>35.369999999999997</v>
      </c>
      <c r="I345" s="58">
        <v>7.45</v>
      </c>
      <c r="J345" s="58">
        <v>-2.3999999999999995</v>
      </c>
      <c r="K345" s="58">
        <v>-24.365482233502533</v>
      </c>
      <c r="L345" s="58">
        <v>53625</v>
      </c>
      <c r="M345" s="58">
        <v>11100</v>
      </c>
      <c r="N345" s="58">
        <v>15136.95</v>
      </c>
      <c r="O345" s="58">
        <v>13200</v>
      </c>
      <c r="P345" s="58" t="s">
        <v>33</v>
      </c>
      <c r="Q345" s="58">
        <v>206</v>
      </c>
      <c r="R345" s="58">
        <v>0</v>
      </c>
      <c r="S345" s="58">
        <v>0</v>
      </c>
      <c r="T345" s="58">
        <v>2</v>
      </c>
      <c r="U345" s="58">
        <v>0</v>
      </c>
      <c r="V345" s="58">
        <v>1958</v>
      </c>
      <c r="W345" s="58">
        <v>118</v>
      </c>
      <c r="X345" s="58">
        <v>6.4130434782608701</v>
      </c>
      <c r="Y345" s="58">
        <v>13275</v>
      </c>
      <c r="Z345" s="58">
        <v>12000</v>
      </c>
      <c r="AA345" s="58">
        <v>15136.95</v>
      </c>
      <c r="AE345" s="57"/>
    </row>
    <row r="346" spans="1:31" x14ac:dyDescent="0.35">
      <c r="A346" s="56" t="s">
        <v>414</v>
      </c>
      <c r="B346" s="58">
        <v>13200</v>
      </c>
      <c r="C346" s="58" t="s">
        <v>38</v>
      </c>
      <c r="D346" s="58">
        <v>0</v>
      </c>
      <c r="E346" s="58">
        <v>0</v>
      </c>
      <c r="F346" s="58">
        <v>0</v>
      </c>
      <c r="G346" s="58">
        <v>0</v>
      </c>
      <c r="H346" s="58">
        <v>0</v>
      </c>
      <c r="I346" s="58">
        <v>0</v>
      </c>
      <c r="J346" s="58">
        <v>0</v>
      </c>
      <c r="K346" s="58">
        <v>0</v>
      </c>
      <c r="L346" s="58">
        <v>1200</v>
      </c>
      <c r="M346" s="58">
        <v>0</v>
      </c>
      <c r="N346" s="58">
        <v>15136.95</v>
      </c>
      <c r="O346" s="58">
        <v>13200</v>
      </c>
      <c r="P346" s="58" t="s">
        <v>38</v>
      </c>
      <c r="Q346" s="58">
        <v>0</v>
      </c>
      <c r="R346" s="58">
        <v>0</v>
      </c>
      <c r="S346" s="58">
        <v>0</v>
      </c>
      <c r="T346" s="58">
        <v>0</v>
      </c>
      <c r="U346" s="58">
        <v>0</v>
      </c>
      <c r="V346" s="58">
        <v>0</v>
      </c>
      <c r="W346" s="58">
        <v>0</v>
      </c>
      <c r="X346" s="58">
        <v>0</v>
      </c>
      <c r="Y346" s="58">
        <v>4875</v>
      </c>
      <c r="Z346" s="58">
        <v>4875</v>
      </c>
      <c r="AA346" s="58">
        <v>15136.95</v>
      </c>
      <c r="AE346" s="57"/>
    </row>
    <row r="347" spans="1:31" x14ac:dyDescent="0.35">
      <c r="A347" s="56" t="s">
        <v>415</v>
      </c>
      <c r="B347" s="58">
        <v>13250</v>
      </c>
      <c r="C347" s="58" t="s">
        <v>36</v>
      </c>
      <c r="D347" s="58">
        <v>0</v>
      </c>
      <c r="E347" s="58">
        <v>0</v>
      </c>
      <c r="F347" s="58">
        <v>0</v>
      </c>
      <c r="G347" s="58">
        <v>0</v>
      </c>
      <c r="H347" s="58">
        <v>0</v>
      </c>
      <c r="I347" s="58">
        <v>0</v>
      </c>
      <c r="J347" s="58">
        <v>0</v>
      </c>
      <c r="K347" s="58">
        <v>0</v>
      </c>
      <c r="L347" s="58">
        <v>75</v>
      </c>
      <c r="M347" s="58">
        <v>0</v>
      </c>
      <c r="N347" s="58">
        <v>15136.95</v>
      </c>
      <c r="O347" s="58">
        <v>13250</v>
      </c>
      <c r="P347" s="58" t="s">
        <v>36</v>
      </c>
      <c r="Q347" s="58">
        <v>0</v>
      </c>
      <c r="R347" s="58">
        <v>0</v>
      </c>
      <c r="S347" s="58">
        <v>0</v>
      </c>
      <c r="T347" s="58">
        <v>0</v>
      </c>
      <c r="U347" s="58">
        <v>0</v>
      </c>
      <c r="V347" s="58">
        <v>0</v>
      </c>
      <c r="W347" s="58">
        <v>0</v>
      </c>
      <c r="X347" s="58">
        <v>0</v>
      </c>
      <c r="Y347" s="58">
        <v>4875</v>
      </c>
      <c r="Z347" s="58">
        <v>4875</v>
      </c>
      <c r="AA347" s="58">
        <v>15136.95</v>
      </c>
      <c r="AE347" s="57"/>
    </row>
    <row r="348" spans="1:31" x14ac:dyDescent="0.35">
      <c r="A348" s="56" t="s">
        <v>416</v>
      </c>
      <c r="B348" s="58">
        <v>0</v>
      </c>
      <c r="C348" s="58">
        <v>0</v>
      </c>
      <c r="D348" s="58">
        <v>0</v>
      </c>
      <c r="E348" s="58">
        <v>0</v>
      </c>
      <c r="F348" s="58">
        <v>0</v>
      </c>
      <c r="G348" s="58">
        <v>0</v>
      </c>
      <c r="H348" s="58">
        <v>0</v>
      </c>
      <c r="I348" s="58">
        <v>0</v>
      </c>
      <c r="J348" s="58">
        <v>0</v>
      </c>
      <c r="K348" s="58">
        <v>0</v>
      </c>
      <c r="L348" s="58">
        <v>0</v>
      </c>
      <c r="M348" s="58">
        <v>0</v>
      </c>
      <c r="N348" s="58">
        <v>0</v>
      </c>
      <c r="O348" s="58">
        <v>13250</v>
      </c>
      <c r="P348" s="58" t="s">
        <v>38</v>
      </c>
      <c r="Q348" s="58">
        <v>0</v>
      </c>
      <c r="R348" s="58">
        <v>0</v>
      </c>
      <c r="S348" s="58">
        <v>0</v>
      </c>
      <c r="T348" s="58">
        <v>0</v>
      </c>
      <c r="U348" s="58">
        <v>0</v>
      </c>
      <c r="V348" s="58">
        <v>0</v>
      </c>
      <c r="W348" s="58">
        <v>0</v>
      </c>
      <c r="X348" s="58">
        <v>0</v>
      </c>
      <c r="Y348" s="58">
        <v>4875</v>
      </c>
      <c r="Z348" s="58">
        <v>4875</v>
      </c>
      <c r="AA348" s="58">
        <v>15136.95</v>
      </c>
      <c r="AE348" s="57"/>
    </row>
    <row r="349" spans="1:31" x14ac:dyDescent="0.35">
      <c r="A349" s="56" t="s">
        <v>417</v>
      </c>
      <c r="B349" s="58">
        <v>13250</v>
      </c>
      <c r="C349" s="58" t="s">
        <v>26</v>
      </c>
      <c r="D349" s="58">
        <v>0</v>
      </c>
      <c r="E349" s="58">
        <v>0</v>
      </c>
      <c r="F349" s="58">
        <v>0</v>
      </c>
      <c r="G349" s="58">
        <v>0</v>
      </c>
      <c r="H349" s="58">
        <v>0</v>
      </c>
      <c r="I349" s="58">
        <v>0</v>
      </c>
      <c r="J349" s="58">
        <v>0</v>
      </c>
      <c r="K349" s="58">
        <v>0</v>
      </c>
      <c r="L349" s="58">
        <v>375</v>
      </c>
      <c r="M349" s="58">
        <v>0</v>
      </c>
      <c r="N349" s="58">
        <v>15136.95</v>
      </c>
      <c r="O349" s="58">
        <v>13250</v>
      </c>
      <c r="P349" s="58" t="s">
        <v>26</v>
      </c>
      <c r="Q349" s="58">
        <v>1</v>
      </c>
      <c r="R349" s="58">
        <v>0</v>
      </c>
      <c r="S349" s="58">
        <v>0</v>
      </c>
      <c r="T349" s="58">
        <v>0</v>
      </c>
      <c r="U349" s="58">
        <v>0</v>
      </c>
      <c r="V349" s="58">
        <v>0</v>
      </c>
      <c r="W349" s="58">
        <v>0</v>
      </c>
      <c r="X349" s="58">
        <v>0</v>
      </c>
      <c r="Y349" s="58">
        <v>12675</v>
      </c>
      <c r="Z349" s="58">
        <v>7725</v>
      </c>
      <c r="AA349" s="58">
        <v>15136.95</v>
      </c>
      <c r="AE349" s="57"/>
    </row>
    <row r="350" spans="1:31" x14ac:dyDescent="0.35">
      <c r="A350" s="56" t="s">
        <v>418</v>
      </c>
      <c r="B350" s="58">
        <v>0</v>
      </c>
      <c r="C350" s="58">
        <v>0</v>
      </c>
      <c r="D350" s="58">
        <v>0</v>
      </c>
      <c r="E350" s="58">
        <v>0</v>
      </c>
      <c r="F350" s="58">
        <v>0</v>
      </c>
      <c r="G350" s="58">
        <v>0</v>
      </c>
      <c r="H350" s="58">
        <v>0</v>
      </c>
      <c r="I350" s="58">
        <v>0</v>
      </c>
      <c r="J350" s="58">
        <v>0</v>
      </c>
      <c r="K350" s="58">
        <v>0</v>
      </c>
      <c r="L350" s="58">
        <v>0</v>
      </c>
      <c r="M350" s="58">
        <v>0</v>
      </c>
      <c r="N350" s="58">
        <v>0</v>
      </c>
      <c r="O350" s="58">
        <v>13250</v>
      </c>
      <c r="P350" s="58" t="s">
        <v>67</v>
      </c>
      <c r="Q350" s="58">
        <v>0</v>
      </c>
      <c r="R350" s="58">
        <v>0</v>
      </c>
      <c r="S350" s="58">
        <v>0</v>
      </c>
      <c r="T350" s="58">
        <v>0</v>
      </c>
      <c r="U350" s="58">
        <v>0</v>
      </c>
      <c r="V350" s="58">
        <v>0</v>
      </c>
      <c r="W350" s="58">
        <v>0</v>
      </c>
      <c r="X350" s="58">
        <v>0</v>
      </c>
      <c r="Y350" s="58">
        <v>4875</v>
      </c>
      <c r="Z350" s="58">
        <v>4875</v>
      </c>
      <c r="AA350" s="58">
        <v>15136.95</v>
      </c>
      <c r="AE350" s="57"/>
    </row>
    <row r="351" spans="1:31" x14ac:dyDescent="0.35">
      <c r="A351" s="56" t="s">
        <v>419</v>
      </c>
      <c r="B351" s="58">
        <v>0</v>
      </c>
      <c r="C351" s="58">
        <v>0</v>
      </c>
      <c r="D351" s="58">
        <v>0</v>
      </c>
      <c r="E351" s="58">
        <v>0</v>
      </c>
      <c r="F351" s="58">
        <v>0</v>
      </c>
      <c r="G351" s="58">
        <v>0</v>
      </c>
      <c r="H351" s="58">
        <v>0</v>
      </c>
      <c r="I351" s="58">
        <v>0</v>
      </c>
      <c r="J351" s="58">
        <v>0</v>
      </c>
      <c r="K351" s="58">
        <v>0</v>
      </c>
      <c r="L351" s="58">
        <v>0</v>
      </c>
      <c r="M351" s="58">
        <v>0</v>
      </c>
      <c r="N351" s="58">
        <v>0</v>
      </c>
      <c r="O351" s="58">
        <v>13250</v>
      </c>
      <c r="P351" s="58" t="s">
        <v>2071</v>
      </c>
      <c r="Q351" s="58">
        <v>0</v>
      </c>
      <c r="R351" s="58">
        <v>0</v>
      </c>
      <c r="S351" s="58">
        <v>0</v>
      </c>
      <c r="T351" s="58">
        <v>0</v>
      </c>
      <c r="U351" s="58">
        <v>0</v>
      </c>
      <c r="V351" s="58">
        <v>0</v>
      </c>
      <c r="W351" s="58">
        <v>0</v>
      </c>
      <c r="X351" s="58">
        <v>0</v>
      </c>
      <c r="Y351" s="58">
        <v>5400</v>
      </c>
      <c r="Z351" s="58">
        <v>4875</v>
      </c>
      <c r="AA351" s="58">
        <v>15136.95</v>
      </c>
      <c r="AE351" s="57"/>
    </row>
    <row r="352" spans="1:31" x14ac:dyDescent="0.35">
      <c r="A352" s="56" t="s">
        <v>420</v>
      </c>
      <c r="B352" s="58">
        <v>13250</v>
      </c>
      <c r="C352" s="58" t="s">
        <v>33</v>
      </c>
      <c r="D352" s="58">
        <v>246</v>
      </c>
      <c r="E352" s="58">
        <v>-4</v>
      </c>
      <c r="F352" s="58">
        <v>-1.6</v>
      </c>
      <c r="G352" s="58">
        <v>24</v>
      </c>
      <c r="H352" s="58">
        <v>35.04</v>
      </c>
      <c r="I352" s="58">
        <v>8.15</v>
      </c>
      <c r="J352" s="58">
        <v>-2.0499999999999989</v>
      </c>
      <c r="K352" s="58">
        <v>-20.098039215686264</v>
      </c>
      <c r="L352" s="58">
        <v>49650</v>
      </c>
      <c r="M352" s="58">
        <v>7800</v>
      </c>
      <c r="N352" s="58">
        <v>15136.95</v>
      </c>
      <c r="O352" s="58">
        <v>13250</v>
      </c>
      <c r="P352" s="58" t="s">
        <v>33</v>
      </c>
      <c r="Q352" s="58">
        <v>12</v>
      </c>
      <c r="R352" s="58">
        <v>0</v>
      </c>
      <c r="S352" s="58">
        <v>0</v>
      </c>
      <c r="T352" s="58">
        <v>0</v>
      </c>
      <c r="U352" s="58">
        <v>0</v>
      </c>
      <c r="V352" s="58">
        <v>0</v>
      </c>
      <c r="W352" s="58">
        <v>0</v>
      </c>
      <c r="X352" s="58">
        <v>0</v>
      </c>
      <c r="Y352" s="58">
        <v>14175</v>
      </c>
      <c r="Z352" s="58">
        <v>14175</v>
      </c>
      <c r="AA352" s="58">
        <v>15136.95</v>
      </c>
      <c r="AE352" s="57"/>
    </row>
    <row r="353" spans="1:31" x14ac:dyDescent="0.35">
      <c r="A353" s="56" t="s">
        <v>421</v>
      </c>
      <c r="B353" s="58">
        <v>13250</v>
      </c>
      <c r="C353" s="58" t="s">
        <v>34</v>
      </c>
      <c r="D353" s="58">
        <v>2</v>
      </c>
      <c r="E353" s="58">
        <v>0</v>
      </c>
      <c r="F353" s="58">
        <v>0</v>
      </c>
      <c r="G353" s="58">
        <v>1</v>
      </c>
      <c r="H353" s="58">
        <v>42.57</v>
      </c>
      <c r="I353" s="58">
        <v>3.05</v>
      </c>
      <c r="J353" s="58">
        <v>-5.55</v>
      </c>
      <c r="K353" s="58">
        <v>-64.534883720930239</v>
      </c>
      <c r="L353" s="58">
        <v>13800</v>
      </c>
      <c r="M353" s="58">
        <v>0</v>
      </c>
      <c r="N353" s="58">
        <v>15136.95</v>
      </c>
      <c r="O353" s="58">
        <v>13250</v>
      </c>
      <c r="P353" s="58" t="s">
        <v>34</v>
      </c>
      <c r="Q353" s="58">
        <v>0</v>
      </c>
      <c r="R353" s="58">
        <v>0</v>
      </c>
      <c r="S353" s="58">
        <v>0</v>
      </c>
      <c r="T353" s="58">
        <v>0</v>
      </c>
      <c r="U353" s="58">
        <v>0</v>
      </c>
      <c r="V353" s="58">
        <v>0</v>
      </c>
      <c r="W353" s="58">
        <v>0</v>
      </c>
      <c r="X353" s="58">
        <v>0</v>
      </c>
      <c r="Y353" s="58">
        <v>7725</v>
      </c>
      <c r="Z353" s="58">
        <v>7725</v>
      </c>
      <c r="AA353" s="58">
        <v>15136.95</v>
      </c>
      <c r="AE353" s="57"/>
    </row>
    <row r="354" spans="1:31" x14ac:dyDescent="0.35">
      <c r="A354" s="56" t="s">
        <v>422</v>
      </c>
      <c r="B354" s="58">
        <v>13250</v>
      </c>
      <c r="C354" s="58" t="s">
        <v>35</v>
      </c>
      <c r="D354" s="58">
        <v>65</v>
      </c>
      <c r="E354" s="58">
        <v>2</v>
      </c>
      <c r="F354" s="58">
        <v>3.1746031746031744</v>
      </c>
      <c r="G354" s="58">
        <v>6</v>
      </c>
      <c r="H354" s="58">
        <v>79.400000000000006</v>
      </c>
      <c r="I354" s="58">
        <v>0.1</v>
      </c>
      <c r="J354" s="58">
        <v>-0.6</v>
      </c>
      <c r="K354" s="58">
        <v>-85.714285714285722</v>
      </c>
      <c r="L354" s="58">
        <v>6225</v>
      </c>
      <c r="M354" s="58">
        <v>25875</v>
      </c>
      <c r="N354" s="58">
        <v>15136.95</v>
      </c>
      <c r="O354" s="58">
        <v>13250</v>
      </c>
      <c r="P354" s="58" t="s">
        <v>35</v>
      </c>
      <c r="Q354" s="58">
        <v>1</v>
      </c>
      <c r="R354" s="58">
        <v>0</v>
      </c>
      <c r="S354" s="58">
        <v>0</v>
      </c>
      <c r="T354" s="58">
        <v>0</v>
      </c>
      <c r="U354" s="58">
        <v>0</v>
      </c>
      <c r="V354" s="58">
        <v>0</v>
      </c>
      <c r="W354" s="58">
        <v>0</v>
      </c>
      <c r="X354" s="58">
        <v>0</v>
      </c>
      <c r="Y354" s="58">
        <v>12225</v>
      </c>
      <c r="Z354" s="58">
        <v>12225</v>
      </c>
      <c r="AA354" s="58">
        <v>15136.95</v>
      </c>
      <c r="AE354" s="57"/>
    </row>
    <row r="355" spans="1:31" x14ac:dyDescent="0.35">
      <c r="A355" s="56" t="s">
        <v>423</v>
      </c>
      <c r="B355" s="58">
        <v>0</v>
      </c>
      <c r="C355" s="58">
        <v>0</v>
      </c>
      <c r="D355" s="58">
        <v>0</v>
      </c>
      <c r="E355" s="58">
        <v>0</v>
      </c>
      <c r="F355" s="58">
        <v>0</v>
      </c>
      <c r="G355" s="58">
        <v>0</v>
      </c>
      <c r="H355" s="58">
        <v>0</v>
      </c>
      <c r="I355" s="58">
        <v>0</v>
      </c>
      <c r="J355" s="58">
        <v>0</v>
      </c>
      <c r="K355" s="58">
        <v>0</v>
      </c>
      <c r="L355" s="58">
        <v>0</v>
      </c>
      <c r="M355" s="58">
        <v>0</v>
      </c>
      <c r="N355" s="58">
        <v>0</v>
      </c>
      <c r="O355" s="58">
        <v>13250</v>
      </c>
      <c r="P355" s="58" t="s">
        <v>37</v>
      </c>
      <c r="Q355" s="58">
        <v>0</v>
      </c>
      <c r="R355" s="58">
        <v>0</v>
      </c>
      <c r="S355" s="58">
        <v>0</v>
      </c>
      <c r="T355" s="58">
        <v>0</v>
      </c>
      <c r="U355" s="58">
        <v>0</v>
      </c>
      <c r="V355" s="58">
        <v>0</v>
      </c>
      <c r="W355" s="58">
        <v>0</v>
      </c>
      <c r="X355" s="58">
        <v>0</v>
      </c>
      <c r="Y355" s="58">
        <v>4875</v>
      </c>
      <c r="Z355" s="58">
        <v>4875</v>
      </c>
      <c r="AA355" s="58">
        <v>15136.95</v>
      </c>
      <c r="AE355" s="57"/>
    </row>
    <row r="356" spans="1:31" x14ac:dyDescent="0.35">
      <c r="A356" s="56" t="s">
        <v>424</v>
      </c>
      <c r="B356" s="58">
        <v>13300</v>
      </c>
      <c r="C356" s="58" t="s">
        <v>36</v>
      </c>
      <c r="D356" s="58">
        <v>0</v>
      </c>
      <c r="E356" s="58">
        <v>0</v>
      </c>
      <c r="F356" s="58">
        <v>0</v>
      </c>
      <c r="G356" s="58">
        <v>0</v>
      </c>
      <c r="H356" s="58">
        <v>0</v>
      </c>
      <c r="I356" s="58">
        <v>0</v>
      </c>
      <c r="J356" s="58">
        <v>0</v>
      </c>
      <c r="K356" s="58">
        <v>0</v>
      </c>
      <c r="L356" s="58">
        <v>1425</v>
      </c>
      <c r="M356" s="58">
        <v>300</v>
      </c>
      <c r="N356" s="58">
        <v>15136.95</v>
      </c>
      <c r="O356" s="58">
        <v>13300</v>
      </c>
      <c r="P356" s="58" t="s">
        <v>36</v>
      </c>
      <c r="Q356" s="58">
        <v>0</v>
      </c>
      <c r="R356" s="58">
        <v>0</v>
      </c>
      <c r="S356" s="58">
        <v>0</v>
      </c>
      <c r="T356" s="58">
        <v>0</v>
      </c>
      <c r="U356" s="58">
        <v>0</v>
      </c>
      <c r="V356" s="58">
        <v>0</v>
      </c>
      <c r="W356" s="58">
        <v>0</v>
      </c>
      <c r="X356" s="58">
        <v>0</v>
      </c>
      <c r="Y356" s="58">
        <v>4875</v>
      </c>
      <c r="Z356" s="58">
        <v>4875</v>
      </c>
      <c r="AA356" s="58">
        <v>15136.95</v>
      </c>
      <c r="AE356" s="57"/>
    </row>
    <row r="357" spans="1:31" x14ac:dyDescent="0.35">
      <c r="A357" s="56" t="s">
        <v>425</v>
      </c>
      <c r="B357" s="58">
        <v>13300</v>
      </c>
      <c r="C357" s="58" t="s">
        <v>37</v>
      </c>
      <c r="D357" s="58">
        <v>0</v>
      </c>
      <c r="E357" s="58">
        <v>0</v>
      </c>
      <c r="F357" s="58">
        <v>0</v>
      </c>
      <c r="G357" s="58">
        <v>0</v>
      </c>
      <c r="H357" s="58">
        <v>0</v>
      </c>
      <c r="I357" s="58">
        <v>0</v>
      </c>
      <c r="J357" s="58">
        <v>0</v>
      </c>
      <c r="K357" s="58">
        <v>0</v>
      </c>
      <c r="L357" s="58">
        <v>600</v>
      </c>
      <c r="M357" s="58">
        <v>0</v>
      </c>
      <c r="N357" s="58">
        <v>15136.95</v>
      </c>
      <c r="O357" s="58">
        <v>13300</v>
      </c>
      <c r="P357" s="58" t="s">
        <v>37</v>
      </c>
      <c r="Q357" s="58">
        <v>0</v>
      </c>
      <c r="R357" s="58">
        <v>0</v>
      </c>
      <c r="S357" s="58">
        <v>0</v>
      </c>
      <c r="T357" s="58">
        <v>0</v>
      </c>
      <c r="U357" s="58">
        <v>0</v>
      </c>
      <c r="V357" s="58">
        <v>0</v>
      </c>
      <c r="W357" s="58">
        <v>0</v>
      </c>
      <c r="X357" s="58">
        <v>0</v>
      </c>
      <c r="Y357" s="58">
        <v>4875</v>
      </c>
      <c r="Z357" s="58">
        <v>4875</v>
      </c>
      <c r="AA357" s="58">
        <v>15136.95</v>
      </c>
      <c r="AE357" s="57"/>
    </row>
    <row r="358" spans="1:31" x14ac:dyDescent="0.35">
      <c r="A358" s="56" t="s">
        <v>426</v>
      </c>
      <c r="B358" s="58">
        <v>13300</v>
      </c>
      <c r="C358" s="58" t="s">
        <v>38</v>
      </c>
      <c r="D358" s="58">
        <v>0</v>
      </c>
      <c r="E358" s="58">
        <v>0</v>
      </c>
      <c r="F358" s="58">
        <v>0</v>
      </c>
      <c r="G358" s="58">
        <v>0</v>
      </c>
      <c r="H358" s="58">
        <v>0</v>
      </c>
      <c r="I358" s="58">
        <v>0</v>
      </c>
      <c r="J358" s="58">
        <v>0</v>
      </c>
      <c r="K358" s="58">
        <v>0</v>
      </c>
      <c r="L358" s="58">
        <v>1500</v>
      </c>
      <c r="M358" s="58">
        <v>0</v>
      </c>
      <c r="N358" s="58">
        <v>15136.95</v>
      </c>
      <c r="O358" s="58">
        <v>13300</v>
      </c>
      <c r="P358" s="58" t="s">
        <v>38</v>
      </c>
      <c r="Q358" s="58">
        <v>0</v>
      </c>
      <c r="R358" s="58">
        <v>0</v>
      </c>
      <c r="S358" s="58">
        <v>0</v>
      </c>
      <c r="T358" s="58">
        <v>0</v>
      </c>
      <c r="U358" s="58">
        <v>0</v>
      </c>
      <c r="V358" s="58">
        <v>0</v>
      </c>
      <c r="W358" s="58">
        <v>0</v>
      </c>
      <c r="X358" s="58">
        <v>0</v>
      </c>
      <c r="Y358" s="58">
        <v>4875</v>
      </c>
      <c r="Z358" s="58">
        <v>4875</v>
      </c>
      <c r="AA358" s="58">
        <v>15136.95</v>
      </c>
      <c r="AE358" s="57"/>
    </row>
    <row r="359" spans="1:31" x14ac:dyDescent="0.35">
      <c r="A359" s="56" t="s">
        <v>427</v>
      </c>
      <c r="B359" s="58">
        <v>13300</v>
      </c>
      <c r="C359" s="58" t="s">
        <v>26</v>
      </c>
      <c r="D359" s="58">
        <v>272</v>
      </c>
      <c r="E359" s="58">
        <v>16</v>
      </c>
      <c r="F359" s="58">
        <v>6.25</v>
      </c>
      <c r="G359" s="58">
        <v>51</v>
      </c>
      <c r="H359" s="58">
        <v>30.83</v>
      </c>
      <c r="I359" s="58">
        <v>60</v>
      </c>
      <c r="J359" s="58">
        <v>-3.1000000000000014</v>
      </c>
      <c r="K359" s="58">
        <v>-4.9128367670364517</v>
      </c>
      <c r="L359" s="58">
        <v>14475</v>
      </c>
      <c r="M359" s="58">
        <v>8025</v>
      </c>
      <c r="N359" s="58">
        <v>15136.95</v>
      </c>
      <c r="O359" s="58">
        <v>13300</v>
      </c>
      <c r="P359" s="58" t="s">
        <v>26</v>
      </c>
      <c r="Q359" s="58">
        <v>13</v>
      </c>
      <c r="R359" s="58">
        <v>0</v>
      </c>
      <c r="S359" s="58">
        <v>0</v>
      </c>
      <c r="T359" s="58">
        <v>0</v>
      </c>
      <c r="U359" s="58">
        <v>0</v>
      </c>
      <c r="V359" s="58">
        <v>0</v>
      </c>
      <c r="W359" s="58">
        <v>0</v>
      </c>
      <c r="X359" s="58">
        <v>0</v>
      </c>
      <c r="Y359" s="58">
        <v>10050</v>
      </c>
      <c r="Z359" s="58">
        <v>10050</v>
      </c>
      <c r="AA359" s="58">
        <v>15136.95</v>
      </c>
      <c r="AE359" s="57"/>
    </row>
    <row r="360" spans="1:31" x14ac:dyDescent="0.35">
      <c r="A360" s="56" t="s">
        <v>428</v>
      </c>
      <c r="B360" s="58">
        <v>0</v>
      </c>
      <c r="C360" s="58">
        <v>0</v>
      </c>
      <c r="D360" s="58">
        <v>0</v>
      </c>
      <c r="E360" s="58">
        <v>0</v>
      </c>
      <c r="F360" s="58">
        <v>0</v>
      </c>
      <c r="G360" s="58">
        <v>0</v>
      </c>
      <c r="H360" s="58">
        <v>0</v>
      </c>
      <c r="I360" s="58">
        <v>0</v>
      </c>
      <c r="J360" s="58">
        <v>0</v>
      </c>
      <c r="K360" s="58">
        <v>0</v>
      </c>
      <c r="L360" s="58">
        <v>0</v>
      </c>
      <c r="M360" s="58">
        <v>0</v>
      </c>
      <c r="N360" s="58">
        <v>0</v>
      </c>
      <c r="O360" s="58">
        <v>13300</v>
      </c>
      <c r="P360" s="58" t="s">
        <v>67</v>
      </c>
      <c r="Q360" s="58">
        <v>0</v>
      </c>
      <c r="R360" s="58">
        <v>0</v>
      </c>
      <c r="S360" s="58">
        <v>0</v>
      </c>
      <c r="T360" s="58">
        <v>0</v>
      </c>
      <c r="U360" s="58">
        <v>0</v>
      </c>
      <c r="V360" s="58">
        <v>0</v>
      </c>
      <c r="W360" s="58">
        <v>0</v>
      </c>
      <c r="X360" s="58">
        <v>0</v>
      </c>
      <c r="Y360" s="58">
        <v>4875</v>
      </c>
      <c r="Z360" s="58">
        <v>4875</v>
      </c>
      <c r="AA360" s="58">
        <v>15136.95</v>
      </c>
      <c r="AE360" s="57"/>
    </row>
    <row r="361" spans="1:31" x14ac:dyDescent="0.35">
      <c r="A361" s="56" t="s">
        <v>429</v>
      </c>
      <c r="B361" s="58">
        <v>13300</v>
      </c>
      <c r="C361" s="58" t="s">
        <v>35</v>
      </c>
      <c r="D361" s="58">
        <v>2243</v>
      </c>
      <c r="E361" s="58">
        <v>-27</v>
      </c>
      <c r="F361" s="58">
        <v>-1.1894273127753303</v>
      </c>
      <c r="G361" s="58">
        <v>542</v>
      </c>
      <c r="H361" s="58">
        <v>81.77</v>
      </c>
      <c r="I361" s="58">
        <v>0.2</v>
      </c>
      <c r="J361" s="58">
        <v>-0.49999999999999994</v>
      </c>
      <c r="K361" s="58">
        <v>-71.428571428571431</v>
      </c>
      <c r="L361" s="58">
        <v>146700</v>
      </c>
      <c r="M361" s="58">
        <v>60225</v>
      </c>
      <c r="N361" s="58">
        <v>15136.95</v>
      </c>
      <c r="O361" s="58">
        <v>13300</v>
      </c>
      <c r="P361" s="58" t="s">
        <v>35</v>
      </c>
      <c r="Q361" s="58">
        <v>10</v>
      </c>
      <c r="R361" s="58">
        <v>-1</v>
      </c>
      <c r="S361" s="58">
        <v>-9.0909090909090917</v>
      </c>
      <c r="T361" s="58">
        <v>3</v>
      </c>
      <c r="U361" s="58">
        <v>97.23</v>
      </c>
      <c r="V361" s="58">
        <v>1850</v>
      </c>
      <c r="W361" s="58">
        <v>123.59999999999992</v>
      </c>
      <c r="X361" s="58">
        <v>7.1594068582020327</v>
      </c>
      <c r="Y361" s="58">
        <v>12600</v>
      </c>
      <c r="Z361" s="58">
        <v>12600</v>
      </c>
      <c r="AA361" s="58">
        <v>15136.95</v>
      </c>
      <c r="AE361" s="57"/>
    </row>
    <row r="362" spans="1:31" x14ac:dyDescent="0.35">
      <c r="A362" s="56" t="s">
        <v>430</v>
      </c>
      <c r="B362" s="58">
        <v>13300</v>
      </c>
      <c r="C362" s="58" t="s">
        <v>34</v>
      </c>
      <c r="D362" s="58">
        <v>204</v>
      </c>
      <c r="E362" s="58">
        <v>15</v>
      </c>
      <c r="F362" s="58">
        <v>7.9365079365079367</v>
      </c>
      <c r="G362" s="58">
        <v>136</v>
      </c>
      <c r="H362" s="58">
        <v>42.36</v>
      </c>
      <c r="I362" s="58">
        <v>3.55</v>
      </c>
      <c r="J362" s="58">
        <v>-0.90000000000000036</v>
      </c>
      <c r="K362" s="58">
        <v>-20.224719101123604</v>
      </c>
      <c r="L362" s="58">
        <v>21750</v>
      </c>
      <c r="M362" s="58">
        <v>10800</v>
      </c>
      <c r="N362" s="58">
        <v>15136.95</v>
      </c>
      <c r="O362" s="58">
        <v>13300</v>
      </c>
      <c r="P362" s="58" t="s">
        <v>34</v>
      </c>
      <c r="Q362" s="58">
        <v>2</v>
      </c>
      <c r="R362" s="58">
        <v>1</v>
      </c>
      <c r="S362" s="58">
        <v>100</v>
      </c>
      <c r="T362" s="58">
        <v>2</v>
      </c>
      <c r="U362" s="58">
        <v>0</v>
      </c>
      <c r="V362" s="58">
        <v>1840</v>
      </c>
      <c r="W362" s="58">
        <v>5</v>
      </c>
      <c r="X362" s="58">
        <v>0.27247956403269752</v>
      </c>
      <c r="Y362" s="58">
        <v>7800</v>
      </c>
      <c r="Z362" s="58">
        <v>7800</v>
      </c>
      <c r="AA362" s="58">
        <v>15136.95</v>
      </c>
      <c r="AE362" s="57"/>
    </row>
    <row r="363" spans="1:31" x14ac:dyDescent="0.35">
      <c r="A363" s="56" t="s">
        <v>431</v>
      </c>
      <c r="B363" s="58">
        <v>13300</v>
      </c>
      <c r="C363" s="58" t="s">
        <v>33</v>
      </c>
      <c r="D363" s="58">
        <v>8025</v>
      </c>
      <c r="E363" s="58">
        <v>-265</v>
      </c>
      <c r="F363" s="58">
        <v>-3.1966224366706877</v>
      </c>
      <c r="G363" s="58">
        <v>690</v>
      </c>
      <c r="H363" s="58">
        <v>34.450000000000003</v>
      </c>
      <c r="I363" s="58">
        <v>8.6</v>
      </c>
      <c r="J363" s="58">
        <v>-2.4500000000000011</v>
      </c>
      <c r="K363" s="58">
        <v>-22.171945701357473</v>
      </c>
      <c r="L363" s="58">
        <v>64500</v>
      </c>
      <c r="M363" s="58">
        <v>17325</v>
      </c>
      <c r="N363" s="58">
        <v>15136.95</v>
      </c>
      <c r="O363" s="58">
        <v>13300</v>
      </c>
      <c r="P363" s="58" t="s">
        <v>33</v>
      </c>
      <c r="Q363" s="58">
        <v>576</v>
      </c>
      <c r="R363" s="58">
        <v>0</v>
      </c>
      <c r="S363" s="58">
        <v>0</v>
      </c>
      <c r="T363" s="58">
        <v>4</v>
      </c>
      <c r="U363" s="58">
        <v>0</v>
      </c>
      <c r="V363" s="58">
        <v>1865.95</v>
      </c>
      <c r="W363" s="58">
        <v>10.950000000000044</v>
      </c>
      <c r="X363" s="58">
        <v>0.59029649595687583</v>
      </c>
      <c r="Y363" s="58">
        <v>12975</v>
      </c>
      <c r="Z363" s="58">
        <v>11775</v>
      </c>
      <c r="AA363" s="58">
        <v>15136.95</v>
      </c>
      <c r="AE363" s="57"/>
    </row>
    <row r="364" spans="1:31" x14ac:dyDescent="0.35">
      <c r="A364" s="56" t="s">
        <v>432</v>
      </c>
      <c r="B364" s="58">
        <v>13300</v>
      </c>
      <c r="C364" s="58" t="s">
        <v>2071</v>
      </c>
      <c r="D364" s="58">
        <v>4</v>
      </c>
      <c r="E364" s="58">
        <v>0</v>
      </c>
      <c r="F364" s="58">
        <v>0</v>
      </c>
      <c r="G364" s="58">
        <v>0</v>
      </c>
      <c r="H364" s="58">
        <v>0</v>
      </c>
      <c r="I364" s="58">
        <v>0</v>
      </c>
      <c r="J364" s="58">
        <v>0</v>
      </c>
      <c r="K364" s="58">
        <v>0</v>
      </c>
      <c r="L364" s="58">
        <v>1125</v>
      </c>
      <c r="M364" s="58">
        <v>0</v>
      </c>
      <c r="N364" s="58">
        <v>15136.95</v>
      </c>
      <c r="O364" s="58">
        <v>13300</v>
      </c>
      <c r="P364" s="58" t="s">
        <v>2071</v>
      </c>
      <c r="Q364" s="58">
        <v>0</v>
      </c>
      <c r="R364" s="58">
        <v>0</v>
      </c>
      <c r="S364" s="58">
        <v>0</v>
      </c>
      <c r="T364" s="58">
        <v>0</v>
      </c>
      <c r="U364" s="58">
        <v>0</v>
      </c>
      <c r="V364" s="58">
        <v>0</v>
      </c>
      <c r="W364" s="58">
        <v>0</v>
      </c>
      <c r="X364" s="58">
        <v>0</v>
      </c>
      <c r="Y364" s="58">
        <v>5400</v>
      </c>
      <c r="Z364" s="58">
        <v>4875</v>
      </c>
      <c r="AA364" s="58">
        <v>15136.95</v>
      </c>
      <c r="AE364" s="57"/>
    </row>
    <row r="365" spans="1:31" x14ac:dyDescent="0.35">
      <c r="A365" s="56" t="s">
        <v>433</v>
      </c>
      <c r="B365" s="58">
        <v>13350</v>
      </c>
      <c r="C365" s="58" t="s">
        <v>33</v>
      </c>
      <c r="D365" s="58">
        <v>164</v>
      </c>
      <c r="E365" s="58">
        <v>7</v>
      </c>
      <c r="F365" s="58">
        <v>4.4585987261146496</v>
      </c>
      <c r="G365" s="58">
        <v>29</v>
      </c>
      <c r="H365" s="58">
        <v>33.94</v>
      </c>
      <c r="I365" s="58">
        <v>9</v>
      </c>
      <c r="J365" s="58">
        <v>-2.4000000000000004</v>
      </c>
      <c r="K365" s="58">
        <v>-21.05263157894737</v>
      </c>
      <c r="L365" s="58">
        <v>54600</v>
      </c>
      <c r="M365" s="58">
        <v>9000</v>
      </c>
      <c r="N365" s="58">
        <v>15136.95</v>
      </c>
      <c r="O365" s="58">
        <v>13350</v>
      </c>
      <c r="P365" s="58" t="s">
        <v>33</v>
      </c>
      <c r="Q365" s="58">
        <v>19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14175</v>
      </c>
      <c r="Z365" s="58">
        <v>14175</v>
      </c>
      <c r="AA365" s="58">
        <v>15136.95</v>
      </c>
      <c r="AE365" s="57"/>
    </row>
    <row r="366" spans="1:31" x14ac:dyDescent="0.35">
      <c r="A366" s="56" t="s">
        <v>434</v>
      </c>
      <c r="B366" s="58">
        <v>0</v>
      </c>
      <c r="C366" s="58">
        <v>0</v>
      </c>
      <c r="D366" s="58">
        <v>0</v>
      </c>
      <c r="E366" s="58">
        <v>0</v>
      </c>
      <c r="F366" s="58">
        <v>0</v>
      </c>
      <c r="G366" s="58">
        <v>0</v>
      </c>
      <c r="H366" s="58">
        <v>0</v>
      </c>
      <c r="I366" s="58">
        <v>0</v>
      </c>
      <c r="J366" s="58">
        <v>0</v>
      </c>
      <c r="K366" s="58">
        <v>0</v>
      </c>
      <c r="L366" s="58">
        <v>0</v>
      </c>
      <c r="M366" s="58">
        <v>0</v>
      </c>
      <c r="N366" s="58">
        <v>0</v>
      </c>
      <c r="O366" s="58">
        <v>13350</v>
      </c>
      <c r="P366" s="58" t="s">
        <v>37</v>
      </c>
      <c r="Q366" s="58">
        <v>0</v>
      </c>
      <c r="R366" s="58">
        <v>0</v>
      </c>
      <c r="S366" s="58">
        <v>0</v>
      </c>
      <c r="T366" s="58">
        <v>0</v>
      </c>
      <c r="U366" s="58">
        <v>0</v>
      </c>
      <c r="V366" s="58">
        <v>0</v>
      </c>
      <c r="W366" s="58">
        <v>0</v>
      </c>
      <c r="X366" s="58">
        <v>0</v>
      </c>
      <c r="Y366" s="58">
        <v>4875</v>
      </c>
      <c r="Z366" s="58">
        <v>4875</v>
      </c>
      <c r="AA366" s="58">
        <v>15136.95</v>
      </c>
      <c r="AE366" s="57"/>
    </row>
    <row r="367" spans="1:31" x14ac:dyDescent="0.35">
      <c r="A367" s="56" t="s">
        <v>435</v>
      </c>
      <c r="B367" s="58">
        <v>0</v>
      </c>
      <c r="C367" s="58">
        <v>0</v>
      </c>
      <c r="D367" s="58">
        <v>0</v>
      </c>
      <c r="E367" s="58">
        <v>0</v>
      </c>
      <c r="F367" s="58">
        <v>0</v>
      </c>
      <c r="G367" s="58">
        <v>0</v>
      </c>
      <c r="H367" s="58">
        <v>0</v>
      </c>
      <c r="I367" s="58">
        <v>0</v>
      </c>
      <c r="J367" s="58">
        <v>0</v>
      </c>
      <c r="K367" s="58">
        <v>0</v>
      </c>
      <c r="L367" s="58">
        <v>0</v>
      </c>
      <c r="M367" s="58">
        <v>0</v>
      </c>
      <c r="N367" s="58">
        <v>0</v>
      </c>
      <c r="O367" s="58">
        <v>13350</v>
      </c>
      <c r="P367" s="58" t="s">
        <v>38</v>
      </c>
      <c r="Q367" s="58">
        <v>0</v>
      </c>
      <c r="R367" s="58">
        <v>0</v>
      </c>
      <c r="S367" s="58">
        <v>0</v>
      </c>
      <c r="T367" s="58">
        <v>0</v>
      </c>
      <c r="U367" s="58">
        <v>0</v>
      </c>
      <c r="V367" s="58">
        <v>0</v>
      </c>
      <c r="W367" s="58">
        <v>0</v>
      </c>
      <c r="X367" s="58">
        <v>0</v>
      </c>
      <c r="Y367" s="58">
        <v>4875</v>
      </c>
      <c r="Z367" s="58">
        <v>4875</v>
      </c>
      <c r="AA367" s="58">
        <v>15136.95</v>
      </c>
      <c r="AE367" s="57"/>
    </row>
    <row r="368" spans="1:31" x14ac:dyDescent="0.35">
      <c r="A368" s="56" t="s">
        <v>436</v>
      </c>
      <c r="B368" s="58">
        <v>13350</v>
      </c>
      <c r="C368" s="58" t="s">
        <v>26</v>
      </c>
      <c r="D368" s="58">
        <v>16</v>
      </c>
      <c r="E368" s="58">
        <v>0</v>
      </c>
      <c r="F368" s="58">
        <v>0</v>
      </c>
      <c r="G368" s="58">
        <v>0</v>
      </c>
      <c r="H368" s="58">
        <v>0</v>
      </c>
      <c r="I368" s="58">
        <v>0</v>
      </c>
      <c r="J368" s="58">
        <v>0</v>
      </c>
      <c r="K368" s="58">
        <v>0</v>
      </c>
      <c r="L368" s="58">
        <v>300</v>
      </c>
      <c r="M368" s="58">
        <v>0</v>
      </c>
      <c r="N368" s="58">
        <v>15136.95</v>
      </c>
      <c r="O368" s="58">
        <v>13350</v>
      </c>
      <c r="P368" s="58" t="s">
        <v>26</v>
      </c>
      <c r="Q368" s="58">
        <v>1</v>
      </c>
      <c r="R368" s="58">
        <v>0</v>
      </c>
      <c r="S368" s="58">
        <v>0</v>
      </c>
      <c r="T368" s="58">
        <v>0</v>
      </c>
      <c r="U368" s="58">
        <v>0</v>
      </c>
      <c r="V368" s="58">
        <v>0</v>
      </c>
      <c r="W368" s="58">
        <v>0</v>
      </c>
      <c r="X368" s="58">
        <v>0</v>
      </c>
      <c r="Y368" s="58">
        <v>12675</v>
      </c>
      <c r="Z368" s="58">
        <v>7725</v>
      </c>
      <c r="AA368" s="58">
        <v>15136.95</v>
      </c>
      <c r="AE368" s="57"/>
    </row>
    <row r="369" spans="1:31" x14ac:dyDescent="0.35">
      <c r="A369" s="56" t="s">
        <v>437</v>
      </c>
      <c r="B369" s="58">
        <v>0</v>
      </c>
      <c r="C369" s="58">
        <v>0</v>
      </c>
      <c r="D369" s="58">
        <v>0</v>
      </c>
      <c r="E369" s="58">
        <v>0</v>
      </c>
      <c r="F369" s="58">
        <v>0</v>
      </c>
      <c r="G369" s="58">
        <v>0</v>
      </c>
      <c r="H369" s="58">
        <v>0</v>
      </c>
      <c r="I369" s="58">
        <v>0</v>
      </c>
      <c r="J369" s="58">
        <v>0</v>
      </c>
      <c r="K369" s="58">
        <v>0</v>
      </c>
      <c r="L369" s="58">
        <v>0</v>
      </c>
      <c r="M369" s="58">
        <v>0</v>
      </c>
      <c r="N369" s="58">
        <v>0</v>
      </c>
      <c r="O369" s="58">
        <v>13350</v>
      </c>
      <c r="P369" s="58" t="s">
        <v>67</v>
      </c>
      <c r="Q369" s="58">
        <v>0</v>
      </c>
      <c r="R369" s="58">
        <v>0</v>
      </c>
      <c r="S369" s="58">
        <v>0</v>
      </c>
      <c r="T369" s="58">
        <v>0</v>
      </c>
      <c r="U369" s="58">
        <v>0</v>
      </c>
      <c r="V369" s="58">
        <v>0</v>
      </c>
      <c r="W369" s="58">
        <v>0</v>
      </c>
      <c r="X369" s="58">
        <v>0</v>
      </c>
      <c r="Y369" s="58">
        <v>4875</v>
      </c>
      <c r="Z369" s="58">
        <v>4875</v>
      </c>
      <c r="AA369" s="58">
        <v>15136.95</v>
      </c>
      <c r="AE369" s="57"/>
    </row>
    <row r="370" spans="1:31" x14ac:dyDescent="0.35">
      <c r="A370" s="56" t="s">
        <v>438</v>
      </c>
      <c r="B370" s="58">
        <v>0</v>
      </c>
      <c r="C370" s="58">
        <v>0</v>
      </c>
      <c r="D370" s="58">
        <v>0</v>
      </c>
      <c r="E370" s="58">
        <v>0</v>
      </c>
      <c r="F370" s="58">
        <v>0</v>
      </c>
      <c r="G370" s="58">
        <v>0</v>
      </c>
      <c r="H370" s="58">
        <v>0</v>
      </c>
      <c r="I370" s="58">
        <v>0</v>
      </c>
      <c r="J370" s="58">
        <v>0</v>
      </c>
      <c r="K370" s="58">
        <v>0</v>
      </c>
      <c r="L370" s="58">
        <v>0</v>
      </c>
      <c r="M370" s="58">
        <v>0</v>
      </c>
      <c r="N370" s="58">
        <v>0</v>
      </c>
      <c r="O370" s="58">
        <v>13350</v>
      </c>
      <c r="P370" s="58" t="s">
        <v>2071</v>
      </c>
      <c r="Q370" s="58">
        <v>0</v>
      </c>
      <c r="R370" s="58">
        <v>0</v>
      </c>
      <c r="S370" s="58">
        <v>0</v>
      </c>
      <c r="T370" s="58">
        <v>0</v>
      </c>
      <c r="U370" s="58">
        <v>0</v>
      </c>
      <c r="V370" s="58">
        <v>0</v>
      </c>
      <c r="W370" s="58">
        <v>0</v>
      </c>
      <c r="X370" s="58">
        <v>0</v>
      </c>
      <c r="Y370" s="58">
        <v>5400</v>
      </c>
      <c r="Z370" s="58">
        <v>4875</v>
      </c>
      <c r="AA370" s="58">
        <v>15136.95</v>
      </c>
      <c r="AE370" s="57"/>
    </row>
    <row r="371" spans="1:31" x14ac:dyDescent="0.35">
      <c r="A371" s="56" t="s">
        <v>439</v>
      </c>
      <c r="B371" s="58">
        <v>13350</v>
      </c>
      <c r="C371" s="58" t="s">
        <v>35</v>
      </c>
      <c r="D371" s="58">
        <v>152</v>
      </c>
      <c r="E371" s="58">
        <v>23</v>
      </c>
      <c r="F371" s="58">
        <v>17.829457364341085</v>
      </c>
      <c r="G371" s="58">
        <v>118</v>
      </c>
      <c r="H371" s="58">
        <v>77.72</v>
      </c>
      <c r="I371" s="58">
        <v>0.15</v>
      </c>
      <c r="J371" s="58">
        <v>-0.2</v>
      </c>
      <c r="K371" s="58">
        <v>-57.142857142857139</v>
      </c>
      <c r="L371" s="58">
        <v>17400</v>
      </c>
      <c r="M371" s="58">
        <v>29925</v>
      </c>
      <c r="N371" s="58">
        <v>15136.95</v>
      </c>
      <c r="O371" s="58">
        <v>13350</v>
      </c>
      <c r="P371" s="58" t="s">
        <v>35</v>
      </c>
      <c r="Q371" s="58">
        <v>1</v>
      </c>
      <c r="R371" s="58">
        <v>0</v>
      </c>
      <c r="S371" s="58">
        <v>0</v>
      </c>
      <c r="T371" s="58">
        <v>0</v>
      </c>
      <c r="U371" s="58">
        <v>0</v>
      </c>
      <c r="V371" s="58">
        <v>0</v>
      </c>
      <c r="W371" s="58">
        <v>0</v>
      </c>
      <c r="X371" s="58">
        <v>0</v>
      </c>
      <c r="Y371" s="58">
        <v>12225</v>
      </c>
      <c r="Z371" s="58">
        <v>12225</v>
      </c>
      <c r="AA371" s="58">
        <v>15136.95</v>
      </c>
      <c r="AE371" s="57"/>
    </row>
    <row r="372" spans="1:31" x14ac:dyDescent="0.35">
      <c r="A372" s="56" t="s">
        <v>440</v>
      </c>
      <c r="B372" s="58">
        <v>13350</v>
      </c>
      <c r="C372" s="58" t="s">
        <v>34</v>
      </c>
      <c r="D372" s="58">
        <v>13</v>
      </c>
      <c r="E372" s="58">
        <v>0</v>
      </c>
      <c r="F372" s="58">
        <v>0</v>
      </c>
      <c r="G372" s="58">
        <v>0</v>
      </c>
      <c r="H372" s="58">
        <v>0</v>
      </c>
      <c r="I372" s="58">
        <v>0</v>
      </c>
      <c r="J372" s="58">
        <v>0</v>
      </c>
      <c r="K372" s="58">
        <v>0</v>
      </c>
      <c r="L372" s="58">
        <v>15675</v>
      </c>
      <c r="M372" s="58">
        <v>0</v>
      </c>
      <c r="N372" s="58">
        <v>15136.95</v>
      </c>
      <c r="O372" s="58">
        <v>13350</v>
      </c>
      <c r="P372" s="58" t="s">
        <v>34</v>
      </c>
      <c r="Q372" s="58">
        <v>0</v>
      </c>
      <c r="R372" s="58">
        <v>0</v>
      </c>
      <c r="S372" s="58">
        <v>0</v>
      </c>
      <c r="T372" s="58">
        <v>0</v>
      </c>
      <c r="U372" s="58">
        <v>0</v>
      </c>
      <c r="V372" s="58">
        <v>0</v>
      </c>
      <c r="W372" s="58">
        <v>0</v>
      </c>
      <c r="X372" s="58">
        <v>0</v>
      </c>
      <c r="Y372" s="58">
        <v>7725</v>
      </c>
      <c r="Z372" s="58">
        <v>7725</v>
      </c>
      <c r="AA372" s="58">
        <v>15136.95</v>
      </c>
      <c r="AE372" s="57"/>
    </row>
    <row r="373" spans="1:31" x14ac:dyDescent="0.35">
      <c r="A373" s="56" t="s">
        <v>441</v>
      </c>
      <c r="B373" s="58">
        <v>13350</v>
      </c>
      <c r="C373" s="58" t="s">
        <v>36</v>
      </c>
      <c r="D373" s="58">
        <v>0</v>
      </c>
      <c r="E373" s="58">
        <v>0</v>
      </c>
      <c r="F373" s="58">
        <v>0</v>
      </c>
      <c r="G373" s="58">
        <v>0</v>
      </c>
      <c r="H373" s="58">
        <v>0</v>
      </c>
      <c r="I373" s="58">
        <v>0</v>
      </c>
      <c r="J373" s="58">
        <v>0</v>
      </c>
      <c r="K373" s="58">
        <v>0</v>
      </c>
      <c r="L373" s="58">
        <v>600</v>
      </c>
      <c r="M373" s="58">
        <v>0</v>
      </c>
      <c r="N373" s="58">
        <v>15136.95</v>
      </c>
      <c r="O373" s="58">
        <v>13350</v>
      </c>
      <c r="P373" s="58" t="s">
        <v>36</v>
      </c>
      <c r="Q373" s="58">
        <v>0</v>
      </c>
      <c r="R373" s="58">
        <v>0</v>
      </c>
      <c r="S373" s="58">
        <v>0</v>
      </c>
      <c r="T373" s="58">
        <v>0</v>
      </c>
      <c r="U373" s="58">
        <v>0</v>
      </c>
      <c r="V373" s="58">
        <v>0</v>
      </c>
      <c r="W373" s="58">
        <v>0</v>
      </c>
      <c r="X373" s="58">
        <v>0</v>
      </c>
      <c r="Y373" s="58">
        <v>4875</v>
      </c>
      <c r="Z373" s="58">
        <v>4875</v>
      </c>
      <c r="AA373" s="58">
        <v>15136.95</v>
      </c>
      <c r="AE373" s="57"/>
    </row>
    <row r="374" spans="1:31" x14ac:dyDescent="0.35">
      <c r="A374" s="56" t="s">
        <v>442</v>
      </c>
      <c r="B374" s="58">
        <v>13400</v>
      </c>
      <c r="C374" s="58" t="s">
        <v>33</v>
      </c>
      <c r="D374" s="58">
        <v>13594</v>
      </c>
      <c r="E374" s="58">
        <v>-3</v>
      </c>
      <c r="F374" s="58">
        <v>-2.2063690519967639E-2</v>
      </c>
      <c r="G374" s="58">
        <v>897</v>
      </c>
      <c r="H374" s="58">
        <v>33.6</v>
      </c>
      <c r="I374" s="58">
        <v>10.050000000000001</v>
      </c>
      <c r="J374" s="58">
        <v>-2.6499999999999986</v>
      </c>
      <c r="K374" s="58">
        <v>-20.866141732283456</v>
      </c>
      <c r="L374" s="58">
        <v>66450</v>
      </c>
      <c r="M374" s="58">
        <v>27450</v>
      </c>
      <c r="N374" s="58">
        <v>15136.95</v>
      </c>
      <c r="O374" s="58">
        <v>13400</v>
      </c>
      <c r="P374" s="58" t="s">
        <v>33</v>
      </c>
      <c r="Q374" s="58">
        <v>572</v>
      </c>
      <c r="R374" s="58">
        <v>0</v>
      </c>
      <c r="S374" s="58">
        <v>0</v>
      </c>
      <c r="T374" s="58">
        <v>1</v>
      </c>
      <c r="U374" s="58">
        <v>0</v>
      </c>
      <c r="V374" s="58">
        <v>1741.9</v>
      </c>
      <c r="W374" s="58">
        <v>74.5</v>
      </c>
      <c r="X374" s="58">
        <v>4.4680340650113948</v>
      </c>
      <c r="Y374" s="58">
        <v>16275</v>
      </c>
      <c r="Z374" s="58">
        <v>14325</v>
      </c>
      <c r="AA374" s="58">
        <v>15136.95</v>
      </c>
      <c r="AE374" s="57"/>
    </row>
    <row r="375" spans="1:31" x14ac:dyDescent="0.35">
      <c r="A375" s="56" t="s">
        <v>443</v>
      </c>
      <c r="B375" s="58">
        <v>13400</v>
      </c>
      <c r="C375" s="58" t="s">
        <v>37</v>
      </c>
      <c r="D375" s="58">
        <v>0</v>
      </c>
      <c r="E375" s="58">
        <v>0</v>
      </c>
      <c r="F375" s="58">
        <v>0</v>
      </c>
      <c r="G375" s="58">
        <v>0</v>
      </c>
      <c r="H375" s="58">
        <v>0</v>
      </c>
      <c r="I375" s="58">
        <v>0</v>
      </c>
      <c r="J375" s="58">
        <v>0</v>
      </c>
      <c r="K375" s="58">
        <v>0</v>
      </c>
      <c r="L375" s="58">
        <v>600</v>
      </c>
      <c r="M375" s="58">
        <v>0</v>
      </c>
      <c r="N375" s="58">
        <v>15136.95</v>
      </c>
      <c r="O375" s="58">
        <v>13400</v>
      </c>
      <c r="P375" s="58" t="s">
        <v>37</v>
      </c>
      <c r="Q375" s="58">
        <v>0</v>
      </c>
      <c r="R375" s="58">
        <v>0</v>
      </c>
      <c r="S375" s="58">
        <v>0</v>
      </c>
      <c r="T375" s="58">
        <v>0</v>
      </c>
      <c r="U375" s="58">
        <v>0</v>
      </c>
      <c r="V375" s="58">
        <v>0</v>
      </c>
      <c r="W375" s="58">
        <v>0</v>
      </c>
      <c r="X375" s="58">
        <v>0</v>
      </c>
      <c r="Y375" s="58">
        <v>4875</v>
      </c>
      <c r="Z375" s="58">
        <v>4875</v>
      </c>
      <c r="AA375" s="58">
        <v>15136.95</v>
      </c>
      <c r="AE375" s="57"/>
    </row>
    <row r="376" spans="1:31" x14ac:dyDescent="0.35">
      <c r="A376" s="56" t="s">
        <v>444</v>
      </c>
      <c r="B376" s="58">
        <v>13400</v>
      </c>
      <c r="C376" s="58" t="s">
        <v>38</v>
      </c>
      <c r="D376" s="58">
        <v>0</v>
      </c>
      <c r="E376" s="58">
        <v>0</v>
      </c>
      <c r="F376" s="58">
        <v>0</v>
      </c>
      <c r="G376" s="58">
        <v>0</v>
      </c>
      <c r="H376" s="58">
        <v>0</v>
      </c>
      <c r="I376" s="58">
        <v>0</v>
      </c>
      <c r="J376" s="58">
        <v>0</v>
      </c>
      <c r="K376" s="58">
        <v>0</v>
      </c>
      <c r="L376" s="58">
        <v>600</v>
      </c>
      <c r="M376" s="58">
        <v>0</v>
      </c>
      <c r="N376" s="58">
        <v>15136.95</v>
      </c>
      <c r="O376" s="58">
        <v>13400</v>
      </c>
      <c r="P376" s="58" t="s">
        <v>38</v>
      </c>
      <c r="Q376" s="58">
        <v>0</v>
      </c>
      <c r="R376" s="58">
        <v>0</v>
      </c>
      <c r="S376" s="58">
        <v>0</v>
      </c>
      <c r="T376" s="58">
        <v>0</v>
      </c>
      <c r="U376" s="58">
        <v>0</v>
      </c>
      <c r="V376" s="58">
        <v>0</v>
      </c>
      <c r="W376" s="58">
        <v>0</v>
      </c>
      <c r="X376" s="58">
        <v>0</v>
      </c>
      <c r="Y376" s="58">
        <v>4875</v>
      </c>
      <c r="Z376" s="58">
        <v>4875</v>
      </c>
      <c r="AA376" s="58">
        <v>15136.95</v>
      </c>
      <c r="AE376" s="57"/>
    </row>
    <row r="377" spans="1:31" x14ac:dyDescent="0.35">
      <c r="A377" s="56" t="s">
        <v>445</v>
      </c>
      <c r="B377" s="58">
        <v>13400</v>
      </c>
      <c r="C377" s="58" t="s">
        <v>26</v>
      </c>
      <c r="D377" s="58">
        <v>265</v>
      </c>
      <c r="E377" s="58">
        <v>-2</v>
      </c>
      <c r="F377" s="58">
        <v>-0.74906367041198507</v>
      </c>
      <c r="G377" s="58">
        <v>13</v>
      </c>
      <c r="H377" s="58">
        <v>30.41</v>
      </c>
      <c r="I377" s="58">
        <v>66.7</v>
      </c>
      <c r="J377" s="58">
        <v>-3.25</v>
      </c>
      <c r="K377" s="58">
        <v>-4.6461758398856325</v>
      </c>
      <c r="L377" s="58">
        <v>17925</v>
      </c>
      <c r="M377" s="58">
        <v>8100</v>
      </c>
      <c r="N377" s="58">
        <v>15136.95</v>
      </c>
      <c r="O377" s="58">
        <v>13400</v>
      </c>
      <c r="P377" s="58" t="s">
        <v>26</v>
      </c>
      <c r="Q377" s="58">
        <v>22</v>
      </c>
      <c r="R377" s="58">
        <v>0</v>
      </c>
      <c r="S377" s="58">
        <v>0</v>
      </c>
      <c r="T377" s="58">
        <v>0</v>
      </c>
      <c r="U377" s="58">
        <v>0</v>
      </c>
      <c r="V377" s="58">
        <v>0</v>
      </c>
      <c r="W377" s="58">
        <v>0</v>
      </c>
      <c r="X377" s="58">
        <v>0</v>
      </c>
      <c r="Y377" s="58">
        <v>10050</v>
      </c>
      <c r="Z377" s="58">
        <v>10050</v>
      </c>
      <c r="AA377" s="58">
        <v>15136.95</v>
      </c>
      <c r="AE377" s="57"/>
    </row>
    <row r="378" spans="1:31" x14ac:dyDescent="0.35">
      <c r="A378" s="56" t="s">
        <v>446</v>
      </c>
      <c r="B378" s="58">
        <v>0</v>
      </c>
      <c r="C378" s="58">
        <v>0</v>
      </c>
      <c r="D378" s="58">
        <v>0</v>
      </c>
      <c r="E378" s="58">
        <v>0</v>
      </c>
      <c r="F378" s="58">
        <v>0</v>
      </c>
      <c r="G378" s="58">
        <v>0</v>
      </c>
      <c r="H378" s="58">
        <v>0</v>
      </c>
      <c r="I378" s="58">
        <v>0</v>
      </c>
      <c r="J378" s="58">
        <v>0</v>
      </c>
      <c r="K378" s="58">
        <v>0</v>
      </c>
      <c r="L378" s="58">
        <v>0</v>
      </c>
      <c r="M378" s="58">
        <v>0</v>
      </c>
      <c r="N378" s="58">
        <v>0</v>
      </c>
      <c r="O378" s="58">
        <v>13400</v>
      </c>
      <c r="P378" s="58" t="s">
        <v>67</v>
      </c>
      <c r="Q378" s="58">
        <v>0</v>
      </c>
      <c r="R378" s="58">
        <v>0</v>
      </c>
      <c r="S378" s="58">
        <v>0</v>
      </c>
      <c r="T378" s="58">
        <v>0</v>
      </c>
      <c r="U378" s="58">
        <v>0</v>
      </c>
      <c r="V378" s="58">
        <v>0</v>
      </c>
      <c r="W378" s="58">
        <v>0</v>
      </c>
      <c r="X378" s="58">
        <v>0</v>
      </c>
      <c r="Y378" s="58">
        <v>4875</v>
      </c>
      <c r="Z378" s="58">
        <v>4875</v>
      </c>
      <c r="AA378" s="58">
        <v>15136.95</v>
      </c>
      <c r="AE378" s="57"/>
    </row>
    <row r="379" spans="1:31" x14ac:dyDescent="0.35">
      <c r="A379" s="56" t="s">
        <v>447</v>
      </c>
      <c r="B379" s="58">
        <v>0</v>
      </c>
      <c r="C379" s="58">
        <v>0</v>
      </c>
      <c r="D379" s="58">
        <v>0</v>
      </c>
      <c r="E379" s="58">
        <v>0</v>
      </c>
      <c r="F379" s="58">
        <v>0</v>
      </c>
      <c r="G379" s="58">
        <v>0</v>
      </c>
      <c r="H379" s="58">
        <v>0</v>
      </c>
      <c r="I379" s="58">
        <v>0</v>
      </c>
      <c r="J379" s="58">
        <v>0</v>
      </c>
      <c r="K379" s="58">
        <v>0</v>
      </c>
      <c r="L379" s="58">
        <v>0</v>
      </c>
      <c r="M379" s="58">
        <v>0</v>
      </c>
      <c r="N379" s="58">
        <v>0</v>
      </c>
      <c r="O379" s="58">
        <v>13400</v>
      </c>
      <c r="P379" s="58" t="s">
        <v>2074</v>
      </c>
      <c r="Q379" s="58">
        <v>0</v>
      </c>
      <c r="R379" s="58">
        <v>0</v>
      </c>
      <c r="S379" s="58">
        <v>0</v>
      </c>
      <c r="T379" s="58">
        <v>0</v>
      </c>
      <c r="U379" s="58">
        <v>0</v>
      </c>
      <c r="V379" s="58">
        <v>0</v>
      </c>
      <c r="W379" s="58">
        <v>0</v>
      </c>
      <c r="X379" s="58">
        <v>0</v>
      </c>
      <c r="Y379" s="58">
        <v>4875</v>
      </c>
      <c r="Z379" s="58">
        <v>4875</v>
      </c>
      <c r="AA379" s="58">
        <v>15136.95</v>
      </c>
      <c r="AE379" s="57"/>
    </row>
    <row r="380" spans="1:31" x14ac:dyDescent="0.35">
      <c r="A380" s="56" t="s">
        <v>448</v>
      </c>
      <c r="B380" s="58">
        <v>13400</v>
      </c>
      <c r="C380" s="58" t="s">
        <v>2071</v>
      </c>
      <c r="D380" s="58">
        <v>0</v>
      </c>
      <c r="E380" s="58">
        <v>0</v>
      </c>
      <c r="F380" s="58">
        <v>0</v>
      </c>
      <c r="G380" s="58">
        <v>0</v>
      </c>
      <c r="H380" s="58">
        <v>0</v>
      </c>
      <c r="I380" s="58">
        <v>0</v>
      </c>
      <c r="J380" s="58">
        <v>0</v>
      </c>
      <c r="K380" s="58">
        <v>0</v>
      </c>
      <c r="L380" s="58">
        <v>1575</v>
      </c>
      <c r="M380" s="58">
        <v>0</v>
      </c>
      <c r="N380" s="58">
        <v>15136.95</v>
      </c>
      <c r="O380" s="58">
        <v>13400</v>
      </c>
      <c r="P380" s="58" t="s">
        <v>2071</v>
      </c>
      <c r="Q380" s="58">
        <v>0</v>
      </c>
      <c r="R380" s="58">
        <v>0</v>
      </c>
      <c r="S380" s="58">
        <v>0</v>
      </c>
      <c r="T380" s="58">
        <v>0</v>
      </c>
      <c r="U380" s="58">
        <v>0</v>
      </c>
      <c r="V380" s="58">
        <v>0</v>
      </c>
      <c r="W380" s="58">
        <v>0</v>
      </c>
      <c r="X380" s="58">
        <v>0</v>
      </c>
      <c r="Y380" s="58">
        <v>5400</v>
      </c>
      <c r="Z380" s="58">
        <v>4875</v>
      </c>
      <c r="AA380" s="58">
        <v>15136.95</v>
      </c>
      <c r="AE380" s="57"/>
    </row>
    <row r="381" spans="1:31" x14ac:dyDescent="0.35">
      <c r="A381" s="56" t="s">
        <v>449</v>
      </c>
      <c r="B381" s="58">
        <v>13400</v>
      </c>
      <c r="C381" s="58" t="s">
        <v>34</v>
      </c>
      <c r="D381" s="58">
        <v>3206</v>
      </c>
      <c r="E381" s="58">
        <v>123</v>
      </c>
      <c r="F381" s="58">
        <v>3.9896204995134608</v>
      </c>
      <c r="G381" s="58">
        <v>1588</v>
      </c>
      <c r="H381" s="58">
        <v>40.909999999999997</v>
      </c>
      <c r="I381" s="58">
        <v>4</v>
      </c>
      <c r="J381" s="58">
        <v>-1.4000000000000004</v>
      </c>
      <c r="K381" s="58">
        <v>-25.925925925925931</v>
      </c>
      <c r="L381" s="58">
        <v>73800</v>
      </c>
      <c r="M381" s="58">
        <v>13950</v>
      </c>
      <c r="N381" s="58">
        <v>15136.95</v>
      </c>
      <c r="O381" s="58">
        <v>13400</v>
      </c>
      <c r="P381" s="58" t="s">
        <v>34</v>
      </c>
      <c r="Q381" s="58">
        <v>1</v>
      </c>
      <c r="R381" s="58">
        <v>1</v>
      </c>
      <c r="S381" s="58">
        <v>0</v>
      </c>
      <c r="T381" s="58">
        <v>2</v>
      </c>
      <c r="U381" s="58">
        <v>0</v>
      </c>
      <c r="V381" s="58">
        <v>1735</v>
      </c>
      <c r="W381" s="58">
        <v>839.5</v>
      </c>
      <c r="X381" s="58">
        <v>93.746510329424922</v>
      </c>
      <c r="Y381" s="58">
        <v>7800</v>
      </c>
      <c r="Z381" s="58">
        <v>7800</v>
      </c>
      <c r="AA381" s="58">
        <v>15136.95</v>
      </c>
      <c r="AE381" s="57"/>
    </row>
    <row r="382" spans="1:31" x14ac:dyDescent="0.35">
      <c r="A382" s="56" t="s">
        <v>450</v>
      </c>
      <c r="B382" s="58">
        <v>13400</v>
      </c>
      <c r="C382" s="58" t="s">
        <v>35</v>
      </c>
      <c r="D382" s="58">
        <v>6593</v>
      </c>
      <c r="E382" s="58">
        <v>-72</v>
      </c>
      <c r="F382" s="58">
        <v>-1.0802700675168793</v>
      </c>
      <c r="G382" s="58">
        <v>1004</v>
      </c>
      <c r="H382" s="58">
        <v>77.430000000000007</v>
      </c>
      <c r="I382" s="58">
        <v>0.2</v>
      </c>
      <c r="J382" s="58">
        <v>-0.60000000000000009</v>
      </c>
      <c r="K382" s="58">
        <v>-75.000000000000014</v>
      </c>
      <c r="L382" s="58">
        <v>218625</v>
      </c>
      <c r="M382" s="58">
        <v>60375</v>
      </c>
      <c r="N382" s="58">
        <v>15136.95</v>
      </c>
      <c r="O382" s="58">
        <v>13400</v>
      </c>
      <c r="P382" s="58" t="s">
        <v>35</v>
      </c>
      <c r="Q382" s="58">
        <v>20</v>
      </c>
      <c r="R382" s="58">
        <v>-4</v>
      </c>
      <c r="S382" s="58">
        <v>-16.666666666666668</v>
      </c>
      <c r="T382" s="58">
        <v>5</v>
      </c>
      <c r="U382" s="58">
        <v>0</v>
      </c>
      <c r="V382" s="58">
        <v>1735</v>
      </c>
      <c r="W382" s="58">
        <v>127.75</v>
      </c>
      <c r="X382" s="58">
        <v>7.9483589982890024</v>
      </c>
      <c r="Y382" s="58">
        <v>9600</v>
      </c>
      <c r="Z382" s="58">
        <v>12825</v>
      </c>
      <c r="AA382" s="58">
        <v>15136.95</v>
      </c>
      <c r="AE382" s="57"/>
    </row>
    <row r="383" spans="1:31" x14ac:dyDescent="0.35">
      <c r="A383" s="56" t="s">
        <v>451</v>
      </c>
      <c r="B383" s="58">
        <v>13400</v>
      </c>
      <c r="C383" s="58" t="s">
        <v>36</v>
      </c>
      <c r="D383" s="58">
        <v>0</v>
      </c>
      <c r="E383" s="58">
        <v>0</v>
      </c>
      <c r="F383" s="58">
        <v>0</v>
      </c>
      <c r="G383" s="58">
        <v>0</v>
      </c>
      <c r="H383" s="58">
        <v>0</v>
      </c>
      <c r="I383" s="58">
        <v>0</v>
      </c>
      <c r="J383" s="58">
        <v>0</v>
      </c>
      <c r="K383" s="58">
        <v>0</v>
      </c>
      <c r="L383" s="58">
        <v>2625</v>
      </c>
      <c r="M383" s="58">
        <v>300</v>
      </c>
      <c r="N383" s="58">
        <v>15136.95</v>
      </c>
      <c r="O383" s="58">
        <v>13400</v>
      </c>
      <c r="P383" s="58" t="s">
        <v>36</v>
      </c>
      <c r="Q383" s="58">
        <v>0</v>
      </c>
      <c r="R383" s="58">
        <v>0</v>
      </c>
      <c r="S383" s="58">
        <v>0</v>
      </c>
      <c r="T383" s="58">
        <v>0</v>
      </c>
      <c r="U383" s="58">
        <v>0</v>
      </c>
      <c r="V383" s="58">
        <v>0</v>
      </c>
      <c r="W383" s="58">
        <v>0</v>
      </c>
      <c r="X383" s="58">
        <v>0</v>
      </c>
      <c r="Y383" s="58">
        <v>4875</v>
      </c>
      <c r="Z383" s="58">
        <v>4875</v>
      </c>
      <c r="AA383" s="58">
        <v>15136.95</v>
      </c>
      <c r="AE383" s="57"/>
    </row>
    <row r="384" spans="1:31" x14ac:dyDescent="0.35">
      <c r="A384" s="56" t="s">
        <v>452</v>
      </c>
      <c r="B384" s="58">
        <v>13450</v>
      </c>
      <c r="C384" s="58" t="s">
        <v>33</v>
      </c>
      <c r="D384" s="58">
        <v>208</v>
      </c>
      <c r="E384" s="58">
        <v>10</v>
      </c>
      <c r="F384" s="58">
        <v>5.0505050505050502</v>
      </c>
      <c r="G384" s="58">
        <v>72</v>
      </c>
      <c r="H384" s="58">
        <v>33.06</v>
      </c>
      <c r="I384" s="58">
        <v>10.9</v>
      </c>
      <c r="J384" s="58">
        <v>-2.9000000000000004</v>
      </c>
      <c r="K384" s="58">
        <v>-21.014492753623191</v>
      </c>
      <c r="L384" s="58">
        <v>61125</v>
      </c>
      <c r="M384" s="58">
        <v>16200</v>
      </c>
      <c r="N384" s="58">
        <v>15136.95</v>
      </c>
      <c r="O384" s="58">
        <v>13450</v>
      </c>
      <c r="P384" s="58" t="s">
        <v>33</v>
      </c>
      <c r="Q384" s="58">
        <v>72</v>
      </c>
      <c r="R384" s="58">
        <v>0</v>
      </c>
      <c r="S384" s="58">
        <v>0</v>
      </c>
      <c r="T384" s="58">
        <v>0</v>
      </c>
      <c r="U384" s="58">
        <v>0</v>
      </c>
      <c r="V384" s="58">
        <v>0</v>
      </c>
      <c r="W384" s="58">
        <v>0</v>
      </c>
      <c r="X384" s="58">
        <v>0</v>
      </c>
      <c r="Y384" s="58">
        <v>14250</v>
      </c>
      <c r="Z384" s="58">
        <v>14250</v>
      </c>
      <c r="AA384" s="58">
        <v>15136.95</v>
      </c>
      <c r="AE384" s="57"/>
    </row>
    <row r="385" spans="1:31" x14ac:dyDescent="0.35">
      <c r="A385" s="56" t="s">
        <v>453</v>
      </c>
      <c r="B385" s="58">
        <v>13450</v>
      </c>
      <c r="C385" s="58" t="s">
        <v>36</v>
      </c>
      <c r="D385" s="58">
        <v>0</v>
      </c>
      <c r="E385" s="58">
        <v>0</v>
      </c>
      <c r="F385" s="58">
        <v>0</v>
      </c>
      <c r="G385" s="58">
        <v>0</v>
      </c>
      <c r="H385" s="58">
        <v>0</v>
      </c>
      <c r="I385" s="58">
        <v>0</v>
      </c>
      <c r="J385" s="58">
        <v>0</v>
      </c>
      <c r="K385" s="58">
        <v>0</v>
      </c>
      <c r="L385" s="58">
        <v>75</v>
      </c>
      <c r="M385" s="58">
        <v>0</v>
      </c>
      <c r="N385" s="58">
        <v>15136.95</v>
      </c>
      <c r="O385" s="58">
        <v>13450</v>
      </c>
      <c r="P385" s="58" t="s">
        <v>36</v>
      </c>
      <c r="Q385" s="58">
        <v>0</v>
      </c>
      <c r="R385" s="58">
        <v>0</v>
      </c>
      <c r="S385" s="58">
        <v>0</v>
      </c>
      <c r="T385" s="58">
        <v>0</v>
      </c>
      <c r="U385" s="58">
        <v>0</v>
      </c>
      <c r="V385" s="58">
        <v>0</v>
      </c>
      <c r="W385" s="58">
        <v>0</v>
      </c>
      <c r="X385" s="58">
        <v>0</v>
      </c>
      <c r="Y385" s="58">
        <v>4875</v>
      </c>
      <c r="Z385" s="58">
        <v>4875</v>
      </c>
      <c r="AA385" s="58">
        <v>15136.95</v>
      </c>
      <c r="AE385" s="57"/>
    </row>
    <row r="386" spans="1:31" x14ac:dyDescent="0.35">
      <c r="A386" s="56" t="s">
        <v>454</v>
      </c>
      <c r="B386" s="58">
        <v>0</v>
      </c>
      <c r="C386" s="58">
        <v>0</v>
      </c>
      <c r="D386" s="58">
        <v>0</v>
      </c>
      <c r="E386" s="58">
        <v>0</v>
      </c>
      <c r="F386" s="58">
        <v>0</v>
      </c>
      <c r="G386" s="58">
        <v>0</v>
      </c>
      <c r="H386" s="58">
        <v>0</v>
      </c>
      <c r="I386" s="58">
        <v>0</v>
      </c>
      <c r="J386" s="58">
        <v>0</v>
      </c>
      <c r="K386" s="58">
        <v>0</v>
      </c>
      <c r="L386" s="58">
        <v>0</v>
      </c>
      <c r="M386" s="58">
        <v>0</v>
      </c>
      <c r="N386" s="58">
        <v>0</v>
      </c>
      <c r="O386" s="58">
        <v>13450</v>
      </c>
      <c r="P386" s="58" t="s">
        <v>37</v>
      </c>
      <c r="Q386" s="58">
        <v>0</v>
      </c>
      <c r="R386" s="58">
        <v>0</v>
      </c>
      <c r="S386" s="58">
        <v>0</v>
      </c>
      <c r="T386" s="58">
        <v>0</v>
      </c>
      <c r="U386" s="58">
        <v>0</v>
      </c>
      <c r="V386" s="58">
        <v>0</v>
      </c>
      <c r="W386" s="58">
        <v>0</v>
      </c>
      <c r="X386" s="58">
        <v>0</v>
      </c>
      <c r="Y386" s="58">
        <v>4875</v>
      </c>
      <c r="Z386" s="58">
        <v>4875</v>
      </c>
      <c r="AA386" s="58">
        <v>15136.95</v>
      </c>
      <c r="AE386" s="57"/>
    </row>
    <row r="387" spans="1:31" x14ac:dyDescent="0.35">
      <c r="A387" s="56" t="s">
        <v>455</v>
      </c>
      <c r="B387" s="58">
        <v>0</v>
      </c>
      <c r="C387" s="58">
        <v>0</v>
      </c>
      <c r="D387" s="58">
        <v>0</v>
      </c>
      <c r="E387" s="58">
        <v>0</v>
      </c>
      <c r="F387" s="58">
        <v>0</v>
      </c>
      <c r="G387" s="58">
        <v>0</v>
      </c>
      <c r="H387" s="58">
        <v>0</v>
      </c>
      <c r="I387" s="58">
        <v>0</v>
      </c>
      <c r="J387" s="58">
        <v>0</v>
      </c>
      <c r="K387" s="58">
        <v>0</v>
      </c>
      <c r="L387" s="58">
        <v>0</v>
      </c>
      <c r="M387" s="58">
        <v>0</v>
      </c>
      <c r="N387" s="58">
        <v>0</v>
      </c>
      <c r="O387" s="58">
        <v>13450</v>
      </c>
      <c r="P387" s="58" t="s">
        <v>38</v>
      </c>
      <c r="Q387" s="58">
        <v>0</v>
      </c>
      <c r="R387" s="58">
        <v>0</v>
      </c>
      <c r="S387" s="58">
        <v>0</v>
      </c>
      <c r="T387" s="58">
        <v>0</v>
      </c>
      <c r="U387" s="58">
        <v>0</v>
      </c>
      <c r="V387" s="58">
        <v>0</v>
      </c>
      <c r="W387" s="58">
        <v>0</v>
      </c>
      <c r="X387" s="58">
        <v>0</v>
      </c>
      <c r="Y387" s="58">
        <v>4875</v>
      </c>
      <c r="Z387" s="58">
        <v>4875</v>
      </c>
      <c r="AA387" s="58">
        <v>15136.95</v>
      </c>
      <c r="AE387" s="57"/>
    </row>
    <row r="388" spans="1:31" x14ac:dyDescent="0.35">
      <c r="A388" s="56" t="s">
        <v>456</v>
      </c>
      <c r="B388" s="58">
        <v>13450</v>
      </c>
      <c r="C388" s="58" t="s">
        <v>26</v>
      </c>
      <c r="D388" s="58">
        <v>11</v>
      </c>
      <c r="E388" s="58">
        <v>0</v>
      </c>
      <c r="F388" s="58">
        <v>0</v>
      </c>
      <c r="G388" s="58">
        <v>0</v>
      </c>
      <c r="H388" s="58">
        <v>0</v>
      </c>
      <c r="I388" s="58">
        <v>0</v>
      </c>
      <c r="J388" s="58">
        <v>0</v>
      </c>
      <c r="K388" s="58">
        <v>0</v>
      </c>
      <c r="L388" s="58">
        <v>0</v>
      </c>
      <c r="M388" s="58">
        <v>0</v>
      </c>
      <c r="N388" s="58">
        <v>15136.95</v>
      </c>
      <c r="O388" s="58">
        <v>13450</v>
      </c>
      <c r="P388" s="58" t="s">
        <v>26</v>
      </c>
      <c r="Q388" s="58">
        <v>1</v>
      </c>
      <c r="R388" s="58">
        <v>0</v>
      </c>
      <c r="S388" s="58">
        <v>0</v>
      </c>
      <c r="T388" s="58">
        <v>0</v>
      </c>
      <c r="U388" s="58">
        <v>0</v>
      </c>
      <c r="V388" s="58">
        <v>0</v>
      </c>
      <c r="W388" s="58">
        <v>0</v>
      </c>
      <c r="X388" s="58">
        <v>0</v>
      </c>
      <c r="Y388" s="58">
        <v>12675</v>
      </c>
      <c r="Z388" s="58">
        <v>7725</v>
      </c>
      <c r="AA388" s="58">
        <v>15136.95</v>
      </c>
      <c r="AE388" s="57"/>
    </row>
    <row r="389" spans="1:31" x14ac:dyDescent="0.35">
      <c r="A389" s="56" t="s">
        <v>457</v>
      </c>
      <c r="B389" s="58">
        <v>0</v>
      </c>
      <c r="C389" s="58">
        <v>0</v>
      </c>
      <c r="D389" s="58">
        <v>0</v>
      </c>
      <c r="E389" s="58">
        <v>0</v>
      </c>
      <c r="F389" s="58">
        <v>0</v>
      </c>
      <c r="G389" s="58">
        <v>0</v>
      </c>
      <c r="H389" s="58">
        <v>0</v>
      </c>
      <c r="I389" s="58">
        <v>0</v>
      </c>
      <c r="J389" s="58">
        <v>0</v>
      </c>
      <c r="K389" s="58">
        <v>0</v>
      </c>
      <c r="L389" s="58">
        <v>0</v>
      </c>
      <c r="M389" s="58">
        <v>0</v>
      </c>
      <c r="N389" s="58">
        <v>0</v>
      </c>
      <c r="O389" s="58">
        <v>13450</v>
      </c>
      <c r="P389" s="58" t="s">
        <v>67</v>
      </c>
      <c r="Q389" s="58">
        <v>0</v>
      </c>
      <c r="R389" s="58">
        <v>0</v>
      </c>
      <c r="S389" s="58">
        <v>0</v>
      </c>
      <c r="T389" s="58">
        <v>0</v>
      </c>
      <c r="U389" s="58">
        <v>0</v>
      </c>
      <c r="V389" s="58">
        <v>0</v>
      </c>
      <c r="W389" s="58">
        <v>0</v>
      </c>
      <c r="X389" s="58">
        <v>0</v>
      </c>
      <c r="Y389" s="58">
        <v>4875</v>
      </c>
      <c r="Z389" s="58">
        <v>4875</v>
      </c>
      <c r="AA389" s="58">
        <v>15136.95</v>
      </c>
      <c r="AE389" s="57"/>
    </row>
    <row r="390" spans="1:31" x14ac:dyDescent="0.35">
      <c r="A390" s="56" t="s">
        <v>458</v>
      </c>
      <c r="B390" s="58">
        <v>0</v>
      </c>
      <c r="C390" s="58">
        <v>0</v>
      </c>
      <c r="D390" s="58">
        <v>0</v>
      </c>
      <c r="E390" s="58">
        <v>0</v>
      </c>
      <c r="F390" s="58">
        <v>0</v>
      </c>
      <c r="G390" s="58">
        <v>0</v>
      </c>
      <c r="H390" s="58">
        <v>0</v>
      </c>
      <c r="I390" s="58">
        <v>0</v>
      </c>
      <c r="J390" s="58">
        <v>0</v>
      </c>
      <c r="K390" s="58">
        <v>0</v>
      </c>
      <c r="L390" s="58">
        <v>0</v>
      </c>
      <c r="M390" s="58">
        <v>0</v>
      </c>
      <c r="N390" s="58">
        <v>0</v>
      </c>
      <c r="O390" s="58">
        <v>13450</v>
      </c>
      <c r="P390" s="58" t="s">
        <v>2074</v>
      </c>
      <c r="Q390" s="58">
        <v>0</v>
      </c>
      <c r="R390" s="58">
        <v>0</v>
      </c>
      <c r="S390" s="58">
        <v>0</v>
      </c>
      <c r="T390" s="58">
        <v>0</v>
      </c>
      <c r="U390" s="58">
        <v>0</v>
      </c>
      <c r="V390" s="58">
        <v>0</v>
      </c>
      <c r="W390" s="58">
        <v>0</v>
      </c>
      <c r="X390" s="58">
        <v>0</v>
      </c>
      <c r="Y390" s="58">
        <v>4875</v>
      </c>
      <c r="Z390" s="58">
        <v>4875</v>
      </c>
      <c r="AA390" s="58">
        <v>15136.95</v>
      </c>
      <c r="AE390" s="57"/>
    </row>
    <row r="391" spans="1:31" x14ac:dyDescent="0.35">
      <c r="A391" s="56" t="s">
        <v>459</v>
      </c>
      <c r="B391" s="58">
        <v>0</v>
      </c>
      <c r="C391" s="58">
        <v>0</v>
      </c>
      <c r="D391" s="58">
        <v>0</v>
      </c>
      <c r="E391" s="58">
        <v>0</v>
      </c>
      <c r="F391" s="58">
        <v>0</v>
      </c>
      <c r="G391" s="58">
        <v>0</v>
      </c>
      <c r="H391" s="58">
        <v>0</v>
      </c>
      <c r="I391" s="58">
        <v>0</v>
      </c>
      <c r="J391" s="58">
        <v>0</v>
      </c>
      <c r="K391" s="58">
        <v>0</v>
      </c>
      <c r="L391" s="58">
        <v>0</v>
      </c>
      <c r="M391" s="58">
        <v>0</v>
      </c>
      <c r="N391" s="58">
        <v>0</v>
      </c>
      <c r="O391" s="58">
        <v>13450</v>
      </c>
      <c r="P391" s="58" t="s">
        <v>2071</v>
      </c>
      <c r="Q391" s="58">
        <v>0</v>
      </c>
      <c r="R391" s="58">
        <v>0</v>
      </c>
      <c r="S391" s="58">
        <v>0</v>
      </c>
      <c r="T391" s="58">
        <v>0</v>
      </c>
      <c r="U391" s="58">
        <v>0</v>
      </c>
      <c r="V391" s="58">
        <v>0</v>
      </c>
      <c r="W391" s="58">
        <v>0</v>
      </c>
      <c r="X391" s="58">
        <v>0</v>
      </c>
      <c r="Y391" s="58">
        <v>5400</v>
      </c>
      <c r="Z391" s="58">
        <v>4875</v>
      </c>
      <c r="AA391" s="58">
        <v>15136.95</v>
      </c>
      <c r="AE391" s="57"/>
    </row>
    <row r="392" spans="1:31" x14ac:dyDescent="0.35">
      <c r="A392" s="56" t="s">
        <v>460</v>
      </c>
      <c r="B392" s="58">
        <v>13450</v>
      </c>
      <c r="C392" s="58" t="s">
        <v>35</v>
      </c>
      <c r="D392" s="58">
        <v>209</v>
      </c>
      <c r="E392" s="58">
        <v>37</v>
      </c>
      <c r="F392" s="58">
        <v>21.511627906976745</v>
      </c>
      <c r="G392" s="58">
        <v>95</v>
      </c>
      <c r="H392" s="58">
        <v>73.48</v>
      </c>
      <c r="I392" s="58">
        <v>0.15</v>
      </c>
      <c r="J392" s="58">
        <v>-0.45</v>
      </c>
      <c r="K392" s="58">
        <v>-75</v>
      </c>
      <c r="L392" s="58">
        <v>25125</v>
      </c>
      <c r="M392" s="58">
        <v>31350</v>
      </c>
      <c r="N392" s="58">
        <v>15136.95</v>
      </c>
      <c r="O392" s="58">
        <v>13450</v>
      </c>
      <c r="P392" s="58" t="s">
        <v>35</v>
      </c>
      <c r="Q392" s="58">
        <v>8</v>
      </c>
      <c r="R392" s="58">
        <v>0</v>
      </c>
      <c r="S392" s="58">
        <v>0</v>
      </c>
      <c r="T392" s="58">
        <v>0</v>
      </c>
      <c r="U392" s="58">
        <v>0</v>
      </c>
      <c r="V392" s="58">
        <v>0</v>
      </c>
      <c r="W392" s="58">
        <v>0</v>
      </c>
      <c r="X392" s="58">
        <v>0</v>
      </c>
      <c r="Y392" s="58">
        <v>7200</v>
      </c>
      <c r="Z392" s="58">
        <v>12225</v>
      </c>
      <c r="AA392" s="58">
        <v>15136.95</v>
      </c>
      <c r="AE392" s="57"/>
    </row>
    <row r="393" spans="1:31" x14ac:dyDescent="0.35">
      <c r="A393" s="56" t="s">
        <v>461</v>
      </c>
      <c r="B393" s="58">
        <v>13450</v>
      </c>
      <c r="C393" s="58" t="s">
        <v>34</v>
      </c>
      <c r="D393" s="58">
        <v>45</v>
      </c>
      <c r="E393" s="58">
        <v>-2</v>
      </c>
      <c r="F393" s="58">
        <v>-4.2553191489361701</v>
      </c>
      <c r="G393" s="58">
        <v>4</v>
      </c>
      <c r="H393" s="58">
        <v>39.979999999999997</v>
      </c>
      <c r="I393" s="58">
        <v>4.0999999999999996</v>
      </c>
      <c r="J393" s="58">
        <v>-1.2000000000000002</v>
      </c>
      <c r="K393" s="58">
        <v>-22.641509433962263</v>
      </c>
      <c r="L393" s="58">
        <v>9525</v>
      </c>
      <c r="M393" s="58">
        <v>5325</v>
      </c>
      <c r="N393" s="58">
        <v>15136.95</v>
      </c>
      <c r="O393" s="58">
        <v>13450</v>
      </c>
      <c r="P393" s="58" t="s">
        <v>34</v>
      </c>
      <c r="Q393" s="58">
        <v>0</v>
      </c>
      <c r="R393" s="58">
        <v>0</v>
      </c>
      <c r="S393" s="58">
        <v>0</v>
      </c>
      <c r="T393" s="58">
        <v>0</v>
      </c>
      <c r="U393" s="58">
        <v>0</v>
      </c>
      <c r="V393" s="58">
        <v>0</v>
      </c>
      <c r="W393" s="58">
        <v>0</v>
      </c>
      <c r="X393" s="58">
        <v>0</v>
      </c>
      <c r="Y393" s="58">
        <v>7725</v>
      </c>
      <c r="Z393" s="58">
        <v>7725</v>
      </c>
      <c r="AA393" s="58">
        <v>15136.95</v>
      </c>
      <c r="AE393" s="57"/>
    </row>
    <row r="394" spans="1:31" x14ac:dyDescent="0.35">
      <c r="A394" s="56" t="s">
        <v>462</v>
      </c>
      <c r="B394" s="58">
        <v>13500</v>
      </c>
      <c r="C394" s="58" t="s">
        <v>34</v>
      </c>
      <c r="D394" s="58">
        <v>7633</v>
      </c>
      <c r="E394" s="58">
        <v>2686</v>
      </c>
      <c r="F394" s="58">
        <v>54.295532646048109</v>
      </c>
      <c r="G394" s="58">
        <v>8470</v>
      </c>
      <c r="H394" s="58">
        <v>39.04</v>
      </c>
      <c r="I394" s="58">
        <v>4.0999999999999996</v>
      </c>
      <c r="J394" s="58">
        <v>-1.6000000000000003</v>
      </c>
      <c r="K394" s="58">
        <v>-28.0701754385965</v>
      </c>
      <c r="L394" s="58">
        <v>361575</v>
      </c>
      <c r="M394" s="58">
        <v>58725</v>
      </c>
      <c r="N394" s="58">
        <v>15136.95</v>
      </c>
      <c r="O394" s="58">
        <v>13500</v>
      </c>
      <c r="P394" s="58" t="s">
        <v>34</v>
      </c>
      <c r="Q394" s="58">
        <v>13</v>
      </c>
      <c r="R394" s="58">
        <v>0</v>
      </c>
      <c r="S394" s="58">
        <v>0</v>
      </c>
      <c r="T394" s="58">
        <v>5</v>
      </c>
      <c r="U394" s="58">
        <v>0</v>
      </c>
      <c r="V394" s="58">
        <v>1635</v>
      </c>
      <c r="W394" s="58">
        <v>5.5999999999999091</v>
      </c>
      <c r="X394" s="58">
        <v>0.34368479194795071</v>
      </c>
      <c r="Y394" s="58">
        <v>6600</v>
      </c>
      <c r="Z394" s="58">
        <v>6675</v>
      </c>
      <c r="AA394" s="58">
        <v>15136.95</v>
      </c>
      <c r="AE394" s="57"/>
    </row>
    <row r="395" spans="1:31" x14ac:dyDescent="0.35">
      <c r="A395" s="56" t="s">
        <v>463</v>
      </c>
      <c r="B395" s="58">
        <v>13500</v>
      </c>
      <c r="C395" s="58" t="s">
        <v>33</v>
      </c>
      <c r="D395" s="58">
        <v>30086</v>
      </c>
      <c r="E395" s="58">
        <v>324</v>
      </c>
      <c r="F395" s="58">
        <v>1.0886365163631475</v>
      </c>
      <c r="G395" s="58">
        <v>1682</v>
      </c>
      <c r="H395" s="58">
        <v>32.909999999999997</v>
      </c>
      <c r="I395" s="58">
        <v>11.95</v>
      </c>
      <c r="J395" s="58">
        <v>-2.8500000000000014</v>
      </c>
      <c r="K395" s="58">
        <v>-19.256756756756765</v>
      </c>
      <c r="L395" s="58">
        <v>105750</v>
      </c>
      <c r="M395" s="58">
        <v>55800</v>
      </c>
      <c r="N395" s="58">
        <v>15136.95</v>
      </c>
      <c r="O395" s="58">
        <v>13500</v>
      </c>
      <c r="P395" s="58" t="s">
        <v>33</v>
      </c>
      <c r="Q395" s="58">
        <v>6504</v>
      </c>
      <c r="R395" s="58">
        <v>-3</v>
      </c>
      <c r="S395" s="58">
        <v>-4.6104195481788846E-2</v>
      </c>
      <c r="T395" s="58">
        <v>21</v>
      </c>
      <c r="U395" s="58">
        <v>0</v>
      </c>
      <c r="V395" s="58">
        <v>1655</v>
      </c>
      <c r="W395" s="58">
        <v>16.700000000000045</v>
      </c>
      <c r="X395" s="58">
        <v>1.0193493255203592</v>
      </c>
      <c r="Y395" s="58">
        <v>19725</v>
      </c>
      <c r="Z395" s="58">
        <v>16725</v>
      </c>
      <c r="AA395" s="58">
        <v>15136.95</v>
      </c>
      <c r="AE395" s="57"/>
    </row>
    <row r="396" spans="1:31" x14ac:dyDescent="0.35">
      <c r="A396" s="56" t="s">
        <v>464</v>
      </c>
      <c r="B396" s="58">
        <v>13500</v>
      </c>
      <c r="C396" s="58" t="s">
        <v>37</v>
      </c>
      <c r="D396" s="58">
        <v>9</v>
      </c>
      <c r="E396" s="58">
        <v>0</v>
      </c>
      <c r="F396" s="58">
        <v>0</v>
      </c>
      <c r="G396" s="58">
        <v>0</v>
      </c>
      <c r="H396" s="58">
        <v>0</v>
      </c>
      <c r="I396" s="58">
        <v>0</v>
      </c>
      <c r="J396" s="58">
        <v>0</v>
      </c>
      <c r="K396" s="58">
        <v>0</v>
      </c>
      <c r="L396" s="58">
        <v>2025</v>
      </c>
      <c r="M396" s="58">
        <v>225</v>
      </c>
      <c r="N396" s="58">
        <v>15136.95</v>
      </c>
      <c r="O396" s="58">
        <v>13500</v>
      </c>
      <c r="P396" s="58" t="s">
        <v>37</v>
      </c>
      <c r="Q396" s="58">
        <v>0</v>
      </c>
      <c r="R396" s="58">
        <v>0</v>
      </c>
      <c r="S396" s="58">
        <v>0</v>
      </c>
      <c r="T396" s="58">
        <v>0</v>
      </c>
      <c r="U396" s="58">
        <v>0</v>
      </c>
      <c r="V396" s="58">
        <v>0</v>
      </c>
      <c r="W396" s="58">
        <v>0</v>
      </c>
      <c r="X396" s="58">
        <v>0</v>
      </c>
      <c r="Y396" s="58">
        <v>4875</v>
      </c>
      <c r="Z396" s="58">
        <v>4875</v>
      </c>
      <c r="AA396" s="58">
        <v>15136.95</v>
      </c>
      <c r="AE396" s="57"/>
    </row>
    <row r="397" spans="1:31" x14ac:dyDescent="0.35">
      <c r="A397" s="56" t="s">
        <v>465</v>
      </c>
      <c r="B397" s="58">
        <v>13500</v>
      </c>
      <c r="C397" s="58" t="s">
        <v>38</v>
      </c>
      <c r="D397" s="58">
        <v>0</v>
      </c>
      <c r="E397" s="58">
        <v>0</v>
      </c>
      <c r="F397" s="58">
        <v>0</v>
      </c>
      <c r="G397" s="58">
        <v>0</v>
      </c>
      <c r="H397" s="58">
        <v>0</v>
      </c>
      <c r="I397" s="58">
        <v>0</v>
      </c>
      <c r="J397" s="58">
        <v>0</v>
      </c>
      <c r="K397" s="58">
        <v>0</v>
      </c>
      <c r="L397" s="58">
        <v>600</v>
      </c>
      <c r="M397" s="58">
        <v>0</v>
      </c>
      <c r="N397" s="58">
        <v>15136.95</v>
      </c>
      <c r="O397" s="58">
        <v>13500</v>
      </c>
      <c r="P397" s="58" t="s">
        <v>38</v>
      </c>
      <c r="Q397" s="58">
        <v>0</v>
      </c>
      <c r="R397" s="58">
        <v>0</v>
      </c>
      <c r="S397" s="58">
        <v>0</v>
      </c>
      <c r="T397" s="58">
        <v>0</v>
      </c>
      <c r="U397" s="58">
        <v>0</v>
      </c>
      <c r="V397" s="58">
        <v>0</v>
      </c>
      <c r="W397" s="58">
        <v>0</v>
      </c>
      <c r="X397" s="58">
        <v>0</v>
      </c>
      <c r="Y397" s="58">
        <v>4875</v>
      </c>
      <c r="Z397" s="58">
        <v>4875</v>
      </c>
      <c r="AA397" s="58">
        <v>15136.95</v>
      </c>
      <c r="AE397" s="57"/>
    </row>
    <row r="398" spans="1:31" x14ac:dyDescent="0.35">
      <c r="A398" s="56" t="s">
        <v>466</v>
      </c>
      <c r="B398" s="58">
        <v>13500</v>
      </c>
      <c r="C398" s="58" t="s">
        <v>26</v>
      </c>
      <c r="D398" s="58">
        <v>13374</v>
      </c>
      <c r="E398" s="58">
        <v>-71</v>
      </c>
      <c r="F398" s="58">
        <v>-0.52807735217552998</v>
      </c>
      <c r="G398" s="58">
        <v>673</v>
      </c>
      <c r="H398" s="58">
        <v>29.67</v>
      </c>
      <c r="I398" s="58">
        <v>72.45</v>
      </c>
      <c r="J398" s="58">
        <v>-6.25</v>
      </c>
      <c r="K398" s="58">
        <v>-7.941550190597205</v>
      </c>
      <c r="L398" s="58">
        <v>44550</v>
      </c>
      <c r="M398" s="58">
        <v>21675</v>
      </c>
      <c r="N398" s="58">
        <v>15136.95</v>
      </c>
      <c r="O398" s="58">
        <v>13500</v>
      </c>
      <c r="P398" s="58" t="s">
        <v>26</v>
      </c>
      <c r="Q398" s="58">
        <v>2599</v>
      </c>
      <c r="R398" s="58">
        <v>0</v>
      </c>
      <c r="S398" s="58">
        <v>0</v>
      </c>
      <c r="T398" s="58">
        <v>8</v>
      </c>
      <c r="U398" s="58">
        <v>0</v>
      </c>
      <c r="V398" s="58">
        <v>1740</v>
      </c>
      <c r="W398" s="58">
        <v>18.950000000000045</v>
      </c>
      <c r="X398" s="58">
        <v>1.1010720199878008</v>
      </c>
      <c r="Y398" s="58">
        <v>12450</v>
      </c>
      <c r="Z398" s="58">
        <v>14250</v>
      </c>
      <c r="AA398" s="58">
        <v>15136.95</v>
      </c>
      <c r="AE398" s="57"/>
    </row>
    <row r="399" spans="1:31" x14ac:dyDescent="0.35">
      <c r="A399" s="56" t="s">
        <v>467</v>
      </c>
      <c r="B399" s="58">
        <v>0</v>
      </c>
      <c r="C399" s="58">
        <v>0</v>
      </c>
      <c r="D399" s="58">
        <v>0</v>
      </c>
      <c r="E399" s="58">
        <v>0</v>
      </c>
      <c r="F399" s="58">
        <v>0</v>
      </c>
      <c r="G399" s="58">
        <v>0</v>
      </c>
      <c r="H399" s="58">
        <v>0</v>
      </c>
      <c r="I399" s="58">
        <v>0</v>
      </c>
      <c r="J399" s="58">
        <v>0</v>
      </c>
      <c r="K399" s="58">
        <v>0</v>
      </c>
      <c r="L399" s="58">
        <v>0</v>
      </c>
      <c r="M399" s="58">
        <v>0</v>
      </c>
      <c r="N399" s="58">
        <v>0</v>
      </c>
      <c r="O399" s="58">
        <v>13500</v>
      </c>
      <c r="P399" s="58" t="s">
        <v>67</v>
      </c>
      <c r="Q399" s="58">
        <v>0</v>
      </c>
      <c r="R399" s="58">
        <v>0</v>
      </c>
      <c r="S399" s="58">
        <v>0</v>
      </c>
      <c r="T399" s="58">
        <v>0</v>
      </c>
      <c r="U399" s="58">
        <v>0</v>
      </c>
      <c r="V399" s="58">
        <v>0</v>
      </c>
      <c r="W399" s="58">
        <v>0</v>
      </c>
      <c r="X399" s="58">
        <v>0</v>
      </c>
      <c r="Y399" s="58">
        <v>4875</v>
      </c>
      <c r="Z399" s="58">
        <v>4875</v>
      </c>
      <c r="AA399" s="58">
        <v>15136.95</v>
      </c>
      <c r="AE399" s="57"/>
    </row>
    <row r="400" spans="1:31" x14ac:dyDescent="0.35">
      <c r="A400" s="56" t="s">
        <v>468</v>
      </c>
      <c r="B400" s="58">
        <v>0</v>
      </c>
      <c r="C400" s="58">
        <v>0</v>
      </c>
      <c r="D400" s="58">
        <v>0</v>
      </c>
      <c r="E400" s="58">
        <v>0</v>
      </c>
      <c r="F400" s="58">
        <v>0</v>
      </c>
      <c r="G400" s="58">
        <v>0</v>
      </c>
      <c r="H400" s="58">
        <v>0</v>
      </c>
      <c r="I400" s="58">
        <v>0</v>
      </c>
      <c r="J400" s="58">
        <v>0</v>
      </c>
      <c r="K400" s="58">
        <v>0</v>
      </c>
      <c r="L400" s="58">
        <v>0</v>
      </c>
      <c r="M400" s="58">
        <v>0</v>
      </c>
      <c r="N400" s="58">
        <v>0</v>
      </c>
      <c r="O400" s="58">
        <v>13500</v>
      </c>
      <c r="P400" s="58" t="s">
        <v>2074</v>
      </c>
      <c r="Q400" s="58">
        <v>0</v>
      </c>
      <c r="R400" s="58">
        <v>0</v>
      </c>
      <c r="S400" s="58">
        <v>0</v>
      </c>
      <c r="T400" s="58">
        <v>0</v>
      </c>
      <c r="U400" s="58">
        <v>0</v>
      </c>
      <c r="V400" s="58">
        <v>0</v>
      </c>
      <c r="W400" s="58">
        <v>0</v>
      </c>
      <c r="X400" s="58">
        <v>0</v>
      </c>
      <c r="Y400" s="58">
        <v>4875</v>
      </c>
      <c r="Z400" s="58">
        <v>4875</v>
      </c>
      <c r="AA400" s="58">
        <v>15136.95</v>
      </c>
      <c r="AE400" s="57"/>
    </row>
    <row r="401" spans="1:31" x14ac:dyDescent="0.35">
      <c r="A401" s="56" t="s">
        <v>469</v>
      </c>
      <c r="B401" s="58">
        <v>13500</v>
      </c>
      <c r="C401" s="58" t="s">
        <v>2071</v>
      </c>
      <c r="D401" s="58">
        <v>1001</v>
      </c>
      <c r="E401" s="58">
        <v>-2</v>
      </c>
      <c r="F401" s="58">
        <v>-0.19940179461615151</v>
      </c>
      <c r="G401" s="58">
        <v>85</v>
      </c>
      <c r="H401" s="58">
        <v>27.77</v>
      </c>
      <c r="I401" s="58">
        <v>132</v>
      </c>
      <c r="J401" s="58">
        <v>-4.0999999999999943</v>
      </c>
      <c r="K401" s="58">
        <v>-3.0124908155767778</v>
      </c>
      <c r="L401" s="58">
        <v>18750</v>
      </c>
      <c r="M401" s="58">
        <v>6600</v>
      </c>
      <c r="N401" s="58">
        <v>15136.95</v>
      </c>
      <c r="O401" s="58">
        <v>13500</v>
      </c>
      <c r="P401" s="58" t="s">
        <v>2071</v>
      </c>
      <c r="Q401" s="58">
        <v>16</v>
      </c>
      <c r="R401" s="58">
        <v>0</v>
      </c>
      <c r="S401" s="58">
        <v>0</v>
      </c>
      <c r="T401" s="58">
        <v>0</v>
      </c>
      <c r="U401" s="58">
        <v>0</v>
      </c>
      <c r="V401" s="58">
        <v>0</v>
      </c>
      <c r="W401" s="58">
        <v>0</v>
      </c>
      <c r="X401" s="58">
        <v>0</v>
      </c>
      <c r="Y401" s="58">
        <v>12450</v>
      </c>
      <c r="Z401" s="58">
        <v>10875</v>
      </c>
      <c r="AA401" s="58">
        <v>15136.95</v>
      </c>
      <c r="AE401" s="57"/>
    </row>
    <row r="402" spans="1:31" x14ac:dyDescent="0.35">
      <c r="A402" s="56" t="s">
        <v>470</v>
      </c>
      <c r="B402" s="58">
        <v>13500</v>
      </c>
      <c r="C402" s="58" t="s">
        <v>27</v>
      </c>
      <c r="D402" s="58">
        <v>6</v>
      </c>
      <c r="E402" s="58">
        <v>0</v>
      </c>
      <c r="F402" s="58">
        <v>0</v>
      </c>
      <c r="G402" s="58">
        <v>0</v>
      </c>
      <c r="H402" s="58">
        <v>0</v>
      </c>
      <c r="I402" s="58">
        <v>0</v>
      </c>
      <c r="J402" s="58">
        <v>0</v>
      </c>
      <c r="K402" s="58">
        <v>0</v>
      </c>
      <c r="L402" s="58">
        <v>10050</v>
      </c>
      <c r="M402" s="58">
        <v>0</v>
      </c>
      <c r="N402" s="58">
        <v>15136.95</v>
      </c>
      <c r="O402" s="58">
        <v>13500</v>
      </c>
      <c r="P402" s="58" t="s">
        <v>27</v>
      </c>
      <c r="Q402" s="58">
        <v>172</v>
      </c>
      <c r="R402" s="58">
        <v>0</v>
      </c>
      <c r="S402" s="58">
        <v>0</v>
      </c>
      <c r="T402" s="58">
        <v>0</v>
      </c>
      <c r="U402" s="58">
        <v>0</v>
      </c>
      <c r="V402" s="58">
        <v>0</v>
      </c>
      <c r="W402" s="58">
        <v>0</v>
      </c>
      <c r="X402" s="58">
        <v>0</v>
      </c>
      <c r="Y402" s="58">
        <v>3225</v>
      </c>
      <c r="Z402" s="58">
        <v>225</v>
      </c>
      <c r="AA402" s="58">
        <v>15136.95</v>
      </c>
      <c r="AE402" s="57"/>
    </row>
    <row r="403" spans="1:31" x14ac:dyDescent="0.35">
      <c r="A403" s="56" t="s">
        <v>471</v>
      </c>
      <c r="B403" s="58">
        <v>13500</v>
      </c>
      <c r="C403" s="58" t="s">
        <v>31</v>
      </c>
      <c r="D403" s="58">
        <v>0</v>
      </c>
      <c r="E403" s="58">
        <v>0</v>
      </c>
      <c r="F403" s="58">
        <v>0</v>
      </c>
      <c r="G403" s="58">
        <v>0</v>
      </c>
      <c r="H403" s="58">
        <v>0</v>
      </c>
      <c r="I403" s="58">
        <v>0</v>
      </c>
      <c r="J403" s="58">
        <v>0</v>
      </c>
      <c r="K403" s="58">
        <v>0</v>
      </c>
      <c r="L403" s="58">
        <v>3900</v>
      </c>
      <c r="M403" s="58">
        <v>0</v>
      </c>
      <c r="N403" s="58">
        <v>15136.95</v>
      </c>
      <c r="O403" s="58">
        <v>13500</v>
      </c>
      <c r="P403" s="58" t="s">
        <v>31</v>
      </c>
      <c r="Q403" s="58">
        <v>0</v>
      </c>
      <c r="R403" s="58">
        <v>0</v>
      </c>
      <c r="S403" s="58">
        <v>0</v>
      </c>
      <c r="T403" s="58">
        <v>0</v>
      </c>
      <c r="U403" s="58">
        <v>0</v>
      </c>
      <c r="V403" s="58">
        <v>0</v>
      </c>
      <c r="W403" s="58">
        <v>0</v>
      </c>
      <c r="X403" s="58">
        <v>0</v>
      </c>
      <c r="Y403" s="58">
        <v>2025</v>
      </c>
      <c r="Z403" s="58">
        <v>0</v>
      </c>
      <c r="AA403" s="58">
        <v>15136.95</v>
      </c>
      <c r="AE403" s="57"/>
    </row>
    <row r="404" spans="1:31" x14ac:dyDescent="0.35">
      <c r="A404" s="56" t="s">
        <v>472</v>
      </c>
      <c r="B404" s="58">
        <v>13500</v>
      </c>
      <c r="C404" s="58" t="s">
        <v>29</v>
      </c>
      <c r="D404" s="58">
        <v>265</v>
      </c>
      <c r="E404" s="58">
        <v>0</v>
      </c>
      <c r="F404" s="58">
        <v>0</v>
      </c>
      <c r="G404" s="58">
        <v>1</v>
      </c>
      <c r="H404" s="58">
        <v>0</v>
      </c>
      <c r="I404" s="58">
        <v>475.1</v>
      </c>
      <c r="J404" s="58">
        <v>-42.899999999999977</v>
      </c>
      <c r="K404" s="58">
        <v>-8.2818532818532766</v>
      </c>
      <c r="L404" s="58">
        <v>4050</v>
      </c>
      <c r="M404" s="58">
        <v>1575</v>
      </c>
      <c r="N404" s="58">
        <v>15136.95</v>
      </c>
      <c r="O404" s="58">
        <v>13500</v>
      </c>
      <c r="P404" s="58" t="s">
        <v>29</v>
      </c>
      <c r="Q404" s="58">
        <v>54</v>
      </c>
      <c r="R404" s="58">
        <v>0</v>
      </c>
      <c r="S404" s="58">
        <v>0</v>
      </c>
      <c r="T404" s="58">
        <v>0</v>
      </c>
      <c r="U404" s="58">
        <v>0</v>
      </c>
      <c r="V404" s="58">
        <v>0</v>
      </c>
      <c r="W404" s="58">
        <v>0</v>
      </c>
      <c r="X404" s="58">
        <v>0</v>
      </c>
      <c r="Y404" s="58">
        <v>3525</v>
      </c>
      <c r="Z404" s="58">
        <v>225</v>
      </c>
      <c r="AA404" s="58">
        <v>15136.95</v>
      </c>
      <c r="AE404" s="57"/>
    </row>
    <row r="405" spans="1:31" x14ac:dyDescent="0.35">
      <c r="A405" s="56" t="s">
        <v>473</v>
      </c>
      <c r="B405" s="58">
        <v>13500</v>
      </c>
      <c r="C405" s="58" t="s">
        <v>30</v>
      </c>
      <c r="D405" s="58">
        <v>0</v>
      </c>
      <c r="E405" s="58">
        <v>0</v>
      </c>
      <c r="F405" s="58">
        <v>0</v>
      </c>
      <c r="G405" s="58">
        <v>0</v>
      </c>
      <c r="H405" s="58">
        <v>0</v>
      </c>
      <c r="I405" s="58">
        <v>0</v>
      </c>
      <c r="J405" s="58">
        <v>0</v>
      </c>
      <c r="K405" s="58">
        <v>0</v>
      </c>
      <c r="L405" s="58">
        <v>2475</v>
      </c>
      <c r="M405" s="58">
        <v>0</v>
      </c>
      <c r="N405" s="58">
        <v>15136.95</v>
      </c>
      <c r="O405" s="58">
        <v>0</v>
      </c>
      <c r="P405" s="58">
        <v>0</v>
      </c>
      <c r="Q405" s="58">
        <v>0</v>
      </c>
      <c r="R405" s="58">
        <v>0</v>
      </c>
      <c r="S405" s="58">
        <v>0</v>
      </c>
      <c r="T405" s="58">
        <v>0</v>
      </c>
      <c r="U405" s="58">
        <v>0</v>
      </c>
      <c r="V405" s="58">
        <v>0</v>
      </c>
      <c r="W405" s="58">
        <v>0</v>
      </c>
      <c r="X405" s="58">
        <v>0</v>
      </c>
      <c r="Y405" s="58">
        <v>0</v>
      </c>
      <c r="Z405" s="58">
        <v>0</v>
      </c>
      <c r="AA405" s="58">
        <v>0</v>
      </c>
      <c r="AE405" s="57"/>
    </row>
    <row r="406" spans="1:31" x14ac:dyDescent="0.35">
      <c r="A406" s="56" t="s">
        <v>474</v>
      </c>
      <c r="B406" s="58">
        <v>13500</v>
      </c>
      <c r="C406" s="58" t="s">
        <v>28</v>
      </c>
      <c r="D406" s="58">
        <v>1</v>
      </c>
      <c r="E406" s="58">
        <v>0</v>
      </c>
      <c r="F406" s="58">
        <v>0</v>
      </c>
      <c r="G406" s="58">
        <v>0</v>
      </c>
      <c r="H406" s="58">
        <v>0</v>
      </c>
      <c r="I406" s="58">
        <v>0</v>
      </c>
      <c r="J406" s="58">
        <v>0</v>
      </c>
      <c r="K406" s="58">
        <v>0</v>
      </c>
      <c r="L406" s="58">
        <v>750</v>
      </c>
      <c r="M406" s="58">
        <v>0</v>
      </c>
      <c r="N406" s="58">
        <v>15136.95</v>
      </c>
      <c r="O406" s="58">
        <v>13500</v>
      </c>
      <c r="P406" s="58" t="s">
        <v>28</v>
      </c>
      <c r="Q406" s="58">
        <v>46</v>
      </c>
      <c r="R406" s="58">
        <v>0</v>
      </c>
      <c r="S406" s="58">
        <v>0</v>
      </c>
      <c r="T406" s="58">
        <v>0</v>
      </c>
      <c r="U406" s="58">
        <v>0</v>
      </c>
      <c r="V406" s="58">
        <v>0</v>
      </c>
      <c r="W406" s="58">
        <v>0</v>
      </c>
      <c r="X406" s="58">
        <v>0</v>
      </c>
      <c r="Y406" s="58">
        <v>0</v>
      </c>
      <c r="Z406" s="58">
        <v>750</v>
      </c>
      <c r="AA406" s="58">
        <v>15136.95</v>
      </c>
      <c r="AE406" s="57"/>
    </row>
    <row r="407" spans="1:31" x14ac:dyDescent="0.35">
      <c r="A407" s="56" t="s">
        <v>475</v>
      </c>
      <c r="B407" s="58">
        <v>13500</v>
      </c>
      <c r="C407" s="58" t="s">
        <v>35</v>
      </c>
      <c r="D407" s="58">
        <v>19935</v>
      </c>
      <c r="E407" s="58">
        <v>-516</v>
      </c>
      <c r="F407" s="58">
        <v>-2.5231040046941469</v>
      </c>
      <c r="G407" s="58">
        <v>6005</v>
      </c>
      <c r="H407" s="58">
        <v>74.540000000000006</v>
      </c>
      <c r="I407" s="58">
        <v>0.2</v>
      </c>
      <c r="J407" s="58">
        <v>-0.55000000000000004</v>
      </c>
      <c r="K407" s="58">
        <v>-73.333333333333343</v>
      </c>
      <c r="L407" s="58">
        <v>780225</v>
      </c>
      <c r="M407" s="58">
        <v>94425</v>
      </c>
      <c r="N407" s="58">
        <v>15136.95</v>
      </c>
      <c r="O407" s="58">
        <v>13500</v>
      </c>
      <c r="P407" s="58" t="s">
        <v>35</v>
      </c>
      <c r="Q407" s="58">
        <v>91</v>
      </c>
      <c r="R407" s="58">
        <v>-1</v>
      </c>
      <c r="S407" s="58">
        <v>-1.0869565217391304</v>
      </c>
      <c r="T407" s="58">
        <v>8</v>
      </c>
      <c r="U407" s="58">
        <v>0</v>
      </c>
      <c r="V407" s="58">
        <v>1633.3</v>
      </c>
      <c r="W407" s="58">
        <v>40.849999999999909</v>
      </c>
      <c r="X407" s="58">
        <v>2.56522967754089</v>
      </c>
      <c r="Y407" s="58">
        <v>11325</v>
      </c>
      <c r="Z407" s="58">
        <v>11625</v>
      </c>
      <c r="AA407" s="58">
        <v>15136.95</v>
      </c>
      <c r="AE407" s="57"/>
    </row>
    <row r="408" spans="1:31" x14ac:dyDescent="0.35">
      <c r="A408" s="56" t="s">
        <v>476</v>
      </c>
      <c r="B408" s="58">
        <v>13500</v>
      </c>
      <c r="C408" s="58" t="s">
        <v>36</v>
      </c>
      <c r="D408" s="58">
        <v>45</v>
      </c>
      <c r="E408" s="58">
        <v>2</v>
      </c>
      <c r="F408" s="58">
        <v>4.6511627906976747</v>
      </c>
      <c r="G408" s="58">
        <v>4</v>
      </c>
      <c r="H408" s="58">
        <v>31.8</v>
      </c>
      <c r="I408" s="58">
        <v>26.3</v>
      </c>
      <c r="J408" s="58">
        <v>4.1999999999999993</v>
      </c>
      <c r="K408" s="58">
        <v>19.004524886877824</v>
      </c>
      <c r="L408" s="58">
        <v>6600</v>
      </c>
      <c r="M408" s="58">
        <v>1725</v>
      </c>
      <c r="N408" s="58">
        <v>15136.95</v>
      </c>
      <c r="O408" s="58">
        <v>13500</v>
      </c>
      <c r="P408" s="58" t="s">
        <v>36</v>
      </c>
      <c r="Q408" s="58">
        <v>0</v>
      </c>
      <c r="R408" s="58">
        <v>0</v>
      </c>
      <c r="S408" s="58">
        <v>0</v>
      </c>
      <c r="T408" s="58">
        <v>0</v>
      </c>
      <c r="U408" s="58">
        <v>0</v>
      </c>
      <c r="V408" s="58">
        <v>0</v>
      </c>
      <c r="W408" s="58">
        <v>0</v>
      </c>
      <c r="X408" s="58">
        <v>0</v>
      </c>
      <c r="Y408" s="58">
        <v>4875</v>
      </c>
      <c r="Z408" s="58">
        <v>4875</v>
      </c>
      <c r="AA408" s="58">
        <v>15136.95</v>
      </c>
      <c r="AE408" s="57"/>
    </row>
    <row r="409" spans="1:31" x14ac:dyDescent="0.35">
      <c r="A409" s="56" t="s">
        <v>477</v>
      </c>
      <c r="B409" s="58">
        <v>13550</v>
      </c>
      <c r="C409" s="58" t="s">
        <v>33</v>
      </c>
      <c r="D409" s="58">
        <v>296</v>
      </c>
      <c r="E409" s="58">
        <v>-9</v>
      </c>
      <c r="F409" s="58">
        <v>-2.9508196721311477</v>
      </c>
      <c r="G409" s="58">
        <v>55</v>
      </c>
      <c r="H409" s="58">
        <v>32.340000000000003</v>
      </c>
      <c r="I409" s="58">
        <v>12.45</v>
      </c>
      <c r="J409" s="58">
        <v>-3.3500000000000014</v>
      </c>
      <c r="K409" s="58">
        <v>-21.202531645569628</v>
      </c>
      <c r="L409" s="58">
        <v>64350</v>
      </c>
      <c r="M409" s="58">
        <v>11175</v>
      </c>
      <c r="N409" s="58">
        <v>15136.95</v>
      </c>
      <c r="O409" s="58">
        <v>13550</v>
      </c>
      <c r="P409" s="58" t="s">
        <v>33</v>
      </c>
      <c r="Q409" s="58">
        <v>50</v>
      </c>
      <c r="R409" s="58">
        <v>0</v>
      </c>
      <c r="S409" s="58">
        <v>0</v>
      </c>
      <c r="T409" s="58">
        <v>0</v>
      </c>
      <c r="U409" s="58">
        <v>0</v>
      </c>
      <c r="V409" s="58">
        <v>0</v>
      </c>
      <c r="W409" s="58">
        <v>0</v>
      </c>
      <c r="X409" s="58">
        <v>0</v>
      </c>
      <c r="Y409" s="58">
        <v>14250</v>
      </c>
      <c r="Z409" s="58">
        <v>14250</v>
      </c>
      <c r="AA409" s="58">
        <v>15136.95</v>
      </c>
      <c r="AE409" s="57"/>
    </row>
    <row r="410" spans="1:31" x14ac:dyDescent="0.35">
      <c r="A410" s="56" t="s">
        <v>478</v>
      </c>
      <c r="B410" s="58">
        <v>13550</v>
      </c>
      <c r="C410" s="58" t="s">
        <v>37</v>
      </c>
      <c r="D410" s="58">
        <v>0</v>
      </c>
      <c r="E410" s="58">
        <v>0</v>
      </c>
      <c r="F410" s="58">
        <v>0</v>
      </c>
      <c r="G410" s="58">
        <v>0</v>
      </c>
      <c r="H410" s="58">
        <v>0</v>
      </c>
      <c r="I410" s="58">
        <v>0</v>
      </c>
      <c r="J410" s="58">
        <v>0</v>
      </c>
      <c r="K410" s="58">
        <v>0</v>
      </c>
      <c r="L410" s="58">
        <v>300</v>
      </c>
      <c r="M410" s="58">
        <v>0</v>
      </c>
      <c r="N410" s="58">
        <v>15136.95</v>
      </c>
      <c r="O410" s="58">
        <v>13550</v>
      </c>
      <c r="P410" s="58" t="s">
        <v>37</v>
      </c>
      <c r="Q410" s="58">
        <v>0</v>
      </c>
      <c r="R410" s="58">
        <v>0</v>
      </c>
      <c r="S410" s="58">
        <v>0</v>
      </c>
      <c r="T410" s="58">
        <v>0</v>
      </c>
      <c r="U410" s="58">
        <v>0</v>
      </c>
      <c r="V410" s="58">
        <v>0</v>
      </c>
      <c r="W410" s="58">
        <v>0</v>
      </c>
      <c r="X410" s="58">
        <v>0</v>
      </c>
      <c r="Y410" s="58">
        <v>4875</v>
      </c>
      <c r="Z410" s="58">
        <v>4875</v>
      </c>
      <c r="AA410" s="58">
        <v>15136.95</v>
      </c>
      <c r="AE410" s="57"/>
    </row>
    <row r="411" spans="1:31" x14ac:dyDescent="0.35">
      <c r="A411" s="56" t="s">
        <v>479</v>
      </c>
      <c r="B411" s="58">
        <v>13550</v>
      </c>
      <c r="C411" s="58" t="s">
        <v>38</v>
      </c>
      <c r="D411" s="58">
        <v>0</v>
      </c>
      <c r="E411" s="58">
        <v>0</v>
      </c>
      <c r="F411" s="58">
        <v>0</v>
      </c>
      <c r="G411" s="58">
        <v>0</v>
      </c>
      <c r="H411" s="58">
        <v>0</v>
      </c>
      <c r="I411" s="58">
        <v>0</v>
      </c>
      <c r="J411" s="58">
        <v>0</v>
      </c>
      <c r="K411" s="58">
        <v>0</v>
      </c>
      <c r="L411" s="58">
        <v>375</v>
      </c>
      <c r="M411" s="58">
        <v>0</v>
      </c>
      <c r="N411" s="58">
        <v>15136.95</v>
      </c>
      <c r="O411" s="58">
        <v>13550</v>
      </c>
      <c r="P411" s="58" t="s">
        <v>38</v>
      </c>
      <c r="Q411" s="58">
        <v>0</v>
      </c>
      <c r="R411" s="58">
        <v>0</v>
      </c>
      <c r="S411" s="58">
        <v>0</v>
      </c>
      <c r="T411" s="58">
        <v>0</v>
      </c>
      <c r="U411" s="58">
        <v>0</v>
      </c>
      <c r="V411" s="58">
        <v>0</v>
      </c>
      <c r="W411" s="58">
        <v>0</v>
      </c>
      <c r="X411" s="58">
        <v>0</v>
      </c>
      <c r="Y411" s="58">
        <v>4875</v>
      </c>
      <c r="Z411" s="58">
        <v>4875</v>
      </c>
      <c r="AA411" s="58">
        <v>15136.95</v>
      </c>
      <c r="AE411" s="57"/>
    </row>
    <row r="412" spans="1:31" x14ac:dyDescent="0.35">
      <c r="A412" s="56" t="s">
        <v>480</v>
      </c>
      <c r="B412" s="58">
        <v>13550</v>
      </c>
      <c r="C412" s="58" t="s">
        <v>26</v>
      </c>
      <c r="D412" s="58">
        <v>17</v>
      </c>
      <c r="E412" s="58">
        <v>0</v>
      </c>
      <c r="F412" s="58">
        <v>0</v>
      </c>
      <c r="G412" s="58">
        <v>0</v>
      </c>
      <c r="H412" s="58">
        <v>0</v>
      </c>
      <c r="I412" s="58">
        <v>0</v>
      </c>
      <c r="J412" s="58">
        <v>0</v>
      </c>
      <c r="K412" s="58">
        <v>0</v>
      </c>
      <c r="L412" s="58">
        <v>75</v>
      </c>
      <c r="M412" s="58">
        <v>0</v>
      </c>
      <c r="N412" s="58">
        <v>15136.95</v>
      </c>
      <c r="O412" s="58">
        <v>13550</v>
      </c>
      <c r="P412" s="58" t="s">
        <v>26</v>
      </c>
      <c r="Q412" s="58">
        <v>2</v>
      </c>
      <c r="R412" s="58">
        <v>0</v>
      </c>
      <c r="S412" s="58">
        <v>0</v>
      </c>
      <c r="T412" s="58">
        <v>0</v>
      </c>
      <c r="U412" s="58">
        <v>0</v>
      </c>
      <c r="V412" s="58">
        <v>0</v>
      </c>
      <c r="W412" s="58">
        <v>0</v>
      </c>
      <c r="X412" s="58">
        <v>0</v>
      </c>
      <c r="Y412" s="58">
        <v>12675</v>
      </c>
      <c r="Z412" s="58">
        <v>4875</v>
      </c>
      <c r="AA412" s="58">
        <v>15136.95</v>
      </c>
      <c r="AE412" s="57"/>
    </row>
    <row r="413" spans="1:31" x14ac:dyDescent="0.35">
      <c r="A413" s="56" t="s">
        <v>481</v>
      </c>
      <c r="B413" s="58">
        <v>0</v>
      </c>
      <c r="C413" s="58">
        <v>0</v>
      </c>
      <c r="D413" s="58">
        <v>0</v>
      </c>
      <c r="E413" s="58">
        <v>0</v>
      </c>
      <c r="F413" s="58">
        <v>0</v>
      </c>
      <c r="G413" s="58">
        <v>0</v>
      </c>
      <c r="H413" s="58">
        <v>0</v>
      </c>
      <c r="I413" s="58">
        <v>0</v>
      </c>
      <c r="J413" s="58">
        <v>0</v>
      </c>
      <c r="K413" s="58">
        <v>0</v>
      </c>
      <c r="L413" s="58">
        <v>0</v>
      </c>
      <c r="M413" s="58">
        <v>0</v>
      </c>
      <c r="N413" s="58">
        <v>0</v>
      </c>
      <c r="O413" s="58">
        <v>13550</v>
      </c>
      <c r="P413" s="58" t="s">
        <v>67</v>
      </c>
      <c r="Q413" s="58">
        <v>0</v>
      </c>
      <c r="R413" s="58">
        <v>0</v>
      </c>
      <c r="S413" s="58">
        <v>0</v>
      </c>
      <c r="T413" s="58">
        <v>0</v>
      </c>
      <c r="U413" s="58">
        <v>0</v>
      </c>
      <c r="V413" s="58">
        <v>0</v>
      </c>
      <c r="W413" s="58">
        <v>0</v>
      </c>
      <c r="X413" s="58">
        <v>0</v>
      </c>
      <c r="Y413" s="58">
        <v>4875</v>
      </c>
      <c r="Z413" s="58">
        <v>4875</v>
      </c>
      <c r="AA413" s="58">
        <v>15136.95</v>
      </c>
      <c r="AE413" s="57"/>
    </row>
    <row r="414" spans="1:31" x14ac:dyDescent="0.35">
      <c r="A414" s="56" t="s">
        <v>482</v>
      </c>
      <c r="B414" s="58">
        <v>0</v>
      </c>
      <c r="C414" s="58">
        <v>0</v>
      </c>
      <c r="D414" s="58">
        <v>0</v>
      </c>
      <c r="E414" s="58">
        <v>0</v>
      </c>
      <c r="F414" s="58">
        <v>0</v>
      </c>
      <c r="G414" s="58">
        <v>0</v>
      </c>
      <c r="H414" s="58">
        <v>0</v>
      </c>
      <c r="I414" s="58">
        <v>0</v>
      </c>
      <c r="J414" s="58">
        <v>0</v>
      </c>
      <c r="K414" s="58">
        <v>0</v>
      </c>
      <c r="L414" s="58">
        <v>0</v>
      </c>
      <c r="M414" s="58">
        <v>0</v>
      </c>
      <c r="N414" s="58">
        <v>0</v>
      </c>
      <c r="O414" s="58">
        <v>13550</v>
      </c>
      <c r="P414" s="58" t="s">
        <v>2074</v>
      </c>
      <c r="Q414" s="58">
        <v>0</v>
      </c>
      <c r="R414" s="58">
        <v>0</v>
      </c>
      <c r="S414" s="58">
        <v>0</v>
      </c>
      <c r="T414" s="58">
        <v>0</v>
      </c>
      <c r="U414" s="58">
        <v>0</v>
      </c>
      <c r="V414" s="58">
        <v>0</v>
      </c>
      <c r="W414" s="58">
        <v>0</v>
      </c>
      <c r="X414" s="58">
        <v>0</v>
      </c>
      <c r="Y414" s="58">
        <v>4875</v>
      </c>
      <c r="Z414" s="58">
        <v>4875</v>
      </c>
      <c r="AA414" s="58">
        <v>15136.95</v>
      </c>
      <c r="AE414" s="57"/>
    </row>
    <row r="415" spans="1:31" x14ac:dyDescent="0.35">
      <c r="A415" s="56" t="s">
        <v>483</v>
      </c>
      <c r="B415" s="58">
        <v>0</v>
      </c>
      <c r="C415" s="58">
        <v>0</v>
      </c>
      <c r="D415" s="58">
        <v>0</v>
      </c>
      <c r="E415" s="58">
        <v>0</v>
      </c>
      <c r="F415" s="58">
        <v>0</v>
      </c>
      <c r="G415" s="58">
        <v>0</v>
      </c>
      <c r="H415" s="58">
        <v>0</v>
      </c>
      <c r="I415" s="58">
        <v>0</v>
      </c>
      <c r="J415" s="58">
        <v>0</v>
      </c>
      <c r="K415" s="58">
        <v>0</v>
      </c>
      <c r="L415" s="58">
        <v>0</v>
      </c>
      <c r="M415" s="58">
        <v>0</v>
      </c>
      <c r="N415" s="58">
        <v>0</v>
      </c>
      <c r="O415" s="58">
        <v>13550</v>
      </c>
      <c r="P415" s="58" t="s">
        <v>2071</v>
      </c>
      <c r="Q415" s="58">
        <v>0</v>
      </c>
      <c r="R415" s="58">
        <v>0</v>
      </c>
      <c r="S415" s="58">
        <v>0</v>
      </c>
      <c r="T415" s="58">
        <v>0</v>
      </c>
      <c r="U415" s="58">
        <v>0</v>
      </c>
      <c r="V415" s="58">
        <v>0</v>
      </c>
      <c r="W415" s="58">
        <v>0</v>
      </c>
      <c r="X415" s="58">
        <v>0</v>
      </c>
      <c r="Y415" s="58">
        <v>5400</v>
      </c>
      <c r="Z415" s="58">
        <v>4875</v>
      </c>
      <c r="AA415" s="58">
        <v>15136.95</v>
      </c>
      <c r="AE415" s="57"/>
    </row>
    <row r="416" spans="1:31" x14ac:dyDescent="0.35">
      <c r="A416" s="56" t="s">
        <v>484</v>
      </c>
      <c r="B416" s="58">
        <v>13550</v>
      </c>
      <c r="C416" s="58" t="s">
        <v>34</v>
      </c>
      <c r="D416" s="58">
        <v>50</v>
      </c>
      <c r="E416" s="58">
        <v>0</v>
      </c>
      <c r="F416" s="58">
        <v>0</v>
      </c>
      <c r="G416" s="58">
        <v>3</v>
      </c>
      <c r="H416" s="58">
        <v>39.97</v>
      </c>
      <c r="I416" s="58">
        <v>5.95</v>
      </c>
      <c r="J416" s="58">
        <v>-0.14999999999999947</v>
      </c>
      <c r="K416" s="58">
        <v>-2.4590163934426141</v>
      </c>
      <c r="L416" s="58">
        <v>21300</v>
      </c>
      <c r="M416" s="58">
        <v>6750</v>
      </c>
      <c r="N416" s="58">
        <v>15136.95</v>
      </c>
      <c r="O416" s="58">
        <v>13550</v>
      </c>
      <c r="P416" s="58" t="s">
        <v>34</v>
      </c>
      <c r="Q416" s="58">
        <v>2</v>
      </c>
      <c r="R416" s="58">
        <v>0</v>
      </c>
      <c r="S416" s="58">
        <v>0</v>
      </c>
      <c r="T416" s="58">
        <v>0</v>
      </c>
      <c r="U416" s="58">
        <v>0</v>
      </c>
      <c r="V416" s="58">
        <v>0</v>
      </c>
      <c r="W416" s="58">
        <v>0</v>
      </c>
      <c r="X416" s="58">
        <v>0</v>
      </c>
      <c r="Y416" s="58">
        <v>5475</v>
      </c>
      <c r="Z416" s="58">
        <v>5550</v>
      </c>
      <c r="AA416" s="58">
        <v>15136.95</v>
      </c>
      <c r="AE416" s="57"/>
    </row>
    <row r="417" spans="1:31" x14ac:dyDescent="0.35">
      <c r="A417" s="56" t="s">
        <v>485</v>
      </c>
      <c r="B417" s="58">
        <v>13550</v>
      </c>
      <c r="C417" s="58" t="s">
        <v>35</v>
      </c>
      <c r="D417" s="58">
        <v>168</v>
      </c>
      <c r="E417" s="58">
        <v>65</v>
      </c>
      <c r="F417" s="58">
        <v>63.106796116504853</v>
      </c>
      <c r="G417" s="58">
        <v>203</v>
      </c>
      <c r="H417" s="58">
        <v>72.34</v>
      </c>
      <c r="I417" s="58">
        <v>0.25</v>
      </c>
      <c r="J417" s="58">
        <v>-0.7</v>
      </c>
      <c r="K417" s="58">
        <v>-73.68421052631578</v>
      </c>
      <c r="L417" s="58">
        <v>16800</v>
      </c>
      <c r="M417" s="58">
        <v>37275</v>
      </c>
      <c r="N417" s="58">
        <v>15136.95</v>
      </c>
      <c r="O417" s="58">
        <v>13550</v>
      </c>
      <c r="P417" s="58" t="s">
        <v>35</v>
      </c>
      <c r="Q417" s="58">
        <v>2</v>
      </c>
      <c r="R417" s="58">
        <v>0</v>
      </c>
      <c r="S417" s="58">
        <v>0</v>
      </c>
      <c r="T417" s="58">
        <v>0</v>
      </c>
      <c r="U417" s="58">
        <v>0</v>
      </c>
      <c r="V417" s="58">
        <v>0</v>
      </c>
      <c r="W417" s="58">
        <v>0</v>
      </c>
      <c r="X417" s="58">
        <v>0</v>
      </c>
      <c r="Y417" s="58">
        <v>14925</v>
      </c>
      <c r="Z417" s="58">
        <v>17100</v>
      </c>
      <c r="AA417" s="58">
        <v>15136.95</v>
      </c>
      <c r="AE417" s="57"/>
    </row>
    <row r="418" spans="1:31" x14ac:dyDescent="0.35">
      <c r="A418" s="56" t="s">
        <v>486</v>
      </c>
      <c r="B418" s="58">
        <v>13550</v>
      </c>
      <c r="C418" s="58" t="s">
        <v>36</v>
      </c>
      <c r="D418" s="58">
        <v>0</v>
      </c>
      <c r="E418" s="58">
        <v>0</v>
      </c>
      <c r="F418" s="58">
        <v>0</v>
      </c>
      <c r="G418" s="58">
        <v>0</v>
      </c>
      <c r="H418" s="58">
        <v>0</v>
      </c>
      <c r="I418" s="58">
        <v>0</v>
      </c>
      <c r="J418" s="58">
        <v>0</v>
      </c>
      <c r="K418" s="58">
        <v>0</v>
      </c>
      <c r="L418" s="58">
        <v>75</v>
      </c>
      <c r="M418" s="58">
        <v>0</v>
      </c>
      <c r="N418" s="58">
        <v>15136.95</v>
      </c>
      <c r="O418" s="58">
        <v>13550</v>
      </c>
      <c r="P418" s="58" t="s">
        <v>36</v>
      </c>
      <c r="Q418" s="58">
        <v>0</v>
      </c>
      <c r="R418" s="58">
        <v>0</v>
      </c>
      <c r="S418" s="58">
        <v>0</v>
      </c>
      <c r="T418" s="58">
        <v>0</v>
      </c>
      <c r="U418" s="58">
        <v>0</v>
      </c>
      <c r="V418" s="58">
        <v>0</v>
      </c>
      <c r="W418" s="58">
        <v>0</v>
      </c>
      <c r="X418" s="58">
        <v>0</v>
      </c>
      <c r="Y418" s="58">
        <v>4875</v>
      </c>
      <c r="Z418" s="58">
        <v>4875</v>
      </c>
      <c r="AA418" s="58">
        <v>15136.95</v>
      </c>
      <c r="AE418" s="57"/>
    </row>
    <row r="419" spans="1:31" x14ac:dyDescent="0.35">
      <c r="A419" s="56" t="s">
        <v>487</v>
      </c>
      <c r="B419" s="58">
        <v>13600</v>
      </c>
      <c r="C419" s="58" t="s">
        <v>33</v>
      </c>
      <c r="D419" s="58">
        <v>8647</v>
      </c>
      <c r="E419" s="58">
        <v>158</v>
      </c>
      <c r="F419" s="58">
        <v>1.8612321828248319</v>
      </c>
      <c r="G419" s="58">
        <v>1179</v>
      </c>
      <c r="H419" s="58">
        <v>31.9</v>
      </c>
      <c r="I419" s="58">
        <v>13.55</v>
      </c>
      <c r="J419" s="58">
        <v>-3.4499999999999993</v>
      </c>
      <c r="K419" s="58">
        <v>-20.294117647058819</v>
      </c>
      <c r="L419" s="58">
        <v>68100</v>
      </c>
      <c r="M419" s="58">
        <v>18750</v>
      </c>
      <c r="N419" s="58">
        <v>15136.95</v>
      </c>
      <c r="O419" s="58">
        <v>13600</v>
      </c>
      <c r="P419" s="58" t="s">
        <v>33</v>
      </c>
      <c r="Q419" s="58">
        <v>783</v>
      </c>
      <c r="R419" s="58">
        <v>3</v>
      </c>
      <c r="S419" s="58">
        <v>0.38461538461538464</v>
      </c>
      <c r="T419" s="58">
        <v>21</v>
      </c>
      <c r="U419" s="58">
        <v>0</v>
      </c>
      <c r="V419" s="58">
        <v>1565.5</v>
      </c>
      <c r="W419" s="58">
        <v>126.5</v>
      </c>
      <c r="X419" s="58">
        <v>8.7908269631688665</v>
      </c>
      <c r="Y419" s="58">
        <v>15900</v>
      </c>
      <c r="Z419" s="58">
        <v>12675</v>
      </c>
      <c r="AA419" s="58">
        <v>15136.95</v>
      </c>
      <c r="AE419" s="57"/>
    </row>
    <row r="420" spans="1:31" x14ac:dyDescent="0.35">
      <c r="A420" s="56" t="s">
        <v>488</v>
      </c>
      <c r="B420" s="58">
        <v>13600</v>
      </c>
      <c r="C420" s="58" t="s">
        <v>36</v>
      </c>
      <c r="D420" s="58">
        <v>0</v>
      </c>
      <c r="E420" s="58">
        <v>0</v>
      </c>
      <c r="F420" s="58">
        <v>0</v>
      </c>
      <c r="G420" s="58">
        <v>0</v>
      </c>
      <c r="H420" s="58">
        <v>0</v>
      </c>
      <c r="I420" s="58">
        <v>0</v>
      </c>
      <c r="J420" s="58">
        <v>0</v>
      </c>
      <c r="K420" s="58">
        <v>0</v>
      </c>
      <c r="L420" s="58">
        <v>1800</v>
      </c>
      <c r="M420" s="58">
        <v>75</v>
      </c>
      <c r="N420" s="58">
        <v>15136.95</v>
      </c>
      <c r="O420" s="58">
        <v>13600</v>
      </c>
      <c r="P420" s="58" t="s">
        <v>36</v>
      </c>
      <c r="Q420" s="58">
        <v>0</v>
      </c>
      <c r="R420" s="58">
        <v>0</v>
      </c>
      <c r="S420" s="58">
        <v>0</v>
      </c>
      <c r="T420" s="58">
        <v>0</v>
      </c>
      <c r="U420" s="58">
        <v>0</v>
      </c>
      <c r="V420" s="58">
        <v>0</v>
      </c>
      <c r="W420" s="58">
        <v>0</v>
      </c>
      <c r="X420" s="58">
        <v>0</v>
      </c>
      <c r="Y420" s="58">
        <v>4875</v>
      </c>
      <c r="Z420" s="58">
        <v>4875</v>
      </c>
      <c r="AA420" s="58">
        <v>15136.95</v>
      </c>
      <c r="AE420" s="57"/>
    </row>
    <row r="421" spans="1:31" x14ac:dyDescent="0.35">
      <c r="A421" s="56" t="s">
        <v>489</v>
      </c>
      <c r="B421" s="58">
        <v>13600</v>
      </c>
      <c r="C421" s="58" t="s">
        <v>37</v>
      </c>
      <c r="D421" s="58">
        <v>0</v>
      </c>
      <c r="E421" s="58">
        <v>0</v>
      </c>
      <c r="F421" s="58">
        <v>0</v>
      </c>
      <c r="G421" s="58">
        <v>0</v>
      </c>
      <c r="H421" s="58">
        <v>0</v>
      </c>
      <c r="I421" s="58">
        <v>0</v>
      </c>
      <c r="J421" s="58">
        <v>0</v>
      </c>
      <c r="K421" s="58">
        <v>0</v>
      </c>
      <c r="L421" s="58">
        <v>900</v>
      </c>
      <c r="M421" s="58">
        <v>0</v>
      </c>
      <c r="N421" s="58">
        <v>15136.95</v>
      </c>
      <c r="O421" s="58">
        <v>13600</v>
      </c>
      <c r="P421" s="58" t="s">
        <v>37</v>
      </c>
      <c r="Q421" s="58">
        <v>0</v>
      </c>
      <c r="R421" s="58">
        <v>0</v>
      </c>
      <c r="S421" s="58">
        <v>0</v>
      </c>
      <c r="T421" s="58">
        <v>0</v>
      </c>
      <c r="U421" s="58">
        <v>0</v>
      </c>
      <c r="V421" s="58">
        <v>0</v>
      </c>
      <c r="W421" s="58">
        <v>0</v>
      </c>
      <c r="X421" s="58">
        <v>0</v>
      </c>
      <c r="Y421" s="58">
        <v>4875</v>
      </c>
      <c r="Z421" s="58">
        <v>4875</v>
      </c>
      <c r="AA421" s="58">
        <v>15136.95</v>
      </c>
      <c r="AE421" s="57"/>
    </row>
    <row r="422" spans="1:31" x14ac:dyDescent="0.35">
      <c r="A422" s="56" t="s">
        <v>490</v>
      </c>
      <c r="B422" s="58">
        <v>13600</v>
      </c>
      <c r="C422" s="58" t="s">
        <v>38</v>
      </c>
      <c r="D422" s="58">
        <v>0</v>
      </c>
      <c r="E422" s="58">
        <v>0</v>
      </c>
      <c r="F422" s="58">
        <v>0</v>
      </c>
      <c r="G422" s="58">
        <v>0</v>
      </c>
      <c r="H422" s="58">
        <v>0</v>
      </c>
      <c r="I422" s="58">
        <v>0</v>
      </c>
      <c r="J422" s="58">
        <v>0</v>
      </c>
      <c r="K422" s="58">
        <v>0</v>
      </c>
      <c r="L422" s="58">
        <v>600</v>
      </c>
      <c r="M422" s="58">
        <v>0</v>
      </c>
      <c r="N422" s="58">
        <v>15136.95</v>
      </c>
      <c r="O422" s="58">
        <v>13600</v>
      </c>
      <c r="P422" s="58" t="s">
        <v>38</v>
      </c>
      <c r="Q422" s="58">
        <v>0</v>
      </c>
      <c r="R422" s="58">
        <v>0</v>
      </c>
      <c r="S422" s="58">
        <v>0</v>
      </c>
      <c r="T422" s="58">
        <v>0</v>
      </c>
      <c r="U422" s="58">
        <v>0</v>
      </c>
      <c r="V422" s="58">
        <v>0</v>
      </c>
      <c r="W422" s="58">
        <v>0</v>
      </c>
      <c r="X422" s="58">
        <v>0</v>
      </c>
      <c r="Y422" s="58">
        <v>4875</v>
      </c>
      <c r="Z422" s="58">
        <v>4875</v>
      </c>
      <c r="AA422" s="58">
        <v>15136.95</v>
      </c>
      <c r="AE422" s="57"/>
    </row>
    <row r="423" spans="1:31" x14ac:dyDescent="0.35">
      <c r="A423" s="56" t="s">
        <v>491</v>
      </c>
      <c r="B423" s="58">
        <v>13600</v>
      </c>
      <c r="C423" s="58" t="s">
        <v>26</v>
      </c>
      <c r="D423" s="58">
        <v>951</v>
      </c>
      <c r="E423" s="58">
        <v>4</v>
      </c>
      <c r="F423" s="58">
        <v>0.42238648363252373</v>
      </c>
      <c r="G423" s="58">
        <v>41</v>
      </c>
      <c r="H423" s="58">
        <v>29.11</v>
      </c>
      <c r="I423" s="58">
        <v>80</v>
      </c>
      <c r="J423" s="58">
        <v>-6.1500000000000057</v>
      </c>
      <c r="K423" s="58">
        <v>-7.1387115496227578</v>
      </c>
      <c r="L423" s="58">
        <v>13575</v>
      </c>
      <c r="M423" s="58">
        <v>6975</v>
      </c>
      <c r="N423" s="58">
        <v>15136.95</v>
      </c>
      <c r="O423" s="58">
        <v>13600</v>
      </c>
      <c r="P423" s="58" t="s">
        <v>26</v>
      </c>
      <c r="Q423" s="58">
        <v>82</v>
      </c>
      <c r="R423" s="58">
        <v>0</v>
      </c>
      <c r="S423" s="58">
        <v>0</v>
      </c>
      <c r="T423" s="58">
        <v>0</v>
      </c>
      <c r="U423" s="58">
        <v>0</v>
      </c>
      <c r="V423" s="58">
        <v>0</v>
      </c>
      <c r="W423" s="58">
        <v>0</v>
      </c>
      <c r="X423" s="58">
        <v>0</v>
      </c>
      <c r="Y423" s="58">
        <v>10125</v>
      </c>
      <c r="Z423" s="58">
        <v>10125</v>
      </c>
      <c r="AA423" s="58">
        <v>15136.95</v>
      </c>
      <c r="AE423" s="57"/>
    </row>
    <row r="424" spans="1:31" x14ac:dyDescent="0.35">
      <c r="A424" s="56" t="s">
        <v>492</v>
      </c>
      <c r="B424" s="58">
        <v>13600</v>
      </c>
      <c r="C424" s="58" t="s">
        <v>67</v>
      </c>
      <c r="D424" s="58">
        <v>0</v>
      </c>
      <c r="E424" s="58">
        <v>0</v>
      </c>
      <c r="F424" s="58">
        <v>0</v>
      </c>
      <c r="G424" s="58">
        <v>0</v>
      </c>
      <c r="H424" s="58">
        <v>0</v>
      </c>
      <c r="I424" s="58">
        <v>0</v>
      </c>
      <c r="J424" s="58">
        <v>0</v>
      </c>
      <c r="K424" s="58">
        <v>0</v>
      </c>
      <c r="L424" s="58">
        <v>900</v>
      </c>
      <c r="M424" s="58">
        <v>0</v>
      </c>
      <c r="N424" s="58">
        <v>15136.95</v>
      </c>
      <c r="O424" s="58">
        <v>13600</v>
      </c>
      <c r="P424" s="58" t="s">
        <v>67</v>
      </c>
      <c r="Q424" s="58">
        <v>0</v>
      </c>
      <c r="R424" s="58">
        <v>0</v>
      </c>
      <c r="S424" s="58">
        <v>0</v>
      </c>
      <c r="T424" s="58">
        <v>0</v>
      </c>
      <c r="U424" s="58">
        <v>0</v>
      </c>
      <c r="V424" s="58">
        <v>0</v>
      </c>
      <c r="W424" s="58">
        <v>0</v>
      </c>
      <c r="X424" s="58">
        <v>0</v>
      </c>
      <c r="Y424" s="58">
        <v>4875</v>
      </c>
      <c r="Z424" s="58">
        <v>4875</v>
      </c>
      <c r="AA424" s="58">
        <v>15136.95</v>
      </c>
      <c r="AE424" s="57"/>
    </row>
    <row r="425" spans="1:31" x14ac:dyDescent="0.35">
      <c r="A425" s="56" t="s">
        <v>493</v>
      </c>
      <c r="B425" s="58">
        <v>0</v>
      </c>
      <c r="C425" s="58">
        <v>0</v>
      </c>
      <c r="D425" s="58">
        <v>0</v>
      </c>
      <c r="E425" s="58">
        <v>0</v>
      </c>
      <c r="F425" s="58">
        <v>0</v>
      </c>
      <c r="G425" s="58">
        <v>0</v>
      </c>
      <c r="H425" s="58">
        <v>0</v>
      </c>
      <c r="I425" s="58">
        <v>0</v>
      </c>
      <c r="J425" s="58">
        <v>0</v>
      </c>
      <c r="K425" s="58">
        <v>0</v>
      </c>
      <c r="L425" s="58">
        <v>0</v>
      </c>
      <c r="M425" s="58">
        <v>0</v>
      </c>
      <c r="N425" s="58">
        <v>0</v>
      </c>
      <c r="O425" s="58">
        <v>13600</v>
      </c>
      <c r="P425" s="58" t="s">
        <v>2074</v>
      </c>
      <c r="Q425" s="58">
        <v>0</v>
      </c>
      <c r="R425" s="58">
        <v>0</v>
      </c>
      <c r="S425" s="58">
        <v>0</v>
      </c>
      <c r="T425" s="58">
        <v>0</v>
      </c>
      <c r="U425" s="58">
        <v>0</v>
      </c>
      <c r="V425" s="58">
        <v>0</v>
      </c>
      <c r="W425" s="58">
        <v>0</v>
      </c>
      <c r="X425" s="58">
        <v>0</v>
      </c>
      <c r="Y425" s="58">
        <v>4875</v>
      </c>
      <c r="Z425" s="58">
        <v>4875</v>
      </c>
      <c r="AA425" s="58">
        <v>15136.95</v>
      </c>
      <c r="AE425" s="57"/>
    </row>
    <row r="426" spans="1:31" x14ac:dyDescent="0.35">
      <c r="A426" s="56" t="s">
        <v>494</v>
      </c>
      <c r="B426" s="58">
        <v>13600</v>
      </c>
      <c r="C426" s="58" t="s">
        <v>2071</v>
      </c>
      <c r="D426" s="58">
        <v>0</v>
      </c>
      <c r="E426" s="58">
        <v>0</v>
      </c>
      <c r="F426" s="58">
        <v>0</v>
      </c>
      <c r="G426" s="58">
        <v>0</v>
      </c>
      <c r="H426" s="58">
        <v>0</v>
      </c>
      <c r="I426" s="58">
        <v>0</v>
      </c>
      <c r="J426" s="58">
        <v>0</v>
      </c>
      <c r="K426" s="58">
        <v>0</v>
      </c>
      <c r="L426" s="58">
        <v>1350</v>
      </c>
      <c r="M426" s="58">
        <v>0</v>
      </c>
      <c r="N426" s="58">
        <v>15136.95</v>
      </c>
      <c r="O426" s="58">
        <v>13600</v>
      </c>
      <c r="P426" s="58" t="s">
        <v>2071</v>
      </c>
      <c r="Q426" s="58">
        <v>1</v>
      </c>
      <c r="R426" s="58">
        <v>0</v>
      </c>
      <c r="S426" s="58">
        <v>0</v>
      </c>
      <c r="T426" s="58">
        <v>0</v>
      </c>
      <c r="U426" s="58">
        <v>0</v>
      </c>
      <c r="V426" s="58">
        <v>0</v>
      </c>
      <c r="W426" s="58">
        <v>0</v>
      </c>
      <c r="X426" s="58">
        <v>0</v>
      </c>
      <c r="Y426" s="58">
        <v>5475</v>
      </c>
      <c r="Z426" s="58">
        <v>4875</v>
      </c>
      <c r="AA426" s="58">
        <v>15136.95</v>
      </c>
      <c r="AE426" s="57"/>
    </row>
    <row r="427" spans="1:31" x14ac:dyDescent="0.35">
      <c r="A427" s="56" t="s">
        <v>495</v>
      </c>
      <c r="B427" s="58">
        <v>13600</v>
      </c>
      <c r="C427" s="58" t="s">
        <v>35</v>
      </c>
      <c r="D427" s="58">
        <v>3953</v>
      </c>
      <c r="E427" s="58">
        <v>66</v>
      </c>
      <c r="F427" s="58">
        <v>1.6979675842552098</v>
      </c>
      <c r="G427" s="58">
        <v>1037</v>
      </c>
      <c r="H427" s="58">
        <v>70.150000000000006</v>
      </c>
      <c r="I427" s="58">
        <v>0.25</v>
      </c>
      <c r="J427" s="58">
        <v>-0.65</v>
      </c>
      <c r="K427" s="58">
        <v>-72.222222222222214</v>
      </c>
      <c r="L427" s="58">
        <v>199650</v>
      </c>
      <c r="M427" s="58">
        <v>38850</v>
      </c>
      <c r="N427" s="58">
        <v>15136.95</v>
      </c>
      <c r="O427" s="58">
        <v>13600</v>
      </c>
      <c r="P427" s="58" t="s">
        <v>35</v>
      </c>
      <c r="Q427" s="58">
        <v>158</v>
      </c>
      <c r="R427" s="58">
        <v>0</v>
      </c>
      <c r="S427" s="58">
        <v>0</v>
      </c>
      <c r="T427" s="58">
        <v>0</v>
      </c>
      <c r="U427" s="58">
        <v>0</v>
      </c>
      <c r="V427" s="58">
        <v>0</v>
      </c>
      <c r="W427" s="58">
        <v>0</v>
      </c>
      <c r="X427" s="58">
        <v>0</v>
      </c>
      <c r="Y427" s="58">
        <v>16275</v>
      </c>
      <c r="Z427" s="58">
        <v>18525</v>
      </c>
      <c r="AA427" s="58">
        <v>15136.95</v>
      </c>
      <c r="AE427" s="57"/>
    </row>
    <row r="428" spans="1:31" x14ac:dyDescent="0.35">
      <c r="A428" s="56" t="s">
        <v>496</v>
      </c>
      <c r="B428" s="58">
        <v>13600</v>
      </c>
      <c r="C428" s="58" t="s">
        <v>34</v>
      </c>
      <c r="D428" s="58">
        <v>1902</v>
      </c>
      <c r="E428" s="58">
        <v>216</v>
      </c>
      <c r="F428" s="58">
        <v>12.811387900355871</v>
      </c>
      <c r="G428" s="58">
        <v>1545</v>
      </c>
      <c r="H428" s="58">
        <v>37.56</v>
      </c>
      <c r="I428" s="58">
        <v>4.6500000000000004</v>
      </c>
      <c r="J428" s="58">
        <v>-1.9499999999999993</v>
      </c>
      <c r="K428" s="58">
        <v>-29.545454545454536</v>
      </c>
      <c r="L428" s="58">
        <v>75000</v>
      </c>
      <c r="M428" s="58">
        <v>25725</v>
      </c>
      <c r="N428" s="58">
        <v>15136.95</v>
      </c>
      <c r="O428" s="58">
        <v>13600</v>
      </c>
      <c r="P428" s="58" t="s">
        <v>34</v>
      </c>
      <c r="Q428" s="58">
        <v>2</v>
      </c>
      <c r="R428" s="58">
        <v>0</v>
      </c>
      <c r="S428" s="58">
        <v>0</v>
      </c>
      <c r="T428" s="58">
        <v>0</v>
      </c>
      <c r="U428" s="58">
        <v>0</v>
      </c>
      <c r="V428" s="58">
        <v>0</v>
      </c>
      <c r="W428" s="58">
        <v>0</v>
      </c>
      <c r="X428" s="58">
        <v>0</v>
      </c>
      <c r="Y428" s="58">
        <v>9075</v>
      </c>
      <c r="Z428" s="58">
        <v>6375</v>
      </c>
      <c r="AA428" s="58">
        <v>15136.95</v>
      </c>
      <c r="AE428" s="57"/>
    </row>
    <row r="429" spans="1:31" x14ac:dyDescent="0.35">
      <c r="A429" s="56" t="s">
        <v>497</v>
      </c>
      <c r="B429" s="58">
        <v>13650</v>
      </c>
      <c r="C429" s="58" t="s">
        <v>33</v>
      </c>
      <c r="D429" s="58">
        <v>196</v>
      </c>
      <c r="E429" s="58">
        <v>2</v>
      </c>
      <c r="F429" s="58">
        <v>1.0309278350515465</v>
      </c>
      <c r="G429" s="58">
        <v>41</v>
      </c>
      <c r="H429" s="58">
        <v>31.47</v>
      </c>
      <c r="I429" s="58">
        <v>14.35</v>
      </c>
      <c r="J429" s="58">
        <v>-4.1500000000000004</v>
      </c>
      <c r="K429" s="58">
        <v>-22.432432432432435</v>
      </c>
      <c r="L429" s="58">
        <v>67575</v>
      </c>
      <c r="M429" s="58">
        <v>16875</v>
      </c>
      <c r="N429" s="58">
        <v>15136.95</v>
      </c>
      <c r="O429" s="58">
        <v>13650</v>
      </c>
      <c r="P429" s="58" t="s">
        <v>33</v>
      </c>
      <c r="Q429" s="58">
        <v>196</v>
      </c>
      <c r="R429" s="58">
        <v>0</v>
      </c>
      <c r="S429" s="58">
        <v>0</v>
      </c>
      <c r="T429" s="58">
        <v>0</v>
      </c>
      <c r="U429" s="58">
        <v>0</v>
      </c>
      <c r="V429" s="58">
        <v>0</v>
      </c>
      <c r="W429" s="58">
        <v>0</v>
      </c>
      <c r="X429" s="58">
        <v>0</v>
      </c>
      <c r="Y429" s="58">
        <v>14250</v>
      </c>
      <c r="Z429" s="58">
        <v>11700</v>
      </c>
      <c r="AA429" s="58">
        <v>15136.95</v>
      </c>
      <c r="AE429" s="57"/>
    </row>
    <row r="430" spans="1:31" x14ac:dyDescent="0.35">
      <c r="A430" s="56" t="s">
        <v>498</v>
      </c>
      <c r="B430" s="58">
        <v>0</v>
      </c>
      <c r="C430" s="58">
        <v>0</v>
      </c>
      <c r="D430" s="58">
        <v>0</v>
      </c>
      <c r="E430" s="58">
        <v>0</v>
      </c>
      <c r="F430" s="58">
        <v>0</v>
      </c>
      <c r="G430" s="58">
        <v>0</v>
      </c>
      <c r="H430" s="58">
        <v>0</v>
      </c>
      <c r="I430" s="58">
        <v>0</v>
      </c>
      <c r="J430" s="58">
        <v>0</v>
      </c>
      <c r="K430" s="58">
        <v>0</v>
      </c>
      <c r="L430" s="58">
        <v>0</v>
      </c>
      <c r="M430" s="58">
        <v>0</v>
      </c>
      <c r="N430" s="58">
        <v>0</v>
      </c>
      <c r="O430" s="58">
        <v>13650</v>
      </c>
      <c r="P430" s="58" t="s">
        <v>67</v>
      </c>
      <c r="Q430" s="58">
        <v>0</v>
      </c>
      <c r="R430" s="58">
        <v>0</v>
      </c>
      <c r="S430" s="58">
        <v>0</v>
      </c>
      <c r="T430" s="58">
        <v>0</v>
      </c>
      <c r="U430" s="58">
        <v>0</v>
      </c>
      <c r="V430" s="58">
        <v>0</v>
      </c>
      <c r="W430" s="58">
        <v>0</v>
      </c>
      <c r="X430" s="58">
        <v>0</v>
      </c>
      <c r="Y430" s="58">
        <v>4875</v>
      </c>
      <c r="Z430" s="58">
        <v>4875</v>
      </c>
      <c r="AA430" s="58">
        <v>15136.95</v>
      </c>
      <c r="AE430" s="57"/>
    </row>
    <row r="431" spans="1:31" x14ac:dyDescent="0.35">
      <c r="A431" s="56" t="s">
        <v>499</v>
      </c>
      <c r="B431" s="58">
        <v>0</v>
      </c>
      <c r="C431" s="58">
        <v>0</v>
      </c>
      <c r="D431" s="58">
        <v>0</v>
      </c>
      <c r="E431" s="58">
        <v>0</v>
      </c>
      <c r="F431" s="58">
        <v>0</v>
      </c>
      <c r="G431" s="58">
        <v>0</v>
      </c>
      <c r="H431" s="58">
        <v>0</v>
      </c>
      <c r="I431" s="58">
        <v>0</v>
      </c>
      <c r="J431" s="58">
        <v>0</v>
      </c>
      <c r="K431" s="58">
        <v>0</v>
      </c>
      <c r="L431" s="58">
        <v>0</v>
      </c>
      <c r="M431" s="58">
        <v>0</v>
      </c>
      <c r="N431" s="58">
        <v>0</v>
      </c>
      <c r="O431" s="58">
        <v>13650</v>
      </c>
      <c r="P431" s="58" t="s">
        <v>37</v>
      </c>
      <c r="Q431" s="58">
        <v>0</v>
      </c>
      <c r="R431" s="58">
        <v>0</v>
      </c>
      <c r="S431" s="58">
        <v>0</v>
      </c>
      <c r="T431" s="58">
        <v>0</v>
      </c>
      <c r="U431" s="58">
        <v>0</v>
      </c>
      <c r="V431" s="58">
        <v>0</v>
      </c>
      <c r="W431" s="58">
        <v>0</v>
      </c>
      <c r="X431" s="58">
        <v>0</v>
      </c>
      <c r="Y431" s="58">
        <v>4875</v>
      </c>
      <c r="Z431" s="58">
        <v>4875</v>
      </c>
      <c r="AA431" s="58">
        <v>15136.95</v>
      </c>
      <c r="AE431" s="57"/>
    </row>
    <row r="432" spans="1:31" x14ac:dyDescent="0.35">
      <c r="A432" s="56" t="s">
        <v>500</v>
      </c>
      <c r="B432" s="58">
        <v>13650</v>
      </c>
      <c r="C432" s="58" t="s">
        <v>38</v>
      </c>
      <c r="D432" s="58">
        <v>0</v>
      </c>
      <c r="E432" s="58">
        <v>0</v>
      </c>
      <c r="F432" s="58">
        <v>0</v>
      </c>
      <c r="G432" s="58">
        <v>0</v>
      </c>
      <c r="H432" s="58">
        <v>0</v>
      </c>
      <c r="I432" s="58">
        <v>0</v>
      </c>
      <c r="J432" s="58">
        <v>0</v>
      </c>
      <c r="K432" s="58">
        <v>0</v>
      </c>
      <c r="L432" s="58">
        <v>300</v>
      </c>
      <c r="M432" s="58">
        <v>0</v>
      </c>
      <c r="N432" s="58">
        <v>15136.95</v>
      </c>
      <c r="O432" s="58">
        <v>13650</v>
      </c>
      <c r="P432" s="58" t="s">
        <v>38</v>
      </c>
      <c r="Q432" s="58">
        <v>0</v>
      </c>
      <c r="R432" s="58">
        <v>0</v>
      </c>
      <c r="S432" s="58">
        <v>0</v>
      </c>
      <c r="T432" s="58">
        <v>0</v>
      </c>
      <c r="U432" s="58">
        <v>0</v>
      </c>
      <c r="V432" s="58">
        <v>0</v>
      </c>
      <c r="W432" s="58">
        <v>0</v>
      </c>
      <c r="X432" s="58">
        <v>0</v>
      </c>
      <c r="Y432" s="58">
        <v>4875</v>
      </c>
      <c r="Z432" s="58">
        <v>4875</v>
      </c>
      <c r="AA432" s="58">
        <v>15136.95</v>
      </c>
      <c r="AE432" s="57"/>
    </row>
    <row r="433" spans="1:31" x14ac:dyDescent="0.35">
      <c r="A433" s="56" t="s">
        <v>501</v>
      </c>
      <c r="B433" s="58">
        <v>13650</v>
      </c>
      <c r="C433" s="58" t="s">
        <v>26</v>
      </c>
      <c r="D433" s="58">
        <v>30</v>
      </c>
      <c r="E433" s="58">
        <v>0</v>
      </c>
      <c r="F433" s="58">
        <v>0</v>
      </c>
      <c r="G433" s="58">
        <v>0</v>
      </c>
      <c r="H433" s="58">
        <v>0</v>
      </c>
      <c r="I433" s="58">
        <v>0</v>
      </c>
      <c r="J433" s="58">
        <v>0</v>
      </c>
      <c r="K433" s="58">
        <v>0</v>
      </c>
      <c r="L433" s="58">
        <v>525</v>
      </c>
      <c r="M433" s="58">
        <v>0</v>
      </c>
      <c r="N433" s="58">
        <v>15136.95</v>
      </c>
      <c r="O433" s="58">
        <v>13650</v>
      </c>
      <c r="P433" s="58" t="s">
        <v>26</v>
      </c>
      <c r="Q433" s="58">
        <v>2</v>
      </c>
      <c r="R433" s="58">
        <v>0</v>
      </c>
      <c r="S433" s="58">
        <v>0</v>
      </c>
      <c r="T433" s="58">
        <v>0</v>
      </c>
      <c r="U433" s="58">
        <v>0</v>
      </c>
      <c r="V433" s="58">
        <v>0</v>
      </c>
      <c r="W433" s="58">
        <v>0</v>
      </c>
      <c r="X433" s="58">
        <v>0</v>
      </c>
      <c r="Y433" s="58">
        <v>12675</v>
      </c>
      <c r="Z433" s="58">
        <v>4875</v>
      </c>
      <c r="AA433" s="58">
        <v>15136.95</v>
      </c>
      <c r="AE433" s="57"/>
    </row>
    <row r="434" spans="1:31" x14ac:dyDescent="0.35">
      <c r="A434" s="56" t="s">
        <v>502</v>
      </c>
      <c r="B434" s="58">
        <v>13650</v>
      </c>
      <c r="C434" s="58" t="s">
        <v>34</v>
      </c>
      <c r="D434" s="58">
        <v>133</v>
      </c>
      <c r="E434" s="58">
        <v>0</v>
      </c>
      <c r="F434" s="58">
        <v>0</v>
      </c>
      <c r="G434" s="58">
        <v>150</v>
      </c>
      <c r="H434" s="58">
        <v>36.86</v>
      </c>
      <c r="I434" s="58">
        <v>4.9000000000000004</v>
      </c>
      <c r="J434" s="58">
        <v>-1.7999999999999998</v>
      </c>
      <c r="K434" s="58">
        <v>-26.865671641791039</v>
      </c>
      <c r="L434" s="58">
        <v>55500</v>
      </c>
      <c r="M434" s="58">
        <v>21225</v>
      </c>
      <c r="N434" s="58">
        <v>15136.95</v>
      </c>
      <c r="O434" s="58">
        <v>13650</v>
      </c>
      <c r="P434" s="58" t="s">
        <v>34</v>
      </c>
      <c r="Q434" s="58">
        <v>10</v>
      </c>
      <c r="R434" s="58">
        <v>0</v>
      </c>
      <c r="S434" s="58">
        <v>0</v>
      </c>
      <c r="T434" s="58">
        <v>0</v>
      </c>
      <c r="U434" s="58">
        <v>0</v>
      </c>
      <c r="V434" s="58">
        <v>0</v>
      </c>
      <c r="W434" s="58">
        <v>0</v>
      </c>
      <c r="X434" s="58">
        <v>0</v>
      </c>
      <c r="Y434" s="58">
        <v>8400</v>
      </c>
      <c r="Z434" s="58">
        <v>5550</v>
      </c>
      <c r="AA434" s="58">
        <v>15136.95</v>
      </c>
      <c r="AE434" s="57"/>
    </row>
    <row r="435" spans="1:31" x14ac:dyDescent="0.35">
      <c r="A435" s="56" t="s">
        <v>503</v>
      </c>
      <c r="B435" s="58">
        <v>0</v>
      </c>
      <c r="C435" s="58">
        <v>0</v>
      </c>
      <c r="D435" s="58">
        <v>0</v>
      </c>
      <c r="E435" s="58">
        <v>0</v>
      </c>
      <c r="F435" s="58">
        <v>0</v>
      </c>
      <c r="G435" s="58">
        <v>0</v>
      </c>
      <c r="H435" s="58">
        <v>0</v>
      </c>
      <c r="I435" s="58">
        <v>0</v>
      </c>
      <c r="J435" s="58">
        <v>0</v>
      </c>
      <c r="K435" s="58">
        <v>0</v>
      </c>
      <c r="L435" s="58">
        <v>0</v>
      </c>
      <c r="M435" s="58">
        <v>0</v>
      </c>
      <c r="N435" s="58">
        <v>0</v>
      </c>
      <c r="O435" s="58">
        <v>13650</v>
      </c>
      <c r="P435" s="58" t="s">
        <v>2074</v>
      </c>
      <c r="Q435" s="58">
        <v>0</v>
      </c>
      <c r="R435" s="58">
        <v>0</v>
      </c>
      <c r="S435" s="58">
        <v>0</v>
      </c>
      <c r="T435" s="58">
        <v>0</v>
      </c>
      <c r="U435" s="58">
        <v>0</v>
      </c>
      <c r="V435" s="58">
        <v>0</v>
      </c>
      <c r="W435" s="58">
        <v>0</v>
      </c>
      <c r="X435" s="58">
        <v>0</v>
      </c>
      <c r="Y435" s="58">
        <v>4875</v>
      </c>
      <c r="Z435" s="58">
        <v>4875</v>
      </c>
      <c r="AA435" s="58">
        <v>15136.95</v>
      </c>
      <c r="AE435" s="57"/>
    </row>
    <row r="436" spans="1:31" x14ac:dyDescent="0.35">
      <c r="A436" s="56" t="s">
        <v>504</v>
      </c>
      <c r="B436" s="58">
        <v>0</v>
      </c>
      <c r="C436" s="58">
        <v>0</v>
      </c>
      <c r="D436" s="58">
        <v>0</v>
      </c>
      <c r="E436" s="58">
        <v>0</v>
      </c>
      <c r="F436" s="58">
        <v>0</v>
      </c>
      <c r="G436" s="58">
        <v>0</v>
      </c>
      <c r="H436" s="58">
        <v>0</v>
      </c>
      <c r="I436" s="58">
        <v>0</v>
      </c>
      <c r="J436" s="58">
        <v>0</v>
      </c>
      <c r="K436" s="58">
        <v>0</v>
      </c>
      <c r="L436" s="58">
        <v>0</v>
      </c>
      <c r="M436" s="58">
        <v>0</v>
      </c>
      <c r="N436" s="58">
        <v>0</v>
      </c>
      <c r="O436" s="58">
        <v>13650</v>
      </c>
      <c r="P436" s="58" t="s">
        <v>2071</v>
      </c>
      <c r="Q436" s="58">
        <v>0</v>
      </c>
      <c r="R436" s="58">
        <v>0</v>
      </c>
      <c r="S436" s="58">
        <v>0</v>
      </c>
      <c r="T436" s="58">
        <v>0</v>
      </c>
      <c r="U436" s="58">
        <v>0</v>
      </c>
      <c r="V436" s="58">
        <v>0</v>
      </c>
      <c r="W436" s="58">
        <v>0</v>
      </c>
      <c r="X436" s="58">
        <v>0</v>
      </c>
      <c r="Y436" s="58">
        <v>5400</v>
      </c>
      <c r="Z436" s="58">
        <v>4875</v>
      </c>
      <c r="AA436" s="58">
        <v>15136.95</v>
      </c>
      <c r="AE436" s="57"/>
    </row>
    <row r="437" spans="1:31" x14ac:dyDescent="0.35">
      <c r="A437" s="56" t="s">
        <v>505</v>
      </c>
      <c r="B437" s="58">
        <v>13650</v>
      </c>
      <c r="C437" s="58" t="s">
        <v>35</v>
      </c>
      <c r="D437" s="58">
        <v>192</v>
      </c>
      <c r="E437" s="58">
        <v>12</v>
      </c>
      <c r="F437" s="58">
        <v>6.666666666666667</v>
      </c>
      <c r="G437" s="58">
        <v>25</v>
      </c>
      <c r="H437" s="58">
        <v>67.959999999999994</v>
      </c>
      <c r="I437" s="58">
        <v>0.25</v>
      </c>
      <c r="J437" s="58">
        <v>-0.2</v>
      </c>
      <c r="K437" s="58">
        <v>-44.44444444444445</v>
      </c>
      <c r="L437" s="58">
        <v>7125</v>
      </c>
      <c r="M437" s="58">
        <v>32175</v>
      </c>
      <c r="N437" s="58">
        <v>15136.95</v>
      </c>
      <c r="O437" s="58">
        <v>13650</v>
      </c>
      <c r="P437" s="58" t="s">
        <v>35</v>
      </c>
      <c r="Q437" s="58">
        <v>27</v>
      </c>
      <c r="R437" s="58">
        <v>0</v>
      </c>
      <c r="S437" s="58">
        <v>0</v>
      </c>
      <c r="T437" s="58">
        <v>0</v>
      </c>
      <c r="U437" s="58">
        <v>0</v>
      </c>
      <c r="V437" s="58">
        <v>0</v>
      </c>
      <c r="W437" s="58">
        <v>0</v>
      </c>
      <c r="X437" s="58">
        <v>0</v>
      </c>
      <c r="Y437" s="58">
        <v>14700</v>
      </c>
      <c r="Z437" s="58">
        <v>17700</v>
      </c>
      <c r="AA437" s="58">
        <v>15136.95</v>
      </c>
      <c r="AE437" s="57"/>
    </row>
    <row r="438" spans="1:31" x14ac:dyDescent="0.35">
      <c r="A438" s="56" t="s">
        <v>506</v>
      </c>
      <c r="B438" s="58">
        <v>13650</v>
      </c>
      <c r="C438" s="58" t="s">
        <v>36</v>
      </c>
      <c r="D438" s="58">
        <v>0</v>
      </c>
      <c r="E438" s="58">
        <v>0</v>
      </c>
      <c r="F438" s="58">
        <v>0</v>
      </c>
      <c r="G438" s="58">
        <v>0</v>
      </c>
      <c r="H438" s="58">
        <v>0</v>
      </c>
      <c r="I438" s="58">
        <v>0</v>
      </c>
      <c r="J438" s="58">
        <v>0</v>
      </c>
      <c r="K438" s="58">
        <v>0</v>
      </c>
      <c r="L438" s="58">
        <v>300</v>
      </c>
      <c r="M438" s="58">
        <v>0</v>
      </c>
      <c r="N438" s="58">
        <v>15136.95</v>
      </c>
      <c r="O438" s="58">
        <v>13650</v>
      </c>
      <c r="P438" s="58" t="s">
        <v>36</v>
      </c>
      <c r="Q438" s="58">
        <v>0</v>
      </c>
      <c r="R438" s="58">
        <v>0</v>
      </c>
      <c r="S438" s="58">
        <v>0</v>
      </c>
      <c r="T438" s="58">
        <v>0</v>
      </c>
      <c r="U438" s="58">
        <v>0</v>
      </c>
      <c r="V438" s="58">
        <v>0</v>
      </c>
      <c r="W438" s="58">
        <v>0</v>
      </c>
      <c r="X438" s="58">
        <v>0</v>
      </c>
      <c r="Y438" s="58">
        <v>4875</v>
      </c>
      <c r="Z438" s="58">
        <v>4875</v>
      </c>
      <c r="AA438" s="58">
        <v>15136.95</v>
      </c>
      <c r="AE438" s="57"/>
    </row>
    <row r="439" spans="1:31" x14ac:dyDescent="0.35">
      <c r="A439" s="56" t="s">
        <v>507</v>
      </c>
      <c r="B439" s="58">
        <v>13700</v>
      </c>
      <c r="C439" s="58" t="s">
        <v>33</v>
      </c>
      <c r="D439" s="58">
        <v>7291</v>
      </c>
      <c r="E439" s="58">
        <v>203</v>
      </c>
      <c r="F439" s="58">
        <v>2.863995485327314</v>
      </c>
      <c r="G439" s="58">
        <v>1614</v>
      </c>
      <c r="H439" s="58">
        <v>31.04</v>
      </c>
      <c r="I439" s="58">
        <v>15.85</v>
      </c>
      <c r="J439" s="58">
        <v>-4.2500000000000018</v>
      </c>
      <c r="K439" s="58">
        <v>-21.14427860696518</v>
      </c>
      <c r="L439" s="58">
        <v>73425</v>
      </c>
      <c r="M439" s="58">
        <v>28950</v>
      </c>
      <c r="N439" s="58">
        <v>15136.95</v>
      </c>
      <c r="O439" s="58">
        <v>13700</v>
      </c>
      <c r="P439" s="58" t="s">
        <v>33</v>
      </c>
      <c r="Q439" s="58">
        <v>1732</v>
      </c>
      <c r="R439" s="58">
        <v>3</v>
      </c>
      <c r="S439" s="58">
        <v>0.17351069982648931</v>
      </c>
      <c r="T439" s="58">
        <v>26</v>
      </c>
      <c r="U439" s="58">
        <v>0</v>
      </c>
      <c r="V439" s="58">
        <v>1472</v>
      </c>
      <c r="W439" s="58">
        <v>15.75</v>
      </c>
      <c r="X439" s="58">
        <v>1.0815450643776825</v>
      </c>
      <c r="Y439" s="58">
        <v>21225</v>
      </c>
      <c r="Z439" s="58">
        <v>18525</v>
      </c>
      <c r="AA439" s="58">
        <v>15136.95</v>
      </c>
      <c r="AE439" s="57"/>
    </row>
    <row r="440" spans="1:31" x14ac:dyDescent="0.35">
      <c r="A440" s="56" t="s">
        <v>508</v>
      </c>
      <c r="B440" s="58">
        <v>13700</v>
      </c>
      <c r="C440" s="58" t="s">
        <v>67</v>
      </c>
      <c r="D440" s="58">
        <v>0</v>
      </c>
      <c r="E440" s="58">
        <v>0</v>
      </c>
      <c r="F440" s="58">
        <v>0</v>
      </c>
      <c r="G440" s="58">
        <v>0</v>
      </c>
      <c r="H440" s="58">
        <v>0</v>
      </c>
      <c r="I440" s="58">
        <v>0</v>
      </c>
      <c r="J440" s="58">
        <v>0</v>
      </c>
      <c r="K440" s="58">
        <v>0</v>
      </c>
      <c r="L440" s="58">
        <v>900</v>
      </c>
      <c r="M440" s="58">
        <v>0</v>
      </c>
      <c r="N440" s="58">
        <v>15136.95</v>
      </c>
      <c r="O440" s="58">
        <v>13700</v>
      </c>
      <c r="P440" s="58" t="s">
        <v>67</v>
      </c>
      <c r="Q440" s="58">
        <v>0</v>
      </c>
      <c r="R440" s="58">
        <v>0</v>
      </c>
      <c r="S440" s="58">
        <v>0</v>
      </c>
      <c r="T440" s="58">
        <v>0</v>
      </c>
      <c r="U440" s="58">
        <v>0</v>
      </c>
      <c r="V440" s="58">
        <v>0</v>
      </c>
      <c r="W440" s="58">
        <v>0</v>
      </c>
      <c r="X440" s="58">
        <v>0</v>
      </c>
      <c r="Y440" s="58">
        <v>4875</v>
      </c>
      <c r="Z440" s="58">
        <v>4875</v>
      </c>
      <c r="AA440" s="58">
        <v>15136.95</v>
      </c>
      <c r="AE440" s="57"/>
    </row>
    <row r="441" spans="1:31" x14ac:dyDescent="0.35">
      <c r="A441" s="56" t="s">
        <v>509</v>
      </c>
      <c r="B441" s="58">
        <v>13700</v>
      </c>
      <c r="C441" s="58" t="s">
        <v>37</v>
      </c>
      <c r="D441" s="58">
        <v>0</v>
      </c>
      <c r="E441" s="58">
        <v>0</v>
      </c>
      <c r="F441" s="58">
        <v>0</v>
      </c>
      <c r="G441" s="58">
        <v>0</v>
      </c>
      <c r="H441" s="58">
        <v>0</v>
      </c>
      <c r="I441" s="58">
        <v>0</v>
      </c>
      <c r="J441" s="58">
        <v>0</v>
      </c>
      <c r="K441" s="58">
        <v>0</v>
      </c>
      <c r="L441" s="58">
        <v>600</v>
      </c>
      <c r="M441" s="58">
        <v>0</v>
      </c>
      <c r="N441" s="58">
        <v>15136.95</v>
      </c>
      <c r="O441" s="58">
        <v>13700</v>
      </c>
      <c r="P441" s="58" t="s">
        <v>37</v>
      </c>
      <c r="Q441" s="58">
        <v>0</v>
      </c>
      <c r="R441" s="58">
        <v>0</v>
      </c>
      <c r="S441" s="58">
        <v>0</v>
      </c>
      <c r="T441" s="58">
        <v>0</v>
      </c>
      <c r="U441" s="58">
        <v>0</v>
      </c>
      <c r="V441" s="58">
        <v>0</v>
      </c>
      <c r="W441" s="58">
        <v>0</v>
      </c>
      <c r="X441" s="58">
        <v>0</v>
      </c>
      <c r="Y441" s="58">
        <v>4875</v>
      </c>
      <c r="Z441" s="58">
        <v>4875</v>
      </c>
      <c r="AA441" s="58">
        <v>15136.95</v>
      </c>
      <c r="AE441" s="57"/>
    </row>
    <row r="442" spans="1:31" x14ac:dyDescent="0.35">
      <c r="A442" s="56" t="s">
        <v>510</v>
      </c>
      <c r="B442" s="58">
        <v>13700</v>
      </c>
      <c r="C442" s="58" t="s">
        <v>38</v>
      </c>
      <c r="D442" s="58">
        <v>0</v>
      </c>
      <c r="E442" s="58">
        <v>0</v>
      </c>
      <c r="F442" s="58">
        <v>0</v>
      </c>
      <c r="G442" s="58">
        <v>0</v>
      </c>
      <c r="H442" s="58">
        <v>0</v>
      </c>
      <c r="I442" s="58">
        <v>0</v>
      </c>
      <c r="J442" s="58">
        <v>0</v>
      </c>
      <c r="K442" s="58">
        <v>0</v>
      </c>
      <c r="L442" s="58">
        <v>600</v>
      </c>
      <c r="M442" s="58">
        <v>0</v>
      </c>
      <c r="N442" s="58">
        <v>15136.95</v>
      </c>
      <c r="O442" s="58">
        <v>13700</v>
      </c>
      <c r="P442" s="58" t="s">
        <v>38</v>
      </c>
      <c r="Q442" s="58">
        <v>0</v>
      </c>
      <c r="R442" s="58">
        <v>0</v>
      </c>
      <c r="S442" s="58">
        <v>0</v>
      </c>
      <c r="T442" s="58">
        <v>0</v>
      </c>
      <c r="U442" s="58">
        <v>0</v>
      </c>
      <c r="V442" s="58">
        <v>0</v>
      </c>
      <c r="W442" s="58">
        <v>0</v>
      </c>
      <c r="X442" s="58">
        <v>0</v>
      </c>
      <c r="Y442" s="58">
        <v>4875</v>
      </c>
      <c r="Z442" s="58">
        <v>4875</v>
      </c>
      <c r="AA442" s="58">
        <v>15136.95</v>
      </c>
      <c r="AE442" s="57"/>
    </row>
    <row r="443" spans="1:31" x14ac:dyDescent="0.35">
      <c r="A443" s="56" t="s">
        <v>511</v>
      </c>
      <c r="B443" s="58">
        <v>13700</v>
      </c>
      <c r="C443" s="58" t="s">
        <v>26</v>
      </c>
      <c r="D443" s="58">
        <v>705</v>
      </c>
      <c r="E443" s="58">
        <v>-21</v>
      </c>
      <c r="F443" s="58">
        <v>-2.8925619834710745</v>
      </c>
      <c r="G443" s="58">
        <v>63</v>
      </c>
      <c r="H443" s="58">
        <v>28.67</v>
      </c>
      <c r="I443" s="58">
        <v>86.5</v>
      </c>
      <c r="J443" s="58">
        <v>-9.4000000000000057</v>
      </c>
      <c r="K443" s="58">
        <v>-9.8018769551616316</v>
      </c>
      <c r="L443" s="58">
        <v>12675</v>
      </c>
      <c r="M443" s="58">
        <v>8250</v>
      </c>
      <c r="N443" s="58">
        <v>15136.95</v>
      </c>
      <c r="O443" s="58">
        <v>13700</v>
      </c>
      <c r="P443" s="58" t="s">
        <v>26</v>
      </c>
      <c r="Q443" s="58">
        <v>192</v>
      </c>
      <c r="R443" s="58">
        <v>0</v>
      </c>
      <c r="S443" s="58">
        <v>0</v>
      </c>
      <c r="T443" s="58">
        <v>0</v>
      </c>
      <c r="U443" s="58">
        <v>0</v>
      </c>
      <c r="V443" s="58">
        <v>0</v>
      </c>
      <c r="W443" s="58">
        <v>0</v>
      </c>
      <c r="X443" s="58">
        <v>0</v>
      </c>
      <c r="Y443" s="58">
        <v>10500</v>
      </c>
      <c r="Z443" s="58">
        <v>10125</v>
      </c>
      <c r="AA443" s="58">
        <v>15136.95</v>
      </c>
      <c r="AE443" s="57"/>
    </row>
    <row r="444" spans="1:31" x14ac:dyDescent="0.35">
      <c r="A444" s="56" t="s">
        <v>512</v>
      </c>
      <c r="B444" s="58">
        <v>13700</v>
      </c>
      <c r="C444" s="58" t="s">
        <v>34</v>
      </c>
      <c r="D444" s="58">
        <v>2201</v>
      </c>
      <c r="E444" s="58">
        <v>539</v>
      </c>
      <c r="F444" s="58">
        <v>32.430806257521056</v>
      </c>
      <c r="G444" s="58">
        <v>1592</v>
      </c>
      <c r="H444" s="58">
        <v>36.03</v>
      </c>
      <c r="I444" s="58">
        <v>5.2</v>
      </c>
      <c r="J444" s="58">
        <v>-1.95</v>
      </c>
      <c r="K444" s="58">
        <v>-27.272727272727277</v>
      </c>
      <c r="L444" s="58">
        <v>64725</v>
      </c>
      <c r="M444" s="58">
        <v>19800</v>
      </c>
      <c r="N444" s="58">
        <v>15136.95</v>
      </c>
      <c r="O444" s="58">
        <v>13700</v>
      </c>
      <c r="P444" s="58" t="s">
        <v>34</v>
      </c>
      <c r="Q444" s="58">
        <v>9</v>
      </c>
      <c r="R444" s="58">
        <v>0</v>
      </c>
      <c r="S444" s="58">
        <v>0</v>
      </c>
      <c r="T444" s="58">
        <v>4</v>
      </c>
      <c r="U444" s="58">
        <v>0</v>
      </c>
      <c r="V444" s="58">
        <v>1440</v>
      </c>
      <c r="W444" s="58">
        <v>171.09999999999991</v>
      </c>
      <c r="X444" s="58">
        <v>13.484120104027102</v>
      </c>
      <c r="Y444" s="58">
        <v>9375</v>
      </c>
      <c r="Z444" s="58">
        <v>6300</v>
      </c>
      <c r="AA444" s="58">
        <v>15136.95</v>
      </c>
      <c r="AE444" s="57"/>
    </row>
    <row r="445" spans="1:31" x14ac:dyDescent="0.35">
      <c r="A445" s="56" t="s">
        <v>513</v>
      </c>
      <c r="B445" s="58">
        <v>0</v>
      </c>
      <c r="C445" s="58">
        <v>0</v>
      </c>
      <c r="D445" s="58">
        <v>0</v>
      </c>
      <c r="E445" s="58">
        <v>0</v>
      </c>
      <c r="F445" s="58">
        <v>0</v>
      </c>
      <c r="G445" s="58">
        <v>0</v>
      </c>
      <c r="H445" s="58">
        <v>0</v>
      </c>
      <c r="I445" s="58">
        <v>0</v>
      </c>
      <c r="J445" s="58">
        <v>0</v>
      </c>
      <c r="K445" s="58">
        <v>0</v>
      </c>
      <c r="L445" s="58">
        <v>0</v>
      </c>
      <c r="M445" s="58">
        <v>0</v>
      </c>
      <c r="N445" s="58">
        <v>0</v>
      </c>
      <c r="O445" s="58">
        <v>13700</v>
      </c>
      <c r="P445" s="58" t="s">
        <v>2074</v>
      </c>
      <c r="Q445" s="58">
        <v>0</v>
      </c>
      <c r="R445" s="58">
        <v>0</v>
      </c>
      <c r="S445" s="58">
        <v>0</v>
      </c>
      <c r="T445" s="58">
        <v>0</v>
      </c>
      <c r="U445" s="58">
        <v>0</v>
      </c>
      <c r="V445" s="58">
        <v>0</v>
      </c>
      <c r="W445" s="58">
        <v>0</v>
      </c>
      <c r="X445" s="58">
        <v>0</v>
      </c>
      <c r="Y445" s="58">
        <v>4875</v>
      </c>
      <c r="Z445" s="58">
        <v>4875</v>
      </c>
      <c r="AA445" s="58">
        <v>15136.95</v>
      </c>
      <c r="AE445" s="57"/>
    </row>
    <row r="446" spans="1:31" x14ac:dyDescent="0.35">
      <c r="A446" s="56" t="s">
        <v>514</v>
      </c>
      <c r="B446" s="58">
        <v>13700</v>
      </c>
      <c r="C446" s="58" t="s">
        <v>2071</v>
      </c>
      <c r="D446" s="58">
        <v>0</v>
      </c>
      <c r="E446" s="58">
        <v>0</v>
      </c>
      <c r="F446" s="58">
        <v>0</v>
      </c>
      <c r="G446" s="58">
        <v>0</v>
      </c>
      <c r="H446" s="58">
        <v>0</v>
      </c>
      <c r="I446" s="58">
        <v>0</v>
      </c>
      <c r="J446" s="58">
        <v>0</v>
      </c>
      <c r="K446" s="58">
        <v>0</v>
      </c>
      <c r="L446" s="58">
        <v>1350</v>
      </c>
      <c r="M446" s="58">
        <v>0</v>
      </c>
      <c r="N446" s="58">
        <v>15136.95</v>
      </c>
      <c r="O446" s="58">
        <v>13700</v>
      </c>
      <c r="P446" s="58" t="s">
        <v>2071</v>
      </c>
      <c r="Q446" s="58">
        <v>0</v>
      </c>
      <c r="R446" s="58">
        <v>0</v>
      </c>
      <c r="S446" s="58">
        <v>0</v>
      </c>
      <c r="T446" s="58">
        <v>0</v>
      </c>
      <c r="U446" s="58">
        <v>0</v>
      </c>
      <c r="V446" s="58">
        <v>0</v>
      </c>
      <c r="W446" s="58">
        <v>0</v>
      </c>
      <c r="X446" s="58">
        <v>0</v>
      </c>
      <c r="Y446" s="58">
        <v>5400</v>
      </c>
      <c r="Z446" s="58">
        <v>4875</v>
      </c>
      <c r="AA446" s="58">
        <v>15136.95</v>
      </c>
      <c r="AE446" s="57"/>
    </row>
    <row r="447" spans="1:31" x14ac:dyDescent="0.35">
      <c r="A447" s="56" t="s">
        <v>515</v>
      </c>
      <c r="B447" s="58">
        <v>13700</v>
      </c>
      <c r="C447" s="58" t="s">
        <v>35</v>
      </c>
      <c r="D447" s="58">
        <v>4784</v>
      </c>
      <c r="E447" s="58">
        <v>38</v>
      </c>
      <c r="F447" s="58">
        <v>0.80067425200168563</v>
      </c>
      <c r="G447" s="58">
        <v>1325</v>
      </c>
      <c r="H447" s="58">
        <v>62.93</v>
      </c>
      <c r="I447" s="58">
        <v>0.25</v>
      </c>
      <c r="J447" s="58">
        <v>-0.55000000000000004</v>
      </c>
      <c r="K447" s="58">
        <v>-68.75</v>
      </c>
      <c r="L447" s="58">
        <v>189525</v>
      </c>
      <c r="M447" s="58">
        <v>66900</v>
      </c>
      <c r="N447" s="58">
        <v>15136.95</v>
      </c>
      <c r="O447" s="58">
        <v>13700</v>
      </c>
      <c r="P447" s="58" t="s">
        <v>35</v>
      </c>
      <c r="Q447" s="58">
        <v>370</v>
      </c>
      <c r="R447" s="58">
        <v>-2</v>
      </c>
      <c r="S447" s="58">
        <v>-0.5376344086021505</v>
      </c>
      <c r="T447" s="58">
        <v>10</v>
      </c>
      <c r="U447" s="58">
        <v>0</v>
      </c>
      <c r="V447" s="58">
        <v>1433.3</v>
      </c>
      <c r="W447" s="58">
        <v>67.849999999999909</v>
      </c>
      <c r="X447" s="58">
        <v>4.9690578197663706</v>
      </c>
      <c r="Y447" s="58">
        <v>17550</v>
      </c>
      <c r="Z447" s="58">
        <v>17325</v>
      </c>
      <c r="AA447" s="58">
        <v>15136.95</v>
      </c>
      <c r="AE447" s="57"/>
    </row>
    <row r="448" spans="1:31" x14ac:dyDescent="0.35">
      <c r="A448" s="56" t="s">
        <v>516</v>
      </c>
      <c r="B448" s="58">
        <v>13700</v>
      </c>
      <c r="C448" s="58" t="s">
        <v>36</v>
      </c>
      <c r="D448" s="58">
        <v>0</v>
      </c>
      <c r="E448" s="58">
        <v>0</v>
      </c>
      <c r="F448" s="58">
        <v>0</v>
      </c>
      <c r="G448" s="58">
        <v>0</v>
      </c>
      <c r="H448" s="58">
        <v>0</v>
      </c>
      <c r="I448" s="58">
        <v>0</v>
      </c>
      <c r="J448" s="58">
        <v>0</v>
      </c>
      <c r="K448" s="58">
        <v>0</v>
      </c>
      <c r="L448" s="58">
        <v>2850</v>
      </c>
      <c r="M448" s="58">
        <v>75</v>
      </c>
      <c r="N448" s="58">
        <v>15136.95</v>
      </c>
      <c r="O448" s="58">
        <v>13700</v>
      </c>
      <c r="P448" s="58" t="s">
        <v>36</v>
      </c>
      <c r="Q448" s="58">
        <v>0</v>
      </c>
      <c r="R448" s="58">
        <v>0</v>
      </c>
      <c r="S448" s="58">
        <v>0</v>
      </c>
      <c r="T448" s="58">
        <v>0</v>
      </c>
      <c r="U448" s="58">
        <v>0</v>
      </c>
      <c r="V448" s="58">
        <v>0</v>
      </c>
      <c r="W448" s="58">
        <v>0</v>
      </c>
      <c r="X448" s="58">
        <v>0</v>
      </c>
      <c r="Y448" s="58">
        <v>4875</v>
      </c>
      <c r="Z448" s="58">
        <v>4875</v>
      </c>
      <c r="AA448" s="58">
        <v>15136.95</v>
      </c>
      <c r="AE448" s="57"/>
    </row>
    <row r="449" spans="1:31" x14ac:dyDescent="0.35">
      <c r="A449" s="56" t="s">
        <v>517</v>
      </c>
      <c r="B449" s="58">
        <v>13750</v>
      </c>
      <c r="C449" s="58" t="s">
        <v>34</v>
      </c>
      <c r="D449" s="58">
        <v>71</v>
      </c>
      <c r="E449" s="58">
        <v>27</v>
      </c>
      <c r="F449" s="58">
        <v>61.363636363636367</v>
      </c>
      <c r="G449" s="58">
        <v>210</v>
      </c>
      <c r="H449" s="58">
        <v>35.18</v>
      </c>
      <c r="I449" s="58">
        <v>5.6</v>
      </c>
      <c r="J449" s="58">
        <v>-2.2000000000000002</v>
      </c>
      <c r="K449" s="58">
        <v>-28.205128205128212</v>
      </c>
      <c r="L449" s="58">
        <v>53850</v>
      </c>
      <c r="M449" s="58">
        <v>16875</v>
      </c>
      <c r="N449" s="58">
        <v>15136.95</v>
      </c>
      <c r="O449" s="58">
        <v>13750</v>
      </c>
      <c r="P449" s="58" t="s">
        <v>34</v>
      </c>
      <c r="Q449" s="58">
        <v>4</v>
      </c>
      <c r="R449" s="58">
        <v>0</v>
      </c>
      <c r="S449" s="58">
        <v>0</v>
      </c>
      <c r="T449" s="58">
        <v>0</v>
      </c>
      <c r="U449" s="58">
        <v>0</v>
      </c>
      <c r="V449" s="58">
        <v>0</v>
      </c>
      <c r="W449" s="58">
        <v>0</v>
      </c>
      <c r="X449" s="58">
        <v>0</v>
      </c>
      <c r="Y449" s="58">
        <v>7725</v>
      </c>
      <c r="Z449" s="58">
        <v>7725</v>
      </c>
      <c r="AA449" s="58">
        <v>15136.95</v>
      </c>
      <c r="AE449" s="57"/>
    </row>
    <row r="450" spans="1:31" x14ac:dyDescent="0.35">
      <c r="A450" s="56" t="s">
        <v>518</v>
      </c>
      <c r="B450" s="58">
        <v>13750</v>
      </c>
      <c r="C450" s="58" t="s">
        <v>36</v>
      </c>
      <c r="D450" s="58">
        <v>0</v>
      </c>
      <c r="E450" s="58">
        <v>0</v>
      </c>
      <c r="F450" s="58">
        <v>0</v>
      </c>
      <c r="G450" s="58">
        <v>0</v>
      </c>
      <c r="H450" s="58">
        <v>0</v>
      </c>
      <c r="I450" s="58">
        <v>0</v>
      </c>
      <c r="J450" s="58">
        <v>0</v>
      </c>
      <c r="K450" s="58">
        <v>0</v>
      </c>
      <c r="L450" s="58">
        <v>0</v>
      </c>
      <c r="M450" s="58">
        <v>0</v>
      </c>
      <c r="N450" s="58">
        <v>15136.95</v>
      </c>
      <c r="O450" s="58">
        <v>13750</v>
      </c>
      <c r="P450" s="58" t="s">
        <v>36</v>
      </c>
      <c r="Q450" s="58">
        <v>0</v>
      </c>
      <c r="R450" s="58">
        <v>0</v>
      </c>
      <c r="S450" s="58">
        <v>0</v>
      </c>
      <c r="T450" s="58">
        <v>0</v>
      </c>
      <c r="U450" s="58">
        <v>0</v>
      </c>
      <c r="V450" s="58">
        <v>0</v>
      </c>
      <c r="W450" s="58">
        <v>0</v>
      </c>
      <c r="X450" s="58">
        <v>0</v>
      </c>
      <c r="Y450" s="58">
        <v>4875</v>
      </c>
      <c r="Z450" s="58">
        <v>4875</v>
      </c>
      <c r="AA450" s="58">
        <v>15136.95</v>
      </c>
      <c r="AE450" s="57"/>
    </row>
    <row r="451" spans="1:31" x14ac:dyDescent="0.35">
      <c r="A451" s="56" t="s">
        <v>519</v>
      </c>
      <c r="B451" s="58">
        <v>13750</v>
      </c>
      <c r="C451" s="58" t="s">
        <v>37</v>
      </c>
      <c r="D451" s="58">
        <v>0</v>
      </c>
      <c r="E451" s="58">
        <v>0</v>
      </c>
      <c r="F451" s="58">
        <v>0</v>
      </c>
      <c r="G451" s="58">
        <v>0</v>
      </c>
      <c r="H451" s="58">
        <v>0</v>
      </c>
      <c r="I451" s="58">
        <v>0</v>
      </c>
      <c r="J451" s="58">
        <v>0</v>
      </c>
      <c r="K451" s="58">
        <v>0</v>
      </c>
      <c r="L451" s="58">
        <v>300</v>
      </c>
      <c r="M451" s="58">
        <v>0</v>
      </c>
      <c r="N451" s="58">
        <v>15136.95</v>
      </c>
      <c r="O451" s="58">
        <v>13750</v>
      </c>
      <c r="P451" s="58" t="s">
        <v>37</v>
      </c>
      <c r="Q451" s="58">
        <v>0</v>
      </c>
      <c r="R451" s="58">
        <v>0</v>
      </c>
      <c r="S451" s="58">
        <v>0</v>
      </c>
      <c r="T451" s="58">
        <v>0</v>
      </c>
      <c r="U451" s="58">
        <v>0</v>
      </c>
      <c r="V451" s="58">
        <v>0</v>
      </c>
      <c r="W451" s="58">
        <v>0</v>
      </c>
      <c r="X451" s="58">
        <v>0</v>
      </c>
      <c r="Y451" s="58">
        <v>4875</v>
      </c>
      <c r="Z451" s="58">
        <v>4875</v>
      </c>
      <c r="AA451" s="58">
        <v>15136.95</v>
      </c>
      <c r="AE451" s="57"/>
    </row>
    <row r="452" spans="1:31" x14ac:dyDescent="0.35">
      <c r="A452" s="56" t="s">
        <v>520</v>
      </c>
      <c r="B452" s="58">
        <v>13750</v>
      </c>
      <c r="C452" s="58" t="s">
        <v>38</v>
      </c>
      <c r="D452" s="58">
        <v>0</v>
      </c>
      <c r="E452" s="58">
        <v>0</v>
      </c>
      <c r="F452" s="58">
        <v>0</v>
      </c>
      <c r="G452" s="58">
        <v>0</v>
      </c>
      <c r="H452" s="58">
        <v>0</v>
      </c>
      <c r="I452" s="58">
        <v>0</v>
      </c>
      <c r="J452" s="58">
        <v>0</v>
      </c>
      <c r="K452" s="58">
        <v>0</v>
      </c>
      <c r="L452" s="58">
        <v>375</v>
      </c>
      <c r="M452" s="58">
        <v>0</v>
      </c>
      <c r="N452" s="58">
        <v>15136.95</v>
      </c>
      <c r="O452" s="58">
        <v>13750</v>
      </c>
      <c r="P452" s="58" t="s">
        <v>38</v>
      </c>
      <c r="Q452" s="58">
        <v>0</v>
      </c>
      <c r="R452" s="58">
        <v>0</v>
      </c>
      <c r="S452" s="58">
        <v>0</v>
      </c>
      <c r="T452" s="58">
        <v>0</v>
      </c>
      <c r="U452" s="58">
        <v>0</v>
      </c>
      <c r="V452" s="58">
        <v>0</v>
      </c>
      <c r="W452" s="58">
        <v>0</v>
      </c>
      <c r="X452" s="58">
        <v>0</v>
      </c>
      <c r="Y452" s="58">
        <v>4875</v>
      </c>
      <c r="Z452" s="58">
        <v>4875</v>
      </c>
      <c r="AA452" s="58">
        <v>15136.95</v>
      </c>
      <c r="AE452" s="57"/>
    </row>
    <row r="453" spans="1:31" x14ac:dyDescent="0.35">
      <c r="A453" s="56" t="s">
        <v>521</v>
      </c>
      <c r="B453" s="58">
        <v>13750</v>
      </c>
      <c r="C453" s="58" t="s">
        <v>26</v>
      </c>
      <c r="D453" s="58">
        <v>17</v>
      </c>
      <c r="E453" s="58">
        <v>0</v>
      </c>
      <c r="F453" s="58">
        <v>0</v>
      </c>
      <c r="G453" s="58">
        <v>0</v>
      </c>
      <c r="H453" s="58">
        <v>0</v>
      </c>
      <c r="I453" s="58">
        <v>0</v>
      </c>
      <c r="J453" s="58">
        <v>0</v>
      </c>
      <c r="K453" s="58">
        <v>0</v>
      </c>
      <c r="L453" s="58">
        <v>675</v>
      </c>
      <c r="M453" s="58">
        <v>0</v>
      </c>
      <c r="N453" s="58">
        <v>15136.95</v>
      </c>
      <c r="O453" s="58">
        <v>13750</v>
      </c>
      <c r="P453" s="58" t="s">
        <v>26</v>
      </c>
      <c r="Q453" s="58">
        <v>5</v>
      </c>
      <c r="R453" s="58">
        <v>0</v>
      </c>
      <c r="S453" s="58">
        <v>0</v>
      </c>
      <c r="T453" s="58">
        <v>0</v>
      </c>
      <c r="U453" s="58">
        <v>0</v>
      </c>
      <c r="V453" s="58">
        <v>0</v>
      </c>
      <c r="W453" s="58">
        <v>0</v>
      </c>
      <c r="X453" s="58">
        <v>0</v>
      </c>
      <c r="Y453" s="58">
        <v>12675</v>
      </c>
      <c r="Z453" s="58">
        <v>4875</v>
      </c>
      <c r="AA453" s="58">
        <v>15136.95</v>
      </c>
      <c r="AE453" s="57"/>
    </row>
    <row r="454" spans="1:31" x14ac:dyDescent="0.35">
      <c r="A454" s="56" t="s">
        <v>522</v>
      </c>
      <c r="B454" s="58">
        <v>0</v>
      </c>
      <c r="C454" s="58">
        <v>0</v>
      </c>
      <c r="D454" s="58">
        <v>0</v>
      </c>
      <c r="E454" s="58">
        <v>0</v>
      </c>
      <c r="F454" s="58">
        <v>0</v>
      </c>
      <c r="G454" s="58">
        <v>0</v>
      </c>
      <c r="H454" s="58">
        <v>0</v>
      </c>
      <c r="I454" s="58">
        <v>0</v>
      </c>
      <c r="J454" s="58">
        <v>0</v>
      </c>
      <c r="K454" s="58">
        <v>0</v>
      </c>
      <c r="L454" s="58">
        <v>0</v>
      </c>
      <c r="M454" s="58">
        <v>0</v>
      </c>
      <c r="N454" s="58">
        <v>0</v>
      </c>
      <c r="O454" s="58">
        <v>13750</v>
      </c>
      <c r="P454" s="58" t="s">
        <v>67</v>
      </c>
      <c r="Q454" s="58">
        <v>0</v>
      </c>
      <c r="R454" s="58">
        <v>0</v>
      </c>
      <c r="S454" s="58">
        <v>0</v>
      </c>
      <c r="T454" s="58">
        <v>0</v>
      </c>
      <c r="U454" s="58">
        <v>0</v>
      </c>
      <c r="V454" s="58">
        <v>0</v>
      </c>
      <c r="W454" s="58">
        <v>0</v>
      </c>
      <c r="X454" s="58">
        <v>0</v>
      </c>
      <c r="Y454" s="58">
        <v>4875</v>
      </c>
      <c r="Z454" s="58">
        <v>4875</v>
      </c>
      <c r="AA454" s="58">
        <v>15136.95</v>
      </c>
      <c r="AE454" s="57"/>
    </row>
    <row r="455" spans="1:31" x14ac:dyDescent="0.35">
      <c r="A455" s="56" t="s">
        <v>523</v>
      </c>
      <c r="B455" s="58">
        <v>0</v>
      </c>
      <c r="C455" s="58">
        <v>0</v>
      </c>
      <c r="D455" s="58">
        <v>0</v>
      </c>
      <c r="E455" s="58">
        <v>0</v>
      </c>
      <c r="F455" s="58">
        <v>0</v>
      </c>
      <c r="G455" s="58">
        <v>0</v>
      </c>
      <c r="H455" s="58">
        <v>0</v>
      </c>
      <c r="I455" s="58">
        <v>0</v>
      </c>
      <c r="J455" s="58">
        <v>0</v>
      </c>
      <c r="K455" s="58">
        <v>0</v>
      </c>
      <c r="L455" s="58">
        <v>0</v>
      </c>
      <c r="M455" s="58">
        <v>0</v>
      </c>
      <c r="N455" s="58">
        <v>0</v>
      </c>
      <c r="O455" s="58">
        <v>13750</v>
      </c>
      <c r="P455" s="58" t="s">
        <v>2074</v>
      </c>
      <c r="Q455" s="58">
        <v>0</v>
      </c>
      <c r="R455" s="58">
        <v>0</v>
      </c>
      <c r="S455" s="58">
        <v>0</v>
      </c>
      <c r="T455" s="58">
        <v>0</v>
      </c>
      <c r="U455" s="58">
        <v>0</v>
      </c>
      <c r="V455" s="58">
        <v>0</v>
      </c>
      <c r="W455" s="58">
        <v>0</v>
      </c>
      <c r="X455" s="58">
        <v>0</v>
      </c>
      <c r="Y455" s="58">
        <v>4875</v>
      </c>
      <c r="Z455" s="58">
        <v>4875</v>
      </c>
      <c r="AA455" s="58">
        <v>15136.95</v>
      </c>
      <c r="AE455" s="57"/>
    </row>
    <row r="456" spans="1:31" x14ac:dyDescent="0.35">
      <c r="A456" s="56" t="s">
        <v>524</v>
      </c>
      <c r="B456" s="58">
        <v>0</v>
      </c>
      <c r="C456" s="58">
        <v>0</v>
      </c>
      <c r="D456" s="58">
        <v>0</v>
      </c>
      <c r="E456" s="58">
        <v>0</v>
      </c>
      <c r="F456" s="58">
        <v>0</v>
      </c>
      <c r="G456" s="58">
        <v>0</v>
      </c>
      <c r="H456" s="58">
        <v>0</v>
      </c>
      <c r="I456" s="58">
        <v>0</v>
      </c>
      <c r="J456" s="58">
        <v>0</v>
      </c>
      <c r="K456" s="58">
        <v>0</v>
      </c>
      <c r="L456" s="58">
        <v>0</v>
      </c>
      <c r="M456" s="58">
        <v>0</v>
      </c>
      <c r="N456" s="58">
        <v>0</v>
      </c>
      <c r="O456" s="58">
        <v>13750</v>
      </c>
      <c r="P456" s="58" t="s">
        <v>2071</v>
      </c>
      <c r="Q456" s="58">
        <v>0</v>
      </c>
      <c r="R456" s="58">
        <v>0</v>
      </c>
      <c r="S456" s="58">
        <v>0</v>
      </c>
      <c r="T456" s="58">
        <v>0</v>
      </c>
      <c r="U456" s="58">
        <v>0</v>
      </c>
      <c r="V456" s="58">
        <v>0</v>
      </c>
      <c r="W456" s="58">
        <v>0</v>
      </c>
      <c r="X456" s="58">
        <v>0</v>
      </c>
      <c r="Y456" s="58">
        <v>5550</v>
      </c>
      <c r="Z456" s="58">
        <v>4875</v>
      </c>
      <c r="AA456" s="58">
        <v>15136.95</v>
      </c>
      <c r="AE456" s="57"/>
    </row>
    <row r="457" spans="1:31" x14ac:dyDescent="0.35">
      <c r="A457" s="56" t="s">
        <v>525</v>
      </c>
      <c r="B457" s="58">
        <v>13750</v>
      </c>
      <c r="C457" s="58" t="s">
        <v>35</v>
      </c>
      <c r="D457" s="58">
        <v>299</v>
      </c>
      <c r="E457" s="58">
        <v>-13</v>
      </c>
      <c r="F457" s="58">
        <v>-4.166666666666667</v>
      </c>
      <c r="G457" s="58">
        <v>53</v>
      </c>
      <c r="H457" s="58">
        <v>60.83</v>
      </c>
      <c r="I457" s="58">
        <v>0.15</v>
      </c>
      <c r="J457" s="58">
        <v>-0.4</v>
      </c>
      <c r="K457" s="58">
        <v>-72.727272727272734</v>
      </c>
      <c r="L457" s="58">
        <v>12300</v>
      </c>
      <c r="M457" s="58">
        <v>55650</v>
      </c>
      <c r="N457" s="58">
        <v>15136.95</v>
      </c>
      <c r="O457" s="58">
        <v>13750</v>
      </c>
      <c r="P457" s="58" t="s">
        <v>35</v>
      </c>
      <c r="Q457" s="58">
        <v>74</v>
      </c>
      <c r="R457" s="58">
        <v>0</v>
      </c>
      <c r="S457" s="58">
        <v>0</v>
      </c>
      <c r="T457" s="58">
        <v>0</v>
      </c>
      <c r="U457" s="58">
        <v>0</v>
      </c>
      <c r="V457" s="58">
        <v>0</v>
      </c>
      <c r="W457" s="58">
        <v>0</v>
      </c>
      <c r="X457" s="58">
        <v>0</v>
      </c>
      <c r="Y457" s="58">
        <v>14850</v>
      </c>
      <c r="Z457" s="58">
        <v>17700</v>
      </c>
      <c r="AA457" s="58">
        <v>15136.95</v>
      </c>
      <c r="AE457" s="57"/>
    </row>
    <row r="458" spans="1:31" x14ac:dyDescent="0.35">
      <c r="A458" s="56" t="s">
        <v>526</v>
      </c>
      <c r="B458" s="58">
        <v>13750</v>
      </c>
      <c r="C458" s="58" t="s">
        <v>33</v>
      </c>
      <c r="D458" s="58">
        <v>330</v>
      </c>
      <c r="E458" s="58">
        <v>0</v>
      </c>
      <c r="F458" s="58">
        <v>0</v>
      </c>
      <c r="G458" s="58">
        <v>54</v>
      </c>
      <c r="H458" s="58">
        <v>30.56</v>
      </c>
      <c r="I458" s="58">
        <v>16.600000000000001</v>
      </c>
      <c r="J458" s="58">
        <v>-4.8499999999999979</v>
      </c>
      <c r="K458" s="58">
        <v>-22.610722610722604</v>
      </c>
      <c r="L458" s="58">
        <v>67275</v>
      </c>
      <c r="M458" s="58">
        <v>17625</v>
      </c>
      <c r="N458" s="58">
        <v>15136.95</v>
      </c>
      <c r="O458" s="58">
        <v>13750</v>
      </c>
      <c r="P458" s="58" t="s">
        <v>33</v>
      </c>
      <c r="Q458" s="58">
        <v>218</v>
      </c>
      <c r="R458" s="58">
        <v>0</v>
      </c>
      <c r="S458" s="58">
        <v>0</v>
      </c>
      <c r="T458" s="58">
        <v>0</v>
      </c>
      <c r="U458" s="58">
        <v>0</v>
      </c>
      <c r="V458" s="58">
        <v>0</v>
      </c>
      <c r="W458" s="58">
        <v>0</v>
      </c>
      <c r="X458" s="58">
        <v>0</v>
      </c>
      <c r="Y458" s="58">
        <v>13500</v>
      </c>
      <c r="Z458" s="58">
        <v>14400</v>
      </c>
      <c r="AA458" s="58">
        <v>15136.95</v>
      </c>
      <c r="AE458" s="57"/>
    </row>
    <row r="459" spans="1:31" x14ac:dyDescent="0.35">
      <c r="A459" s="56" t="s">
        <v>527</v>
      </c>
      <c r="B459" s="58">
        <v>13800</v>
      </c>
      <c r="C459" s="58" t="s">
        <v>34</v>
      </c>
      <c r="D459" s="58">
        <v>4396</v>
      </c>
      <c r="E459" s="58">
        <v>880</v>
      </c>
      <c r="F459" s="58">
        <v>25.028441410693972</v>
      </c>
      <c r="G459" s="58">
        <v>2981</v>
      </c>
      <c r="H459" s="58">
        <v>34.53</v>
      </c>
      <c r="I459" s="58">
        <v>6.05</v>
      </c>
      <c r="J459" s="58">
        <v>-1.95</v>
      </c>
      <c r="K459" s="58">
        <v>-24.375000000000004</v>
      </c>
      <c r="L459" s="58">
        <v>74175</v>
      </c>
      <c r="M459" s="58">
        <v>22050</v>
      </c>
      <c r="N459" s="58">
        <v>15136.95</v>
      </c>
      <c r="O459" s="58">
        <v>13800</v>
      </c>
      <c r="P459" s="58" t="s">
        <v>34</v>
      </c>
      <c r="Q459" s="58">
        <v>6</v>
      </c>
      <c r="R459" s="58">
        <v>0</v>
      </c>
      <c r="S459" s="58">
        <v>0</v>
      </c>
      <c r="T459" s="58">
        <v>8</v>
      </c>
      <c r="U459" s="58">
        <v>0</v>
      </c>
      <c r="V459" s="58">
        <v>1352</v>
      </c>
      <c r="W459" s="58">
        <v>7</v>
      </c>
      <c r="X459" s="58">
        <v>0.5204460966542751</v>
      </c>
      <c r="Y459" s="58">
        <v>8775</v>
      </c>
      <c r="Z459" s="58">
        <v>6150</v>
      </c>
      <c r="AA459" s="58">
        <v>15136.95</v>
      </c>
      <c r="AE459" s="57"/>
    </row>
    <row r="460" spans="1:31" x14ac:dyDescent="0.35">
      <c r="A460" s="56" t="s">
        <v>528</v>
      </c>
      <c r="B460" s="58">
        <v>13800</v>
      </c>
      <c r="C460" s="58" t="s">
        <v>33</v>
      </c>
      <c r="D460" s="58">
        <v>10386</v>
      </c>
      <c r="E460" s="58">
        <v>151</v>
      </c>
      <c r="F460" s="58">
        <v>1.4753297508549097</v>
      </c>
      <c r="G460" s="58">
        <v>1742</v>
      </c>
      <c r="H460" s="58">
        <v>30.35</v>
      </c>
      <c r="I460" s="58">
        <v>18.95</v>
      </c>
      <c r="J460" s="58">
        <v>-4.1000000000000014</v>
      </c>
      <c r="K460" s="58">
        <v>-17.787418655097621</v>
      </c>
      <c r="L460" s="58">
        <v>86925</v>
      </c>
      <c r="M460" s="58">
        <v>20925</v>
      </c>
      <c r="N460" s="58">
        <v>15136.95</v>
      </c>
      <c r="O460" s="58">
        <v>13800</v>
      </c>
      <c r="P460" s="58" t="s">
        <v>33</v>
      </c>
      <c r="Q460" s="58">
        <v>2769</v>
      </c>
      <c r="R460" s="58">
        <v>7</v>
      </c>
      <c r="S460" s="58">
        <v>0.25343953656770457</v>
      </c>
      <c r="T460" s="58">
        <v>20</v>
      </c>
      <c r="U460" s="58">
        <v>0</v>
      </c>
      <c r="V460" s="58">
        <v>1370.7</v>
      </c>
      <c r="W460" s="58">
        <v>-0.95000000000004559</v>
      </c>
      <c r="X460" s="58">
        <v>-6.9259650785553559E-2</v>
      </c>
      <c r="Y460" s="58">
        <v>21225</v>
      </c>
      <c r="Z460" s="58">
        <v>20100</v>
      </c>
      <c r="AA460" s="58">
        <v>15136.95</v>
      </c>
      <c r="AE460" s="57"/>
    </row>
    <row r="461" spans="1:31" x14ac:dyDescent="0.35">
      <c r="A461" s="56" t="s">
        <v>529</v>
      </c>
      <c r="B461" s="58">
        <v>13800</v>
      </c>
      <c r="C461" s="58" t="s">
        <v>36</v>
      </c>
      <c r="D461" s="58">
        <v>0</v>
      </c>
      <c r="E461" s="58">
        <v>0</v>
      </c>
      <c r="F461" s="58">
        <v>0</v>
      </c>
      <c r="G461" s="58">
        <v>0</v>
      </c>
      <c r="H461" s="58">
        <v>0</v>
      </c>
      <c r="I461" s="58">
        <v>0</v>
      </c>
      <c r="J461" s="58">
        <v>0</v>
      </c>
      <c r="K461" s="58">
        <v>0</v>
      </c>
      <c r="L461" s="58">
        <v>2700</v>
      </c>
      <c r="M461" s="58">
        <v>75</v>
      </c>
      <c r="N461" s="58">
        <v>15136.95</v>
      </c>
      <c r="O461" s="58">
        <v>13800</v>
      </c>
      <c r="P461" s="58" t="s">
        <v>36</v>
      </c>
      <c r="Q461" s="58">
        <v>1</v>
      </c>
      <c r="R461" s="58">
        <v>0</v>
      </c>
      <c r="S461" s="58">
        <v>0</v>
      </c>
      <c r="T461" s="58">
        <v>0</v>
      </c>
      <c r="U461" s="58">
        <v>0</v>
      </c>
      <c r="V461" s="58">
        <v>0</v>
      </c>
      <c r="W461" s="58">
        <v>0</v>
      </c>
      <c r="X461" s="58">
        <v>0</v>
      </c>
      <c r="Y461" s="58">
        <v>4875</v>
      </c>
      <c r="Z461" s="58">
        <v>4875</v>
      </c>
      <c r="AA461" s="58">
        <v>15136.95</v>
      </c>
      <c r="AE461" s="57"/>
    </row>
    <row r="462" spans="1:31" x14ac:dyDescent="0.35">
      <c r="A462" s="56" t="s">
        <v>530</v>
      </c>
      <c r="B462" s="58">
        <v>13800</v>
      </c>
      <c r="C462" s="58" t="s">
        <v>37</v>
      </c>
      <c r="D462" s="58">
        <v>0</v>
      </c>
      <c r="E462" s="58">
        <v>0</v>
      </c>
      <c r="F462" s="58">
        <v>0</v>
      </c>
      <c r="G462" s="58">
        <v>0</v>
      </c>
      <c r="H462" s="58">
        <v>0</v>
      </c>
      <c r="I462" s="58">
        <v>0</v>
      </c>
      <c r="J462" s="58">
        <v>0</v>
      </c>
      <c r="K462" s="58">
        <v>0</v>
      </c>
      <c r="L462" s="58">
        <v>600</v>
      </c>
      <c r="M462" s="58">
        <v>0</v>
      </c>
      <c r="N462" s="58">
        <v>15136.95</v>
      </c>
      <c r="O462" s="58">
        <v>13800</v>
      </c>
      <c r="P462" s="58" t="s">
        <v>37</v>
      </c>
      <c r="Q462" s="58">
        <v>0</v>
      </c>
      <c r="R462" s="58">
        <v>0</v>
      </c>
      <c r="S462" s="58">
        <v>0</v>
      </c>
      <c r="T462" s="58">
        <v>0</v>
      </c>
      <c r="U462" s="58">
        <v>0</v>
      </c>
      <c r="V462" s="58">
        <v>0</v>
      </c>
      <c r="W462" s="58">
        <v>0</v>
      </c>
      <c r="X462" s="58">
        <v>0</v>
      </c>
      <c r="Y462" s="58">
        <v>4875</v>
      </c>
      <c r="Z462" s="58">
        <v>4875</v>
      </c>
      <c r="AA462" s="58">
        <v>15136.95</v>
      </c>
      <c r="AE462" s="57"/>
    </row>
    <row r="463" spans="1:31" x14ac:dyDescent="0.35">
      <c r="A463" s="56" t="s">
        <v>531</v>
      </c>
      <c r="B463" s="58">
        <v>13800</v>
      </c>
      <c r="C463" s="58" t="s">
        <v>35</v>
      </c>
      <c r="D463" s="58">
        <v>5239</v>
      </c>
      <c r="E463" s="58">
        <v>201</v>
      </c>
      <c r="F463" s="58">
        <v>3.9896784438269153</v>
      </c>
      <c r="G463" s="58">
        <v>2013</v>
      </c>
      <c r="H463" s="58">
        <v>60.2</v>
      </c>
      <c r="I463" s="58">
        <v>0.2</v>
      </c>
      <c r="J463" s="58">
        <v>-0.60000000000000009</v>
      </c>
      <c r="K463" s="58">
        <v>-75.000000000000014</v>
      </c>
      <c r="L463" s="58">
        <v>202650</v>
      </c>
      <c r="M463" s="58">
        <v>88725</v>
      </c>
      <c r="N463" s="58">
        <v>15136.95</v>
      </c>
      <c r="O463" s="58">
        <v>13800</v>
      </c>
      <c r="P463" s="58" t="s">
        <v>35</v>
      </c>
      <c r="Q463" s="58">
        <v>636</v>
      </c>
      <c r="R463" s="58">
        <v>-9</v>
      </c>
      <c r="S463" s="58">
        <v>-1.3953488372093024</v>
      </c>
      <c r="T463" s="58">
        <v>42</v>
      </c>
      <c r="U463" s="58">
        <v>0</v>
      </c>
      <c r="V463" s="58">
        <v>1342</v>
      </c>
      <c r="W463" s="58">
        <v>55.900000000000091</v>
      </c>
      <c r="X463" s="58">
        <v>4.3464738356270969</v>
      </c>
      <c r="Y463" s="58">
        <v>19200</v>
      </c>
      <c r="Z463" s="58">
        <v>20175</v>
      </c>
      <c r="AA463" s="58">
        <v>15136.95</v>
      </c>
      <c r="AE463" s="57"/>
    </row>
    <row r="464" spans="1:31" x14ac:dyDescent="0.35">
      <c r="A464" s="56" t="s">
        <v>532</v>
      </c>
      <c r="B464" s="58">
        <v>13800</v>
      </c>
      <c r="C464" s="58" t="s">
        <v>26</v>
      </c>
      <c r="D464" s="58">
        <v>1230</v>
      </c>
      <c r="E464" s="58">
        <v>31</v>
      </c>
      <c r="F464" s="58">
        <v>2.5854879065888241</v>
      </c>
      <c r="G464" s="58">
        <v>149</v>
      </c>
      <c r="H464" s="58">
        <v>28.42</v>
      </c>
      <c r="I464" s="58">
        <v>99.85</v>
      </c>
      <c r="J464" s="58">
        <v>-6.0500000000000114</v>
      </c>
      <c r="K464" s="58">
        <v>-5.7129367327667708</v>
      </c>
      <c r="L464" s="58">
        <v>17175</v>
      </c>
      <c r="M464" s="58">
        <v>13275</v>
      </c>
      <c r="N464" s="58">
        <v>15136.95</v>
      </c>
      <c r="O464" s="58">
        <v>13800</v>
      </c>
      <c r="P464" s="58" t="s">
        <v>26</v>
      </c>
      <c r="Q464" s="58">
        <v>422</v>
      </c>
      <c r="R464" s="58">
        <v>0</v>
      </c>
      <c r="S464" s="58">
        <v>0</v>
      </c>
      <c r="T464" s="58">
        <v>0</v>
      </c>
      <c r="U464" s="58">
        <v>0</v>
      </c>
      <c r="V464" s="58">
        <v>0</v>
      </c>
      <c r="W464" s="58">
        <v>0</v>
      </c>
      <c r="X464" s="58">
        <v>0</v>
      </c>
      <c r="Y464" s="58">
        <v>10950</v>
      </c>
      <c r="Z464" s="58">
        <v>10125</v>
      </c>
      <c r="AA464" s="58">
        <v>15136.95</v>
      </c>
      <c r="AE464" s="57"/>
    </row>
    <row r="465" spans="1:31" x14ac:dyDescent="0.35">
      <c r="A465" s="56" t="s">
        <v>533</v>
      </c>
      <c r="B465" s="58">
        <v>13800</v>
      </c>
      <c r="C465" s="58" t="s">
        <v>67</v>
      </c>
      <c r="D465" s="58">
        <v>4671</v>
      </c>
      <c r="E465" s="58">
        <v>0</v>
      </c>
      <c r="F465" s="58">
        <v>0</v>
      </c>
      <c r="G465" s="58">
        <v>0</v>
      </c>
      <c r="H465" s="58">
        <v>0</v>
      </c>
      <c r="I465" s="58">
        <v>0</v>
      </c>
      <c r="J465" s="58">
        <v>0</v>
      </c>
      <c r="K465" s="58">
        <v>0</v>
      </c>
      <c r="L465" s="58">
        <v>1200</v>
      </c>
      <c r="M465" s="58">
        <v>0</v>
      </c>
      <c r="N465" s="58">
        <v>15136.95</v>
      </c>
      <c r="O465" s="58">
        <v>13800</v>
      </c>
      <c r="P465" s="58" t="s">
        <v>67</v>
      </c>
      <c r="Q465" s="58">
        <v>4668</v>
      </c>
      <c r="R465" s="58">
        <v>0</v>
      </c>
      <c r="S465" s="58">
        <v>0</v>
      </c>
      <c r="T465" s="58">
        <v>0</v>
      </c>
      <c r="U465" s="58">
        <v>0</v>
      </c>
      <c r="V465" s="58">
        <v>0</v>
      </c>
      <c r="W465" s="58">
        <v>0</v>
      </c>
      <c r="X465" s="58">
        <v>0</v>
      </c>
      <c r="Y465" s="58">
        <v>4875</v>
      </c>
      <c r="Z465" s="58">
        <v>5025</v>
      </c>
      <c r="AA465" s="58">
        <v>15136.95</v>
      </c>
      <c r="AE465" s="57"/>
    </row>
    <row r="466" spans="1:31" x14ac:dyDescent="0.35">
      <c r="A466" s="56" t="s">
        <v>534</v>
      </c>
      <c r="B466" s="58">
        <v>0</v>
      </c>
      <c r="C466" s="58">
        <v>0</v>
      </c>
      <c r="D466" s="58">
        <v>0</v>
      </c>
      <c r="E466" s="58">
        <v>0</v>
      </c>
      <c r="F466" s="58">
        <v>0</v>
      </c>
      <c r="G466" s="58">
        <v>0</v>
      </c>
      <c r="H466" s="58">
        <v>0</v>
      </c>
      <c r="I466" s="58">
        <v>0</v>
      </c>
      <c r="J466" s="58">
        <v>0</v>
      </c>
      <c r="K466" s="58">
        <v>0</v>
      </c>
      <c r="L466" s="58">
        <v>0</v>
      </c>
      <c r="M466" s="58">
        <v>0</v>
      </c>
      <c r="N466" s="58">
        <v>0</v>
      </c>
      <c r="O466" s="58">
        <v>13800</v>
      </c>
      <c r="P466" s="58" t="s">
        <v>2074</v>
      </c>
      <c r="Q466" s="58">
        <v>0</v>
      </c>
      <c r="R466" s="58">
        <v>0</v>
      </c>
      <c r="S466" s="58">
        <v>0</v>
      </c>
      <c r="T466" s="58">
        <v>0</v>
      </c>
      <c r="U466" s="58">
        <v>0</v>
      </c>
      <c r="V466" s="58">
        <v>0</v>
      </c>
      <c r="W466" s="58">
        <v>0</v>
      </c>
      <c r="X466" s="58">
        <v>0</v>
      </c>
      <c r="Y466" s="58">
        <v>4875</v>
      </c>
      <c r="Z466" s="58">
        <v>4875</v>
      </c>
      <c r="AA466" s="58">
        <v>15136.95</v>
      </c>
      <c r="AE466" s="57"/>
    </row>
    <row r="467" spans="1:31" x14ac:dyDescent="0.35">
      <c r="A467" s="56" t="s">
        <v>535</v>
      </c>
      <c r="B467" s="58">
        <v>13800</v>
      </c>
      <c r="C467" s="58" t="s">
        <v>2071</v>
      </c>
      <c r="D467" s="58">
        <v>0</v>
      </c>
      <c r="E467" s="58">
        <v>0</v>
      </c>
      <c r="F467" s="58">
        <v>0</v>
      </c>
      <c r="G467" s="58">
        <v>0</v>
      </c>
      <c r="H467" s="58">
        <v>0</v>
      </c>
      <c r="I467" s="58">
        <v>0</v>
      </c>
      <c r="J467" s="58">
        <v>0</v>
      </c>
      <c r="K467" s="58">
        <v>0</v>
      </c>
      <c r="L467" s="58">
        <v>1350</v>
      </c>
      <c r="M467" s="58">
        <v>0</v>
      </c>
      <c r="N467" s="58">
        <v>15136.95</v>
      </c>
      <c r="O467" s="58">
        <v>13800</v>
      </c>
      <c r="P467" s="58" t="s">
        <v>2071</v>
      </c>
      <c r="Q467" s="58">
        <v>2</v>
      </c>
      <c r="R467" s="58">
        <v>0</v>
      </c>
      <c r="S467" s="58">
        <v>0</v>
      </c>
      <c r="T467" s="58">
        <v>0</v>
      </c>
      <c r="U467" s="58">
        <v>0</v>
      </c>
      <c r="V467" s="58">
        <v>0</v>
      </c>
      <c r="W467" s="58">
        <v>0</v>
      </c>
      <c r="X467" s="58">
        <v>0</v>
      </c>
      <c r="Y467" s="58">
        <v>5550</v>
      </c>
      <c r="Z467" s="58">
        <v>4875</v>
      </c>
      <c r="AA467" s="58">
        <v>15136.95</v>
      </c>
      <c r="AE467" s="57"/>
    </row>
    <row r="468" spans="1:31" x14ac:dyDescent="0.35">
      <c r="A468" s="56" t="s">
        <v>536</v>
      </c>
      <c r="B468" s="58">
        <v>13800</v>
      </c>
      <c r="C468" s="58" t="s">
        <v>38</v>
      </c>
      <c r="D468" s="58">
        <v>0</v>
      </c>
      <c r="E468" s="58">
        <v>0</v>
      </c>
      <c r="F468" s="58">
        <v>0</v>
      </c>
      <c r="G468" s="58">
        <v>0</v>
      </c>
      <c r="H468" s="58">
        <v>0</v>
      </c>
      <c r="I468" s="58">
        <v>0</v>
      </c>
      <c r="J468" s="58">
        <v>0</v>
      </c>
      <c r="K468" s="58">
        <v>0</v>
      </c>
      <c r="L468" s="58">
        <v>600</v>
      </c>
      <c r="M468" s="58">
        <v>0</v>
      </c>
      <c r="N468" s="58">
        <v>15136.95</v>
      </c>
      <c r="O468" s="58">
        <v>13800</v>
      </c>
      <c r="P468" s="58" t="s">
        <v>38</v>
      </c>
      <c r="Q468" s="58">
        <v>0</v>
      </c>
      <c r="R468" s="58">
        <v>0</v>
      </c>
      <c r="S468" s="58">
        <v>0</v>
      </c>
      <c r="T468" s="58">
        <v>0</v>
      </c>
      <c r="U468" s="58">
        <v>0</v>
      </c>
      <c r="V468" s="58">
        <v>0</v>
      </c>
      <c r="W468" s="58">
        <v>0</v>
      </c>
      <c r="X468" s="58">
        <v>0</v>
      </c>
      <c r="Y468" s="58">
        <v>4875</v>
      </c>
      <c r="Z468" s="58">
        <v>4875</v>
      </c>
      <c r="AA468" s="58">
        <v>15136.95</v>
      </c>
      <c r="AE468" s="57"/>
    </row>
    <row r="469" spans="1:31" x14ac:dyDescent="0.35">
      <c r="A469" s="56" t="s">
        <v>537</v>
      </c>
      <c r="B469" s="58">
        <v>13850</v>
      </c>
      <c r="C469" s="58" t="s">
        <v>35</v>
      </c>
      <c r="D469" s="58">
        <v>328</v>
      </c>
      <c r="E469" s="58">
        <v>-19</v>
      </c>
      <c r="F469" s="58">
        <v>-5.4755043227665707</v>
      </c>
      <c r="G469" s="58">
        <v>56</v>
      </c>
      <c r="H469" s="58">
        <v>58.06</v>
      </c>
      <c r="I469" s="58">
        <v>0.15</v>
      </c>
      <c r="J469" s="58">
        <v>-0.65</v>
      </c>
      <c r="K469" s="58">
        <v>-81.25</v>
      </c>
      <c r="L469" s="58">
        <v>22275</v>
      </c>
      <c r="M469" s="58">
        <v>58575</v>
      </c>
      <c r="N469" s="58">
        <v>15136.95</v>
      </c>
      <c r="O469" s="58">
        <v>13850</v>
      </c>
      <c r="P469" s="58" t="s">
        <v>35</v>
      </c>
      <c r="Q469" s="58">
        <v>75</v>
      </c>
      <c r="R469" s="58">
        <v>0</v>
      </c>
      <c r="S469" s="58">
        <v>0</v>
      </c>
      <c r="T469" s="58">
        <v>14</v>
      </c>
      <c r="U469" s="58">
        <v>0</v>
      </c>
      <c r="V469" s="58">
        <v>1278.5</v>
      </c>
      <c r="W469" s="58">
        <v>52.25</v>
      </c>
      <c r="X469" s="58">
        <v>4.2609582059123348</v>
      </c>
      <c r="Y469" s="58">
        <v>16200</v>
      </c>
      <c r="Z469" s="58">
        <v>15450</v>
      </c>
      <c r="AA469" s="58">
        <v>15136.95</v>
      </c>
      <c r="AE469" s="57"/>
    </row>
    <row r="470" spans="1:31" x14ac:dyDescent="0.35">
      <c r="A470" s="56" t="s">
        <v>538</v>
      </c>
      <c r="B470" s="58">
        <v>13850</v>
      </c>
      <c r="C470" s="58" t="s">
        <v>33</v>
      </c>
      <c r="D470" s="58">
        <v>555</v>
      </c>
      <c r="E470" s="58">
        <v>8</v>
      </c>
      <c r="F470" s="58">
        <v>1.4625228519195612</v>
      </c>
      <c r="G470" s="58">
        <v>235</v>
      </c>
      <c r="H470" s="58">
        <v>29.94</v>
      </c>
      <c r="I470" s="58">
        <v>20.75</v>
      </c>
      <c r="J470" s="58">
        <v>-4.8000000000000007</v>
      </c>
      <c r="K470" s="58">
        <v>-18.786692759295502</v>
      </c>
      <c r="L470" s="58">
        <v>65175</v>
      </c>
      <c r="M470" s="58">
        <v>14925</v>
      </c>
      <c r="N470" s="58">
        <v>15136.95</v>
      </c>
      <c r="O470" s="58">
        <v>13850</v>
      </c>
      <c r="P470" s="58" t="s">
        <v>33</v>
      </c>
      <c r="Q470" s="58">
        <v>167</v>
      </c>
      <c r="R470" s="58">
        <v>0</v>
      </c>
      <c r="S470" s="58">
        <v>0</v>
      </c>
      <c r="T470" s="58">
        <v>5</v>
      </c>
      <c r="U470" s="58">
        <v>0</v>
      </c>
      <c r="V470" s="58">
        <v>1310</v>
      </c>
      <c r="W470" s="58">
        <v>-14.799999999999956</v>
      </c>
      <c r="X470" s="58">
        <v>-1.117149758454103</v>
      </c>
      <c r="Y470" s="58">
        <v>14100</v>
      </c>
      <c r="Z470" s="58">
        <v>17025</v>
      </c>
      <c r="AA470" s="58">
        <v>15136.95</v>
      </c>
      <c r="AE470" s="57"/>
    </row>
    <row r="471" spans="1:31" x14ac:dyDescent="0.35">
      <c r="A471" s="56" t="s">
        <v>539</v>
      </c>
      <c r="B471" s="58">
        <v>13850</v>
      </c>
      <c r="C471" s="58" t="s">
        <v>36</v>
      </c>
      <c r="D471" s="58">
        <v>1</v>
      </c>
      <c r="E471" s="58">
        <v>0</v>
      </c>
      <c r="F471" s="58">
        <v>0</v>
      </c>
      <c r="G471" s="58">
        <v>0</v>
      </c>
      <c r="H471" s="58">
        <v>0</v>
      </c>
      <c r="I471" s="58">
        <v>0</v>
      </c>
      <c r="J471" s="58">
        <v>0</v>
      </c>
      <c r="K471" s="58">
        <v>0</v>
      </c>
      <c r="L471" s="58">
        <v>375</v>
      </c>
      <c r="M471" s="58">
        <v>0</v>
      </c>
      <c r="N471" s="58">
        <v>15136.95</v>
      </c>
      <c r="O471" s="58">
        <v>13850</v>
      </c>
      <c r="P471" s="58" t="s">
        <v>36</v>
      </c>
      <c r="Q471" s="58">
        <v>1</v>
      </c>
      <c r="R471" s="58">
        <v>0</v>
      </c>
      <c r="S471" s="58">
        <v>0</v>
      </c>
      <c r="T471" s="58">
        <v>0</v>
      </c>
      <c r="U471" s="58">
        <v>0</v>
      </c>
      <c r="V471" s="58">
        <v>0</v>
      </c>
      <c r="W471" s="58">
        <v>0</v>
      </c>
      <c r="X471" s="58">
        <v>0</v>
      </c>
      <c r="Y471" s="58">
        <v>4875</v>
      </c>
      <c r="Z471" s="58">
        <v>4875</v>
      </c>
      <c r="AA471" s="58">
        <v>15136.95</v>
      </c>
      <c r="AE471" s="57"/>
    </row>
    <row r="472" spans="1:31" x14ac:dyDescent="0.35">
      <c r="A472" s="56" t="s">
        <v>540</v>
      </c>
      <c r="B472" s="58">
        <v>0</v>
      </c>
      <c r="C472" s="58">
        <v>0</v>
      </c>
      <c r="D472" s="58">
        <v>0</v>
      </c>
      <c r="E472" s="58">
        <v>0</v>
      </c>
      <c r="F472" s="58">
        <v>0</v>
      </c>
      <c r="G472" s="58">
        <v>0</v>
      </c>
      <c r="H472" s="58">
        <v>0</v>
      </c>
      <c r="I472" s="58">
        <v>0</v>
      </c>
      <c r="J472" s="58">
        <v>0</v>
      </c>
      <c r="K472" s="58">
        <v>0</v>
      </c>
      <c r="L472" s="58">
        <v>0</v>
      </c>
      <c r="M472" s="58">
        <v>0</v>
      </c>
      <c r="N472" s="58">
        <v>0</v>
      </c>
      <c r="O472" s="58">
        <v>13850</v>
      </c>
      <c r="P472" s="58" t="s">
        <v>37</v>
      </c>
      <c r="Q472" s="58">
        <v>0</v>
      </c>
      <c r="R472" s="58">
        <v>0</v>
      </c>
      <c r="S472" s="58">
        <v>0</v>
      </c>
      <c r="T472" s="58">
        <v>0</v>
      </c>
      <c r="U472" s="58">
        <v>0</v>
      </c>
      <c r="V472" s="58">
        <v>0</v>
      </c>
      <c r="W472" s="58">
        <v>0</v>
      </c>
      <c r="X472" s="58">
        <v>0</v>
      </c>
      <c r="Y472" s="58">
        <v>4875</v>
      </c>
      <c r="Z472" s="58">
        <v>4875</v>
      </c>
      <c r="AA472" s="58">
        <v>15136.95</v>
      </c>
      <c r="AE472" s="57"/>
    </row>
    <row r="473" spans="1:31" x14ac:dyDescent="0.35">
      <c r="A473" s="56" t="s">
        <v>541</v>
      </c>
      <c r="B473" s="58">
        <v>0</v>
      </c>
      <c r="C473" s="58">
        <v>0</v>
      </c>
      <c r="D473" s="58">
        <v>0</v>
      </c>
      <c r="E473" s="58">
        <v>0</v>
      </c>
      <c r="F473" s="58">
        <v>0</v>
      </c>
      <c r="G473" s="58">
        <v>0</v>
      </c>
      <c r="H473" s="58">
        <v>0</v>
      </c>
      <c r="I473" s="58">
        <v>0</v>
      </c>
      <c r="J473" s="58">
        <v>0</v>
      </c>
      <c r="K473" s="58">
        <v>0</v>
      </c>
      <c r="L473" s="58">
        <v>0</v>
      </c>
      <c r="M473" s="58">
        <v>0</v>
      </c>
      <c r="N473" s="58">
        <v>0</v>
      </c>
      <c r="O473" s="58">
        <v>13850</v>
      </c>
      <c r="P473" s="58" t="s">
        <v>38</v>
      </c>
      <c r="Q473" s="58">
        <v>0</v>
      </c>
      <c r="R473" s="58">
        <v>0</v>
      </c>
      <c r="S473" s="58">
        <v>0</v>
      </c>
      <c r="T473" s="58">
        <v>0</v>
      </c>
      <c r="U473" s="58">
        <v>0</v>
      </c>
      <c r="V473" s="58">
        <v>0</v>
      </c>
      <c r="W473" s="58">
        <v>0</v>
      </c>
      <c r="X473" s="58">
        <v>0</v>
      </c>
      <c r="Y473" s="58">
        <v>4875</v>
      </c>
      <c r="Z473" s="58">
        <v>4875</v>
      </c>
      <c r="AA473" s="58">
        <v>15136.95</v>
      </c>
      <c r="AE473" s="57"/>
    </row>
    <row r="474" spans="1:31" x14ac:dyDescent="0.35">
      <c r="A474" s="56" t="s">
        <v>542</v>
      </c>
      <c r="B474" s="58">
        <v>13850</v>
      </c>
      <c r="C474" s="58" t="s">
        <v>26</v>
      </c>
      <c r="D474" s="58">
        <v>12</v>
      </c>
      <c r="E474" s="58">
        <v>0</v>
      </c>
      <c r="F474" s="58">
        <v>0</v>
      </c>
      <c r="G474" s="58">
        <v>0</v>
      </c>
      <c r="H474" s="58">
        <v>0</v>
      </c>
      <c r="I474" s="58">
        <v>0</v>
      </c>
      <c r="J474" s="58">
        <v>0</v>
      </c>
      <c r="K474" s="58">
        <v>0</v>
      </c>
      <c r="L474" s="58">
        <v>675</v>
      </c>
      <c r="M474" s="58">
        <v>0</v>
      </c>
      <c r="N474" s="58">
        <v>15136.95</v>
      </c>
      <c r="O474" s="58">
        <v>13850</v>
      </c>
      <c r="P474" s="58" t="s">
        <v>26</v>
      </c>
      <c r="Q474" s="58">
        <v>12</v>
      </c>
      <c r="R474" s="58">
        <v>0</v>
      </c>
      <c r="S474" s="58">
        <v>0</v>
      </c>
      <c r="T474" s="58">
        <v>0</v>
      </c>
      <c r="U474" s="58">
        <v>0</v>
      </c>
      <c r="V474" s="58">
        <v>0</v>
      </c>
      <c r="W474" s="58">
        <v>0</v>
      </c>
      <c r="X474" s="58">
        <v>0</v>
      </c>
      <c r="Y474" s="58">
        <v>12675</v>
      </c>
      <c r="Z474" s="58">
        <v>5175</v>
      </c>
      <c r="AA474" s="58">
        <v>15136.95</v>
      </c>
      <c r="AE474" s="57"/>
    </row>
    <row r="475" spans="1:31" x14ac:dyDescent="0.35">
      <c r="A475" s="56" t="s">
        <v>543</v>
      </c>
      <c r="B475" s="58">
        <v>0</v>
      </c>
      <c r="C475" s="58">
        <v>0</v>
      </c>
      <c r="D475" s="58">
        <v>0</v>
      </c>
      <c r="E475" s="58">
        <v>0</v>
      </c>
      <c r="F475" s="58">
        <v>0</v>
      </c>
      <c r="G475" s="58">
        <v>0</v>
      </c>
      <c r="H475" s="58">
        <v>0</v>
      </c>
      <c r="I475" s="58">
        <v>0</v>
      </c>
      <c r="J475" s="58">
        <v>0</v>
      </c>
      <c r="K475" s="58">
        <v>0</v>
      </c>
      <c r="L475" s="58">
        <v>0</v>
      </c>
      <c r="M475" s="58">
        <v>0</v>
      </c>
      <c r="N475" s="58">
        <v>0</v>
      </c>
      <c r="O475" s="58">
        <v>13850</v>
      </c>
      <c r="P475" s="58" t="s">
        <v>67</v>
      </c>
      <c r="Q475" s="58">
        <v>0</v>
      </c>
      <c r="R475" s="58">
        <v>0</v>
      </c>
      <c r="S475" s="58">
        <v>0</v>
      </c>
      <c r="T475" s="58">
        <v>0</v>
      </c>
      <c r="U475" s="58">
        <v>0</v>
      </c>
      <c r="V475" s="58">
        <v>0</v>
      </c>
      <c r="W475" s="58">
        <v>0</v>
      </c>
      <c r="X475" s="58">
        <v>0</v>
      </c>
      <c r="Y475" s="58">
        <v>4875</v>
      </c>
      <c r="Z475" s="58">
        <v>4875</v>
      </c>
      <c r="AA475" s="58">
        <v>15136.95</v>
      </c>
      <c r="AE475" s="57"/>
    </row>
    <row r="476" spans="1:31" x14ac:dyDescent="0.35">
      <c r="A476" s="56" t="s">
        <v>544</v>
      </c>
      <c r="B476" s="58">
        <v>0</v>
      </c>
      <c r="C476" s="58">
        <v>0</v>
      </c>
      <c r="D476" s="58">
        <v>0</v>
      </c>
      <c r="E476" s="58">
        <v>0</v>
      </c>
      <c r="F476" s="58">
        <v>0</v>
      </c>
      <c r="G476" s="58">
        <v>0</v>
      </c>
      <c r="H476" s="58">
        <v>0</v>
      </c>
      <c r="I476" s="58">
        <v>0</v>
      </c>
      <c r="J476" s="58">
        <v>0</v>
      </c>
      <c r="K476" s="58">
        <v>0</v>
      </c>
      <c r="L476" s="58">
        <v>0</v>
      </c>
      <c r="M476" s="58">
        <v>0</v>
      </c>
      <c r="N476" s="58">
        <v>0</v>
      </c>
      <c r="O476" s="58">
        <v>13850</v>
      </c>
      <c r="P476" s="58" t="s">
        <v>2074</v>
      </c>
      <c r="Q476" s="58">
        <v>0</v>
      </c>
      <c r="R476" s="58">
        <v>0</v>
      </c>
      <c r="S476" s="58">
        <v>0</v>
      </c>
      <c r="T476" s="58">
        <v>0</v>
      </c>
      <c r="U476" s="58">
        <v>0</v>
      </c>
      <c r="V476" s="58">
        <v>0</v>
      </c>
      <c r="W476" s="58">
        <v>0</v>
      </c>
      <c r="X476" s="58">
        <v>0</v>
      </c>
      <c r="Y476" s="58">
        <v>4875</v>
      </c>
      <c r="Z476" s="58">
        <v>4875</v>
      </c>
      <c r="AA476" s="58">
        <v>15136.95</v>
      </c>
      <c r="AE476" s="57"/>
    </row>
    <row r="477" spans="1:31" x14ac:dyDescent="0.35">
      <c r="A477" s="56" t="s">
        <v>545</v>
      </c>
      <c r="B477" s="58">
        <v>0</v>
      </c>
      <c r="C477" s="58">
        <v>0</v>
      </c>
      <c r="D477" s="58">
        <v>0</v>
      </c>
      <c r="E477" s="58">
        <v>0</v>
      </c>
      <c r="F477" s="58">
        <v>0</v>
      </c>
      <c r="G477" s="58">
        <v>0</v>
      </c>
      <c r="H477" s="58">
        <v>0</v>
      </c>
      <c r="I477" s="58">
        <v>0</v>
      </c>
      <c r="J477" s="58">
        <v>0</v>
      </c>
      <c r="K477" s="58">
        <v>0</v>
      </c>
      <c r="L477" s="58">
        <v>0</v>
      </c>
      <c r="M477" s="58">
        <v>0</v>
      </c>
      <c r="N477" s="58">
        <v>0</v>
      </c>
      <c r="O477" s="58">
        <v>13850</v>
      </c>
      <c r="P477" s="58" t="s">
        <v>2071</v>
      </c>
      <c r="Q477" s="58">
        <v>0</v>
      </c>
      <c r="R477" s="58">
        <v>0</v>
      </c>
      <c r="S477" s="58">
        <v>0</v>
      </c>
      <c r="T477" s="58">
        <v>0</v>
      </c>
      <c r="U477" s="58">
        <v>0</v>
      </c>
      <c r="V477" s="58">
        <v>0</v>
      </c>
      <c r="W477" s="58">
        <v>0</v>
      </c>
      <c r="X477" s="58">
        <v>0</v>
      </c>
      <c r="Y477" s="58">
        <v>5550</v>
      </c>
      <c r="Z477" s="58">
        <v>4875</v>
      </c>
      <c r="AA477" s="58">
        <v>15136.95</v>
      </c>
      <c r="AE477" s="57"/>
    </row>
    <row r="478" spans="1:31" x14ac:dyDescent="0.35">
      <c r="A478" s="56" t="s">
        <v>546</v>
      </c>
      <c r="B478" s="58">
        <v>13850</v>
      </c>
      <c r="C478" s="58" t="s">
        <v>34</v>
      </c>
      <c r="D478" s="58">
        <v>81</v>
      </c>
      <c r="E478" s="58">
        <v>-10</v>
      </c>
      <c r="F478" s="58">
        <v>-10.989010989010987</v>
      </c>
      <c r="G478" s="58">
        <v>261</v>
      </c>
      <c r="H478" s="58">
        <v>33.880000000000003</v>
      </c>
      <c r="I478" s="58">
        <v>6.45</v>
      </c>
      <c r="J478" s="58">
        <v>-1.7499999999999991</v>
      </c>
      <c r="K478" s="58">
        <v>-21.341463414634138</v>
      </c>
      <c r="L478" s="58">
        <v>52200</v>
      </c>
      <c r="M478" s="58">
        <v>16800</v>
      </c>
      <c r="N478" s="58">
        <v>15136.95</v>
      </c>
      <c r="O478" s="58">
        <v>13850</v>
      </c>
      <c r="P478" s="58" t="s">
        <v>34</v>
      </c>
      <c r="Q478" s="58">
        <v>1</v>
      </c>
      <c r="R478" s="58">
        <v>0</v>
      </c>
      <c r="S478" s="58">
        <v>0</v>
      </c>
      <c r="T478" s="58">
        <v>0</v>
      </c>
      <c r="U478" s="58">
        <v>0</v>
      </c>
      <c r="V478" s="58">
        <v>0</v>
      </c>
      <c r="W478" s="58">
        <v>0</v>
      </c>
      <c r="X478" s="58">
        <v>0</v>
      </c>
      <c r="Y478" s="58">
        <v>7725</v>
      </c>
      <c r="Z478" s="58">
        <v>7725</v>
      </c>
      <c r="AA478" s="58">
        <v>15136.95</v>
      </c>
      <c r="AE478" s="57"/>
    </row>
    <row r="479" spans="1:31" x14ac:dyDescent="0.35">
      <c r="A479" s="56" t="s">
        <v>547</v>
      </c>
      <c r="B479" s="58">
        <v>13900</v>
      </c>
      <c r="C479" s="58" t="s">
        <v>34</v>
      </c>
      <c r="D479" s="58">
        <v>2427</v>
      </c>
      <c r="E479" s="58">
        <v>220</v>
      </c>
      <c r="F479" s="58">
        <v>9.9682827367467155</v>
      </c>
      <c r="G479" s="58">
        <v>1809</v>
      </c>
      <c r="H479" s="58">
        <v>33.03</v>
      </c>
      <c r="I479" s="58">
        <v>7</v>
      </c>
      <c r="J479" s="58">
        <v>-1.9000000000000004</v>
      </c>
      <c r="K479" s="58">
        <v>-21.348314606741575</v>
      </c>
      <c r="L479" s="58">
        <v>86100</v>
      </c>
      <c r="M479" s="58">
        <v>18825</v>
      </c>
      <c r="N479" s="58">
        <v>15136.95</v>
      </c>
      <c r="O479" s="58">
        <v>13900</v>
      </c>
      <c r="P479" s="58" t="s">
        <v>34</v>
      </c>
      <c r="Q479" s="58">
        <v>13</v>
      </c>
      <c r="R479" s="58">
        <v>3</v>
      </c>
      <c r="S479" s="58">
        <v>30</v>
      </c>
      <c r="T479" s="58">
        <v>6</v>
      </c>
      <c r="U479" s="58">
        <v>0</v>
      </c>
      <c r="V479" s="58">
        <v>1240</v>
      </c>
      <c r="W479" s="58">
        <v>55</v>
      </c>
      <c r="X479" s="58">
        <v>4.6413502109704643</v>
      </c>
      <c r="Y479" s="58">
        <v>8850</v>
      </c>
      <c r="Z479" s="58">
        <v>8550</v>
      </c>
      <c r="AA479" s="58">
        <v>15136.95</v>
      </c>
      <c r="AE479" s="57"/>
    </row>
    <row r="480" spans="1:31" x14ac:dyDescent="0.35">
      <c r="A480" s="56" t="s">
        <v>548</v>
      </c>
      <c r="B480" s="58">
        <v>13900</v>
      </c>
      <c r="C480" s="58" t="s">
        <v>33</v>
      </c>
      <c r="D480" s="58">
        <v>10726</v>
      </c>
      <c r="E480" s="58">
        <v>358</v>
      </c>
      <c r="F480" s="58">
        <v>3.4529320987654319</v>
      </c>
      <c r="G480" s="58">
        <v>1992</v>
      </c>
      <c r="H480" s="58">
        <v>29.45</v>
      </c>
      <c r="I480" s="58">
        <v>21.75</v>
      </c>
      <c r="J480" s="58">
        <v>-5.1499999999999986</v>
      </c>
      <c r="K480" s="58">
        <v>-19.1449814126394</v>
      </c>
      <c r="L480" s="58">
        <v>71700</v>
      </c>
      <c r="M480" s="58">
        <v>23700</v>
      </c>
      <c r="N480" s="58">
        <v>15136.95</v>
      </c>
      <c r="O480" s="58">
        <v>13900</v>
      </c>
      <c r="P480" s="58" t="s">
        <v>33</v>
      </c>
      <c r="Q480" s="58">
        <v>8631</v>
      </c>
      <c r="R480" s="58">
        <v>-1</v>
      </c>
      <c r="S480" s="58">
        <v>-1.1584800741427249E-2</v>
      </c>
      <c r="T480" s="58">
        <v>15</v>
      </c>
      <c r="U480" s="58">
        <v>0</v>
      </c>
      <c r="V480" s="58">
        <v>1274.45</v>
      </c>
      <c r="W480" s="58">
        <v>69.150000000000091</v>
      </c>
      <c r="X480" s="58">
        <v>5.7371608728117556</v>
      </c>
      <c r="Y480" s="58">
        <v>20775</v>
      </c>
      <c r="Z480" s="58">
        <v>19575</v>
      </c>
      <c r="AA480" s="58">
        <v>15136.95</v>
      </c>
      <c r="AE480" s="57"/>
    </row>
    <row r="481" spans="1:31" x14ac:dyDescent="0.35">
      <c r="A481" s="56" t="s">
        <v>549</v>
      </c>
      <c r="B481" s="58">
        <v>13900</v>
      </c>
      <c r="C481" s="58" t="s">
        <v>37</v>
      </c>
      <c r="D481" s="58">
        <v>0</v>
      </c>
      <c r="E481" s="58">
        <v>0</v>
      </c>
      <c r="F481" s="58">
        <v>0</v>
      </c>
      <c r="G481" s="58">
        <v>0</v>
      </c>
      <c r="H481" s="58">
        <v>0</v>
      </c>
      <c r="I481" s="58">
        <v>0</v>
      </c>
      <c r="J481" s="58">
        <v>0</v>
      </c>
      <c r="K481" s="58">
        <v>0</v>
      </c>
      <c r="L481" s="58">
        <v>300</v>
      </c>
      <c r="M481" s="58">
        <v>0</v>
      </c>
      <c r="N481" s="58">
        <v>15136.95</v>
      </c>
      <c r="O481" s="58">
        <v>13900</v>
      </c>
      <c r="P481" s="58" t="s">
        <v>37</v>
      </c>
      <c r="Q481" s="58">
        <v>0</v>
      </c>
      <c r="R481" s="58">
        <v>0</v>
      </c>
      <c r="S481" s="58">
        <v>0</v>
      </c>
      <c r="T481" s="58">
        <v>0</v>
      </c>
      <c r="U481" s="58">
        <v>0</v>
      </c>
      <c r="V481" s="58">
        <v>0</v>
      </c>
      <c r="W481" s="58">
        <v>0</v>
      </c>
      <c r="X481" s="58">
        <v>0</v>
      </c>
      <c r="Y481" s="58">
        <v>4875</v>
      </c>
      <c r="Z481" s="58">
        <v>4875</v>
      </c>
      <c r="AA481" s="58">
        <v>15136.95</v>
      </c>
      <c r="AE481" s="57"/>
    </row>
    <row r="482" spans="1:31" x14ac:dyDescent="0.35">
      <c r="A482" s="56" t="s">
        <v>550</v>
      </c>
      <c r="B482" s="58">
        <v>13900</v>
      </c>
      <c r="C482" s="58" t="s">
        <v>38</v>
      </c>
      <c r="D482" s="58">
        <v>0</v>
      </c>
      <c r="E482" s="58">
        <v>0</v>
      </c>
      <c r="F482" s="58">
        <v>0</v>
      </c>
      <c r="G482" s="58">
        <v>0</v>
      </c>
      <c r="H482" s="58">
        <v>0</v>
      </c>
      <c r="I482" s="58">
        <v>0</v>
      </c>
      <c r="J482" s="58">
        <v>0</v>
      </c>
      <c r="K482" s="58">
        <v>0</v>
      </c>
      <c r="L482" s="58">
        <v>600</v>
      </c>
      <c r="M482" s="58">
        <v>0</v>
      </c>
      <c r="N482" s="58">
        <v>15136.95</v>
      </c>
      <c r="O482" s="58">
        <v>13900</v>
      </c>
      <c r="P482" s="58" t="s">
        <v>38</v>
      </c>
      <c r="Q482" s="58">
        <v>0</v>
      </c>
      <c r="R482" s="58">
        <v>0</v>
      </c>
      <c r="S482" s="58">
        <v>0</v>
      </c>
      <c r="T482" s="58">
        <v>0</v>
      </c>
      <c r="U482" s="58">
        <v>0</v>
      </c>
      <c r="V482" s="58">
        <v>0</v>
      </c>
      <c r="W482" s="58">
        <v>0</v>
      </c>
      <c r="X482" s="58">
        <v>0</v>
      </c>
      <c r="Y482" s="58">
        <v>4875</v>
      </c>
      <c r="Z482" s="58">
        <v>4875</v>
      </c>
      <c r="AA482" s="58">
        <v>15136.95</v>
      </c>
      <c r="AE482" s="57"/>
    </row>
    <row r="483" spans="1:31" x14ac:dyDescent="0.35">
      <c r="A483" s="56" t="s">
        <v>551</v>
      </c>
      <c r="B483" s="58">
        <v>13900</v>
      </c>
      <c r="C483" s="58" t="s">
        <v>26</v>
      </c>
      <c r="D483" s="58">
        <v>695</v>
      </c>
      <c r="E483" s="58">
        <v>-12</v>
      </c>
      <c r="F483" s="58">
        <v>-1.6973125884016973</v>
      </c>
      <c r="G483" s="58">
        <v>59</v>
      </c>
      <c r="H483" s="58">
        <v>27.92</v>
      </c>
      <c r="I483" s="58">
        <v>110.65</v>
      </c>
      <c r="J483" s="58">
        <v>-8.6999999999999886</v>
      </c>
      <c r="K483" s="58">
        <v>-7.2894847088395389</v>
      </c>
      <c r="L483" s="58">
        <v>5550</v>
      </c>
      <c r="M483" s="58">
        <v>9975</v>
      </c>
      <c r="N483" s="58">
        <v>15136.95</v>
      </c>
      <c r="O483" s="58">
        <v>13900</v>
      </c>
      <c r="P483" s="58" t="s">
        <v>26</v>
      </c>
      <c r="Q483" s="58">
        <v>145</v>
      </c>
      <c r="R483" s="58">
        <v>0</v>
      </c>
      <c r="S483" s="58">
        <v>0</v>
      </c>
      <c r="T483" s="58">
        <v>0</v>
      </c>
      <c r="U483" s="58">
        <v>0</v>
      </c>
      <c r="V483" s="58">
        <v>0</v>
      </c>
      <c r="W483" s="58">
        <v>0</v>
      </c>
      <c r="X483" s="58">
        <v>0</v>
      </c>
      <c r="Y483" s="58">
        <v>10575</v>
      </c>
      <c r="Z483" s="58">
        <v>10125</v>
      </c>
      <c r="AA483" s="58">
        <v>15136.95</v>
      </c>
      <c r="AE483" s="57"/>
    </row>
    <row r="484" spans="1:31" x14ac:dyDescent="0.35">
      <c r="A484" s="56" t="s">
        <v>552</v>
      </c>
      <c r="B484" s="58">
        <v>13900</v>
      </c>
      <c r="C484" s="58" t="s">
        <v>67</v>
      </c>
      <c r="D484" s="58">
        <v>4669</v>
      </c>
      <c r="E484" s="58">
        <v>0</v>
      </c>
      <c r="F484" s="58">
        <v>0</v>
      </c>
      <c r="G484" s="58">
        <v>0</v>
      </c>
      <c r="H484" s="58">
        <v>0</v>
      </c>
      <c r="I484" s="58">
        <v>0</v>
      </c>
      <c r="J484" s="58">
        <v>0</v>
      </c>
      <c r="K484" s="58">
        <v>0</v>
      </c>
      <c r="L484" s="58">
        <v>1275</v>
      </c>
      <c r="M484" s="58">
        <v>0</v>
      </c>
      <c r="N484" s="58">
        <v>15136.95</v>
      </c>
      <c r="O484" s="58">
        <v>13900</v>
      </c>
      <c r="P484" s="58" t="s">
        <v>67</v>
      </c>
      <c r="Q484" s="58">
        <v>4668</v>
      </c>
      <c r="R484" s="58">
        <v>0</v>
      </c>
      <c r="S484" s="58">
        <v>0</v>
      </c>
      <c r="T484" s="58">
        <v>0</v>
      </c>
      <c r="U484" s="58">
        <v>0</v>
      </c>
      <c r="V484" s="58">
        <v>0</v>
      </c>
      <c r="W484" s="58">
        <v>0</v>
      </c>
      <c r="X484" s="58">
        <v>0</v>
      </c>
      <c r="Y484" s="58">
        <v>4875</v>
      </c>
      <c r="Z484" s="58">
        <v>4875</v>
      </c>
      <c r="AA484" s="58">
        <v>15136.95</v>
      </c>
      <c r="AE484" s="57"/>
    </row>
    <row r="485" spans="1:31" x14ac:dyDescent="0.35">
      <c r="A485" s="56" t="s">
        <v>553</v>
      </c>
      <c r="B485" s="58">
        <v>0</v>
      </c>
      <c r="C485" s="58">
        <v>0</v>
      </c>
      <c r="D485" s="58">
        <v>0</v>
      </c>
      <c r="E485" s="58">
        <v>0</v>
      </c>
      <c r="F485" s="58">
        <v>0</v>
      </c>
      <c r="G485" s="58">
        <v>0</v>
      </c>
      <c r="H485" s="58">
        <v>0</v>
      </c>
      <c r="I485" s="58">
        <v>0</v>
      </c>
      <c r="J485" s="58">
        <v>0</v>
      </c>
      <c r="K485" s="58">
        <v>0</v>
      </c>
      <c r="L485" s="58">
        <v>0</v>
      </c>
      <c r="M485" s="58">
        <v>0</v>
      </c>
      <c r="N485" s="58">
        <v>0</v>
      </c>
      <c r="O485" s="58">
        <v>13900</v>
      </c>
      <c r="P485" s="58" t="s">
        <v>2074</v>
      </c>
      <c r="Q485" s="58">
        <v>0</v>
      </c>
      <c r="R485" s="58">
        <v>0</v>
      </c>
      <c r="S485" s="58">
        <v>0</v>
      </c>
      <c r="T485" s="58">
        <v>0</v>
      </c>
      <c r="U485" s="58">
        <v>0</v>
      </c>
      <c r="V485" s="58">
        <v>0</v>
      </c>
      <c r="W485" s="58">
        <v>0</v>
      </c>
      <c r="X485" s="58">
        <v>0</v>
      </c>
      <c r="Y485" s="58">
        <v>4875</v>
      </c>
      <c r="Z485" s="58">
        <v>4875</v>
      </c>
      <c r="AA485" s="58">
        <v>15136.95</v>
      </c>
      <c r="AE485" s="57"/>
    </row>
    <row r="486" spans="1:31" x14ac:dyDescent="0.35">
      <c r="A486" s="56" t="s">
        <v>554</v>
      </c>
      <c r="B486" s="58">
        <v>13900</v>
      </c>
      <c r="C486" s="58" t="s">
        <v>2071</v>
      </c>
      <c r="D486" s="58">
        <v>1</v>
      </c>
      <c r="E486" s="58">
        <v>0</v>
      </c>
      <c r="F486" s="58">
        <v>0</v>
      </c>
      <c r="G486" s="58">
        <v>0</v>
      </c>
      <c r="H486" s="58">
        <v>0</v>
      </c>
      <c r="I486" s="58">
        <v>0</v>
      </c>
      <c r="J486" s="58">
        <v>0</v>
      </c>
      <c r="K486" s="58">
        <v>0</v>
      </c>
      <c r="L486" s="58">
        <v>525</v>
      </c>
      <c r="M486" s="58">
        <v>5025</v>
      </c>
      <c r="N486" s="58">
        <v>15136.95</v>
      </c>
      <c r="O486" s="58">
        <v>13900</v>
      </c>
      <c r="P486" s="58" t="s">
        <v>2071</v>
      </c>
      <c r="Q486" s="58">
        <v>0</v>
      </c>
      <c r="R486" s="58">
        <v>0</v>
      </c>
      <c r="S486" s="58">
        <v>0</v>
      </c>
      <c r="T486" s="58">
        <v>0</v>
      </c>
      <c r="U486" s="58">
        <v>0</v>
      </c>
      <c r="V486" s="58">
        <v>0</v>
      </c>
      <c r="W486" s="58">
        <v>0</v>
      </c>
      <c r="X486" s="58">
        <v>0</v>
      </c>
      <c r="Y486" s="58">
        <v>5550</v>
      </c>
      <c r="Z486" s="58">
        <v>4875</v>
      </c>
      <c r="AA486" s="58">
        <v>15136.95</v>
      </c>
      <c r="AE486" s="57"/>
    </row>
    <row r="487" spans="1:31" x14ac:dyDescent="0.35">
      <c r="A487" s="56" t="s">
        <v>555</v>
      </c>
      <c r="B487" s="58">
        <v>13900</v>
      </c>
      <c r="C487" s="58" t="s">
        <v>35</v>
      </c>
      <c r="D487" s="58">
        <v>3388</v>
      </c>
      <c r="E487" s="58">
        <v>-63</v>
      </c>
      <c r="F487" s="58">
        <v>-1.8255578093306288</v>
      </c>
      <c r="G487" s="58">
        <v>1766</v>
      </c>
      <c r="H487" s="58">
        <v>55.92</v>
      </c>
      <c r="I487" s="58">
        <v>0.25</v>
      </c>
      <c r="J487" s="58">
        <v>-0.6</v>
      </c>
      <c r="K487" s="58">
        <v>-70.588235294117652</v>
      </c>
      <c r="L487" s="58">
        <v>210225</v>
      </c>
      <c r="M487" s="58">
        <v>72150</v>
      </c>
      <c r="N487" s="58">
        <v>15136.95</v>
      </c>
      <c r="O487" s="58">
        <v>13900</v>
      </c>
      <c r="P487" s="58" t="s">
        <v>35</v>
      </c>
      <c r="Q487" s="58">
        <v>349</v>
      </c>
      <c r="R487" s="58">
        <v>1</v>
      </c>
      <c r="S487" s="58">
        <v>0.28735632183908044</v>
      </c>
      <c r="T487" s="58">
        <v>15</v>
      </c>
      <c r="U487" s="58">
        <v>66.08</v>
      </c>
      <c r="V487" s="58">
        <v>1250</v>
      </c>
      <c r="W487" s="58">
        <v>20.450000000000045</v>
      </c>
      <c r="X487" s="58">
        <v>1.6632101175226746</v>
      </c>
      <c r="Y487" s="58">
        <v>22200</v>
      </c>
      <c r="Z487" s="58">
        <v>17175</v>
      </c>
      <c r="AA487" s="58">
        <v>15136.95</v>
      </c>
      <c r="AE487" s="57"/>
    </row>
    <row r="488" spans="1:31" x14ac:dyDescent="0.35">
      <c r="A488" s="56" t="s">
        <v>556</v>
      </c>
      <c r="B488" s="58">
        <v>13900</v>
      </c>
      <c r="C488" s="58" t="s">
        <v>36</v>
      </c>
      <c r="D488" s="58">
        <v>0</v>
      </c>
      <c r="E488" s="58">
        <v>0</v>
      </c>
      <c r="F488" s="58">
        <v>0</v>
      </c>
      <c r="G488" s="58">
        <v>0</v>
      </c>
      <c r="H488" s="58">
        <v>0</v>
      </c>
      <c r="I488" s="58">
        <v>0</v>
      </c>
      <c r="J488" s="58">
        <v>0</v>
      </c>
      <c r="K488" s="58">
        <v>0</v>
      </c>
      <c r="L488" s="58">
        <v>2400</v>
      </c>
      <c r="M488" s="58">
        <v>75</v>
      </c>
      <c r="N488" s="58">
        <v>15136.95</v>
      </c>
      <c r="O488" s="58">
        <v>13900</v>
      </c>
      <c r="P488" s="58" t="s">
        <v>36</v>
      </c>
      <c r="Q488" s="58">
        <v>0</v>
      </c>
      <c r="R488" s="58">
        <v>0</v>
      </c>
      <c r="S488" s="58">
        <v>0</v>
      </c>
      <c r="T488" s="58">
        <v>0</v>
      </c>
      <c r="U488" s="58">
        <v>0</v>
      </c>
      <c r="V488" s="58">
        <v>0</v>
      </c>
      <c r="W488" s="58">
        <v>0</v>
      </c>
      <c r="X488" s="58">
        <v>0</v>
      </c>
      <c r="Y488" s="58">
        <v>4875</v>
      </c>
      <c r="Z488" s="58">
        <v>4875</v>
      </c>
      <c r="AA488" s="58">
        <v>15136.95</v>
      </c>
      <c r="AE488" s="57"/>
    </row>
    <row r="489" spans="1:31" x14ac:dyDescent="0.35">
      <c r="A489" s="56" t="s">
        <v>557</v>
      </c>
      <c r="B489" s="58">
        <v>13950</v>
      </c>
      <c r="C489" s="58" t="s">
        <v>33</v>
      </c>
      <c r="D489" s="58">
        <v>352</v>
      </c>
      <c r="E489" s="58">
        <v>-20</v>
      </c>
      <c r="F489" s="58">
        <v>-5.376344086021505</v>
      </c>
      <c r="G489" s="58">
        <v>165</v>
      </c>
      <c r="H489" s="58">
        <v>29.22</v>
      </c>
      <c r="I489" s="58">
        <v>24.05</v>
      </c>
      <c r="J489" s="58">
        <v>-5.75</v>
      </c>
      <c r="K489" s="58">
        <v>-19.29530201342282</v>
      </c>
      <c r="L489" s="58">
        <v>64425</v>
      </c>
      <c r="M489" s="58">
        <v>14850</v>
      </c>
      <c r="N489" s="58">
        <v>15136.95</v>
      </c>
      <c r="O489" s="58">
        <v>13950</v>
      </c>
      <c r="P489" s="58" t="s">
        <v>33</v>
      </c>
      <c r="Q489" s="58">
        <v>217</v>
      </c>
      <c r="R489" s="58">
        <v>0</v>
      </c>
      <c r="S489" s="58">
        <v>0</v>
      </c>
      <c r="T489" s="58">
        <v>3</v>
      </c>
      <c r="U489" s="58">
        <v>0</v>
      </c>
      <c r="V489" s="58">
        <v>1190</v>
      </c>
      <c r="W489" s="58">
        <v>-43.450000000000045</v>
      </c>
      <c r="X489" s="58">
        <v>-3.5226397502938949</v>
      </c>
      <c r="Y489" s="58">
        <v>14175</v>
      </c>
      <c r="Z489" s="58">
        <v>14925</v>
      </c>
      <c r="AA489" s="58">
        <v>15136.95</v>
      </c>
      <c r="AE489" s="57"/>
    </row>
    <row r="490" spans="1:31" x14ac:dyDescent="0.35">
      <c r="A490" s="56" t="s">
        <v>558</v>
      </c>
      <c r="B490" s="58">
        <v>13950</v>
      </c>
      <c r="C490" s="58" t="s">
        <v>37</v>
      </c>
      <c r="D490" s="58">
        <v>0</v>
      </c>
      <c r="E490" s="58">
        <v>0</v>
      </c>
      <c r="F490" s="58">
        <v>0</v>
      </c>
      <c r="G490" s="58">
        <v>0</v>
      </c>
      <c r="H490" s="58">
        <v>0</v>
      </c>
      <c r="I490" s="58">
        <v>0</v>
      </c>
      <c r="J490" s="58">
        <v>0</v>
      </c>
      <c r="K490" s="58">
        <v>0</v>
      </c>
      <c r="L490" s="58">
        <v>300</v>
      </c>
      <c r="M490" s="58">
        <v>0</v>
      </c>
      <c r="N490" s="58">
        <v>15136.95</v>
      </c>
      <c r="O490" s="58">
        <v>13950</v>
      </c>
      <c r="P490" s="58" t="s">
        <v>37</v>
      </c>
      <c r="Q490" s="58">
        <v>0</v>
      </c>
      <c r="R490" s="58">
        <v>0</v>
      </c>
      <c r="S490" s="58">
        <v>0</v>
      </c>
      <c r="T490" s="58">
        <v>0</v>
      </c>
      <c r="U490" s="58">
        <v>0</v>
      </c>
      <c r="V490" s="58">
        <v>0</v>
      </c>
      <c r="W490" s="58">
        <v>0</v>
      </c>
      <c r="X490" s="58">
        <v>0</v>
      </c>
      <c r="Y490" s="58">
        <v>4875</v>
      </c>
      <c r="Z490" s="58">
        <v>4875</v>
      </c>
      <c r="AA490" s="58">
        <v>15136.95</v>
      </c>
      <c r="AE490" s="57"/>
    </row>
    <row r="491" spans="1:31" x14ac:dyDescent="0.35">
      <c r="A491" s="56" t="s">
        <v>559</v>
      </c>
      <c r="B491" s="58">
        <v>13950</v>
      </c>
      <c r="C491" s="58" t="s">
        <v>38</v>
      </c>
      <c r="D491" s="58">
        <v>0</v>
      </c>
      <c r="E491" s="58">
        <v>0</v>
      </c>
      <c r="F491" s="58">
        <v>0</v>
      </c>
      <c r="G491" s="58">
        <v>0</v>
      </c>
      <c r="H491" s="58">
        <v>0</v>
      </c>
      <c r="I491" s="58">
        <v>0</v>
      </c>
      <c r="J491" s="58">
        <v>0</v>
      </c>
      <c r="K491" s="58">
        <v>0</v>
      </c>
      <c r="L491" s="58">
        <v>225</v>
      </c>
      <c r="M491" s="58">
        <v>0</v>
      </c>
      <c r="N491" s="58">
        <v>15136.95</v>
      </c>
      <c r="O491" s="58">
        <v>13950</v>
      </c>
      <c r="P491" s="58" t="s">
        <v>38</v>
      </c>
      <c r="Q491" s="58">
        <v>0</v>
      </c>
      <c r="R491" s="58">
        <v>0</v>
      </c>
      <c r="S491" s="58">
        <v>0</v>
      </c>
      <c r="T491" s="58">
        <v>0</v>
      </c>
      <c r="U491" s="58">
        <v>0</v>
      </c>
      <c r="V491" s="58">
        <v>0</v>
      </c>
      <c r="W491" s="58">
        <v>0</v>
      </c>
      <c r="X491" s="58">
        <v>0</v>
      </c>
      <c r="Y491" s="58">
        <v>4875</v>
      </c>
      <c r="Z491" s="58">
        <v>4875</v>
      </c>
      <c r="AA491" s="58">
        <v>15136.95</v>
      </c>
      <c r="AE491" s="57"/>
    </row>
    <row r="492" spans="1:31" x14ac:dyDescent="0.35">
      <c r="A492" s="56" t="s">
        <v>560</v>
      </c>
      <c r="B492" s="58">
        <v>13950</v>
      </c>
      <c r="C492" s="58" t="s">
        <v>26</v>
      </c>
      <c r="D492" s="58">
        <v>10</v>
      </c>
      <c r="E492" s="58">
        <v>0</v>
      </c>
      <c r="F492" s="58">
        <v>0</v>
      </c>
      <c r="G492" s="58">
        <v>2</v>
      </c>
      <c r="H492" s="58">
        <v>25.73</v>
      </c>
      <c r="I492" s="58">
        <v>91.1</v>
      </c>
      <c r="J492" s="58">
        <v>-76.849999999999994</v>
      </c>
      <c r="K492" s="58">
        <v>-45.757665972015481</v>
      </c>
      <c r="L492" s="58">
        <v>1650</v>
      </c>
      <c r="M492" s="58">
        <v>0</v>
      </c>
      <c r="N492" s="58">
        <v>15136.95</v>
      </c>
      <c r="O492" s="58">
        <v>13950</v>
      </c>
      <c r="P492" s="58" t="s">
        <v>26</v>
      </c>
      <c r="Q492" s="58">
        <v>3</v>
      </c>
      <c r="R492" s="58">
        <v>0</v>
      </c>
      <c r="S492" s="58">
        <v>0</v>
      </c>
      <c r="T492" s="58">
        <v>0</v>
      </c>
      <c r="U492" s="58">
        <v>0</v>
      </c>
      <c r="V492" s="58">
        <v>0</v>
      </c>
      <c r="W492" s="58">
        <v>0</v>
      </c>
      <c r="X492" s="58">
        <v>0</v>
      </c>
      <c r="Y492" s="58">
        <v>12675</v>
      </c>
      <c r="Z492" s="58">
        <v>4875</v>
      </c>
      <c r="AA492" s="58">
        <v>15136.95</v>
      </c>
      <c r="AE492" s="57"/>
    </row>
    <row r="493" spans="1:31" x14ac:dyDescent="0.35">
      <c r="A493" s="56" t="s">
        <v>561</v>
      </c>
      <c r="B493" s="58">
        <v>0</v>
      </c>
      <c r="C493" s="58">
        <v>0</v>
      </c>
      <c r="D493" s="58">
        <v>0</v>
      </c>
      <c r="E493" s="58">
        <v>0</v>
      </c>
      <c r="F493" s="58">
        <v>0</v>
      </c>
      <c r="G493" s="58">
        <v>0</v>
      </c>
      <c r="H493" s="58">
        <v>0</v>
      </c>
      <c r="I493" s="58">
        <v>0</v>
      </c>
      <c r="J493" s="58">
        <v>0</v>
      </c>
      <c r="K493" s="58">
        <v>0</v>
      </c>
      <c r="L493" s="58">
        <v>0</v>
      </c>
      <c r="M493" s="58">
        <v>0</v>
      </c>
      <c r="N493" s="58">
        <v>0</v>
      </c>
      <c r="O493" s="58">
        <v>13950</v>
      </c>
      <c r="P493" s="58" t="s">
        <v>67</v>
      </c>
      <c r="Q493" s="58">
        <v>0</v>
      </c>
      <c r="R493" s="58">
        <v>0</v>
      </c>
      <c r="S493" s="58">
        <v>0</v>
      </c>
      <c r="T493" s="58">
        <v>0</v>
      </c>
      <c r="U493" s="58">
        <v>0</v>
      </c>
      <c r="V493" s="58">
        <v>0</v>
      </c>
      <c r="W493" s="58">
        <v>0</v>
      </c>
      <c r="X493" s="58">
        <v>0</v>
      </c>
      <c r="Y493" s="58">
        <v>4875</v>
      </c>
      <c r="Z493" s="58">
        <v>4875</v>
      </c>
      <c r="AA493" s="58">
        <v>15136.95</v>
      </c>
      <c r="AE493" s="57"/>
    </row>
    <row r="494" spans="1:31" x14ac:dyDescent="0.35">
      <c r="A494" s="56" t="s">
        <v>562</v>
      </c>
      <c r="B494" s="58">
        <v>0</v>
      </c>
      <c r="C494" s="58">
        <v>0</v>
      </c>
      <c r="D494" s="58">
        <v>0</v>
      </c>
      <c r="E494" s="58">
        <v>0</v>
      </c>
      <c r="F494" s="58">
        <v>0</v>
      </c>
      <c r="G494" s="58">
        <v>0</v>
      </c>
      <c r="H494" s="58">
        <v>0</v>
      </c>
      <c r="I494" s="58">
        <v>0</v>
      </c>
      <c r="J494" s="58">
        <v>0</v>
      </c>
      <c r="K494" s="58">
        <v>0</v>
      </c>
      <c r="L494" s="58">
        <v>0</v>
      </c>
      <c r="M494" s="58">
        <v>0</v>
      </c>
      <c r="N494" s="58">
        <v>0</v>
      </c>
      <c r="O494" s="58">
        <v>13950</v>
      </c>
      <c r="P494" s="58" t="s">
        <v>2074</v>
      </c>
      <c r="Q494" s="58">
        <v>0</v>
      </c>
      <c r="R494" s="58">
        <v>0</v>
      </c>
      <c r="S494" s="58">
        <v>0</v>
      </c>
      <c r="T494" s="58">
        <v>0</v>
      </c>
      <c r="U494" s="58">
        <v>0</v>
      </c>
      <c r="V494" s="58">
        <v>0</v>
      </c>
      <c r="W494" s="58">
        <v>0</v>
      </c>
      <c r="X494" s="58">
        <v>0</v>
      </c>
      <c r="Y494" s="58">
        <v>4875</v>
      </c>
      <c r="Z494" s="58">
        <v>4875</v>
      </c>
      <c r="AA494" s="58">
        <v>15136.95</v>
      </c>
      <c r="AE494" s="57"/>
    </row>
    <row r="495" spans="1:31" x14ac:dyDescent="0.35">
      <c r="A495" s="56" t="s">
        <v>563</v>
      </c>
      <c r="B495" s="58">
        <v>13950</v>
      </c>
      <c r="C495" s="58" t="s">
        <v>2071</v>
      </c>
      <c r="D495" s="58">
        <v>0</v>
      </c>
      <c r="E495" s="58">
        <v>0</v>
      </c>
      <c r="F495" s="58">
        <v>0</v>
      </c>
      <c r="G495" s="58">
        <v>0</v>
      </c>
      <c r="H495" s="58">
        <v>0</v>
      </c>
      <c r="I495" s="58">
        <v>0</v>
      </c>
      <c r="J495" s="58">
        <v>0</v>
      </c>
      <c r="K495" s="58">
        <v>0</v>
      </c>
      <c r="L495" s="58">
        <v>0</v>
      </c>
      <c r="M495" s="58">
        <v>4875</v>
      </c>
      <c r="N495" s="58">
        <v>15136.95</v>
      </c>
      <c r="O495" s="58">
        <v>13950</v>
      </c>
      <c r="P495" s="58" t="s">
        <v>2071</v>
      </c>
      <c r="Q495" s="58">
        <v>0</v>
      </c>
      <c r="R495" s="58">
        <v>0</v>
      </c>
      <c r="S495" s="58">
        <v>0</v>
      </c>
      <c r="T495" s="58">
        <v>0</v>
      </c>
      <c r="U495" s="58">
        <v>0</v>
      </c>
      <c r="V495" s="58">
        <v>0</v>
      </c>
      <c r="W495" s="58">
        <v>0</v>
      </c>
      <c r="X495" s="58">
        <v>0</v>
      </c>
      <c r="Y495" s="58">
        <v>5550</v>
      </c>
      <c r="Z495" s="58">
        <v>4875</v>
      </c>
      <c r="AA495" s="58">
        <v>15136.95</v>
      </c>
      <c r="AE495" s="57"/>
    </row>
    <row r="496" spans="1:31" x14ac:dyDescent="0.35">
      <c r="A496" s="56" t="s">
        <v>564</v>
      </c>
      <c r="B496" s="58">
        <v>13950</v>
      </c>
      <c r="C496" s="58" t="s">
        <v>34</v>
      </c>
      <c r="D496" s="58">
        <v>81</v>
      </c>
      <c r="E496" s="58">
        <v>17</v>
      </c>
      <c r="F496" s="58">
        <v>26.5625</v>
      </c>
      <c r="G496" s="58">
        <v>136</v>
      </c>
      <c r="H496" s="58">
        <v>32.369999999999997</v>
      </c>
      <c r="I496" s="58">
        <v>7.65</v>
      </c>
      <c r="J496" s="58">
        <v>-1.2999999999999989</v>
      </c>
      <c r="K496" s="58">
        <v>-14.52513966480446</v>
      </c>
      <c r="L496" s="58">
        <v>36975</v>
      </c>
      <c r="M496" s="58">
        <v>13575</v>
      </c>
      <c r="N496" s="58">
        <v>15136.95</v>
      </c>
      <c r="O496" s="58">
        <v>13950</v>
      </c>
      <c r="P496" s="58" t="s">
        <v>34</v>
      </c>
      <c r="Q496" s="58">
        <v>1</v>
      </c>
      <c r="R496" s="58">
        <v>0</v>
      </c>
      <c r="S496" s="58">
        <v>0</v>
      </c>
      <c r="T496" s="58">
        <v>0</v>
      </c>
      <c r="U496" s="58">
        <v>0</v>
      </c>
      <c r="V496" s="58">
        <v>0</v>
      </c>
      <c r="W496" s="58">
        <v>0</v>
      </c>
      <c r="X496" s="58">
        <v>0</v>
      </c>
      <c r="Y496" s="58">
        <v>8175</v>
      </c>
      <c r="Z496" s="58">
        <v>5325</v>
      </c>
      <c r="AA496" s="58">
        <v>15136.95</v>
      </c>
      <c r="AE496" s="57"/>
    </row>
    <row r="497" spans="1:31" x14ac:dyDescent="0.35">
      <c r="A497" s="56" t="s">
        <v>565</v>
      </c>
      <c r="B497" s="58">
        <v>13950</v>
      </c>
      <c r="C497" s="58" t="s">
        <v>36</v>
      </c>
      <c r="D497" s="58">
        <v>4</v>
      </c>
      <c r="E497" s="58">
        <v>0</v>
      </c>
      <c r="F497" s="58">
        <v>0</v>
      </c>
      <c r="G497" s="58">
        <v>0</v>
      </c>
      <c r="H497" s="58">
        <v>0</v>
      </c>
      <c r="I497" s="58">
        <v>0</v>
      </c>
      <c r="J497" s="58">
        <v>0</v>
      </c>
      <c r="K497" s="58">
        <v>0</v>
      </c>
      <c r="L497" s="58">
        <v>375</v>
      </c>
      <c r="M497" s="58">
        <v>150</v>
      </c>
      <c r="N497" s="58">
        <v>15136.95</v>
      </c>
      <c r="O497" s="58">
        <v>13950</v>
      </c>
      <c r="P497" s="58" t="s">
        <v>36</v>
      </c>
      <c r="Q497" s="58">
        <v>0</v>
      </c>
      <c r="R497" s="58">
        <v>0</v>
      </c>
      <c r="S497" s="58">
        <v>0</v>
      </c>
      <c r="T497" s="58">
        <v>0</v>
      </c>
      <c r="U497" s="58">
        <v>0</v>
      </c>
      <c r="V497" s="58">
        <v>0</v>
      </c>
      <c r="W497" s="58">
        <v>0</v>
      </c>
      <c r="X497" s="58">
        <v>0</v>
      </c>
      <c r="Y497" s="58">
        <v>4875</v>
      </c>
      <c r="Z497" s="58">
        <v>4875</v>
      </c>
      <c r="AA497" s="58">
        <v>15136.95</v>
      </c>
      <c r="AE497" s="57"/>
    </row>
    <row r="498" spans="1:31" x14ac:dyDescent="0.35">
      <c r="A498" s="56" t="s">
        <v>566</v>
      </c>
      <c r="B498" s="58">
        <v>13950</v>
      </c>
      <c r="C498" s="58" t="s">
        <v>35</v>
      </c>
      <c r="D498" s="58">
        <v>363</v>
      </c>
      <c r="E498" s="58">
        <v>-4</v>
      </c>
      <c r="F498" s="58">
        <v>-1.0899182561307903</v>
      </c>
      <c r="G498" s="58">
        <v>115</v>
      </c>
      <c r="H498" s="58">
        <v>54.89</v>
      </c>
      <c r="I498" s="58">
        <v>0.25</v>
      </c>
      <c r="J498" s="58">
        <v>-0.7</v>
      </c>
      <c r="K498" s="58">
        <v>-73.68421052631578</v>
      </c>
      <c r="L498" s="58">
        <v>11175</v>
      </c>
      <c r="M498" s="58">
        <v>45600</v>
      </c>
      <c r="N498" s="58">
        <v>15136.95</v>
      </c>
      <c r="O498" s="58">
        <v>13950</v>
      </c>
      <c r="P498" s="58" t="s">
        <v>35</v>
      </c>
      <c r="Q498" s="58">
        <v>43</v>
      </c>
      <c r="R498" s="58">
        <v>0</v>
      </c>
      <c r="S498" s="58">
        <v>0</v>
      </c>
      <c r="T498" s="58">
        <v>2</v>
      </c>
      <c r="U498" s="58">
        <v>0</v>
      </c>
      <c r="V498" s="58">
        <v>1189.55</v>
      </c>
      <c r="W498" s="58">
        <v>-12.350000000000136</v>
      </c>
      <c r="X498" s="58">
        <v>-1.0275397287628034</v>
      </c>
      <c r="Y498" s="58">
        <v>15750</v>
      </c>
      <c r="Z498" s="58">
        <v>16725</v>
      </c>
      <c r="AA498" s="58">
        <v>15136.95</v>
      </c>
      <c r="AE498" s="57"/>
    </row>
    <row r="499" spans="1:31" x14ac:dyDescent="0.35">
      <c r="A499" s="56" t="s">
        <v>567</v>
      </c>
      <c r="B499" s="58">
        <v>14000</v>
      </c>
      <c r="C499" s="58" t="s">
        <v>33</v>
      </c>
      <c r="D499" s="58">
        <v>39072</v>
      </c>
      <c r="E499" s="58">
        <v>344</v>
      </c>
      <c r="F499" s="58">
        <v>0.88824623011774428</v>
      </c>
      <c r="G499" s="58">
        <v>6165</v>
      </c>
      <c r="H499" s="58">
        <v>28.82</v>
      </c>
      <c r="I499" s="58">
        <v>26.65</v>
      </c>
      <c r="J499" s="58">
        <v>-5.5500000000000043</v>
      </c>
      <c r="K499" s="58">
        <v>-17.236024844720511</v>
      </c>
      <c r="L499" s="58">
        <v>128775</v>
      </c>
      <c r="M499" s="58">
        <v>139650</v>
      </c>
      <c r="N499" s="58">
        <v>15136.95</v>
      </c>
      <c r="O499" s="58">
        <v>14000</v>
      </c>
      <c r="P499" s="58" t="s">
        <v>33</v>
      </c>
      <c r="Q499" s="58">
        <v>9988</v>
      </c>
      <c r="R499" s="58">
        <v>-14</v>
      </c>
      <c r="S499" s="58">
        <v>-0.13997200559888023</v>
      </c>
      <c r="T499" s="58">
        <v>132</v>
      </c>
      <c r="U499" s="58">
        <v>0</v>
      </c>
      <c r="V499" s="58">
        <v>1161</v>
      </c>
      <c r="W499" s="58">
        <v>4.7999999999999545</v>
      </c>
      <c r="X499" s="58">
        <v>0.41515308770108583</v>
      </c>
      <c r="Y499" s="58">
        <v>63150</v>
      </c>
      <c r="Z499" s="58">
        <v>30150</v>
      </c>
      <c r="AA499" s="58">
        <v>15136.95</v>
      </c>
      <c r="AE499" s="57"/>
    </row>
    <row r="500" spans="1:31" x14ac:dyDescent="0.35">
      <c r="A500" s="56" t="s">
        <v>568</v>
      </c>
      <c r="B500" s="58">
        <v>14000</v>
      </c>
      <c r="C500" s="58" t="s">
        <v>36</v>
      </c>
      <c r="D500" s="58">
        <v>159</v>
      </c>
      <c r="E500" s="58">
        <v>12</v>
      </c>
      <c r="F500" s="58">
        <v>8.1632653061224492</v>
      </c>
      <c r="G500" s="58">
        <v>77</v>
      </c>
      <c r="H500" s="58">
        <v>28.34</v>
      </c>
      <c r="I500" s="58">
        <v>50.8</v>
      </c>
      <c r="J500" s="58">
        <v>-8.5500000000000043</v>
      </c>
      <c r="K500" s="58">
        <v>-14.406065711878693</v>
      </c>
      <c r="L500" s="58">
        <v>6600</v>
      </c>
      <c r="M500" s="58">
        <v>4050</v>
      </c>
      <c r="N500" s="58">
        <v>15136.95</v>
      </c>
      <c r="O500" s="58">
        <v>14000</v>
      </c>
      <c r="P500" s="58" t="s">
        <v>36</v>
      </c>
      <c r="Q500" s="58">
        <v>0</v>
      </c>
      <c r="R500" s="58">
        <v>0</v>
      </c>
      <c r="S500" s="58">
        <v>0</v>
      </c>
      <c r="T500" s="58">
        <v>0</v>
      </c>
      <c r="U500" s="58">
        <v>0</v>
      </c>
      <c r="V500" s="58">
        <v>0</v>
      </c>
      <c r="W500" s="58">
        <v>0</v>
      </c>
      <c r="X500" s="58">
        <v>0</v>
      </c>
      <c r="Y500" s="58">
        <v>4875</v>
      </c>
      <c r="Z500" s="58">
        <v>4875</v>
      </c>
      <c r="AA500" s="58">
        <v>15136.95</v>
      </c>
      <c r="AE500" s="57"/>
    </row>
    <row r="501" spans="1:31" x14ac:dyDescent="0.35">
      <c r="A501" s="56" t="s">
        <v>569</v>
      </c>
      <c r="B501" s="58">
        <v>14000</v>
      </c>
      <c r="C501" s="58" t="s">
        <v>37</v>
      </c>
      <c r="D501" s="58">
        <v>1</v>
      </c>
      <c r="E501" s="58">
        <v>0</v>
      </c>
      <c r="F501" s="58">
        <v>0</v>
      </c>
      <c r="G501" s="58">
        <v>1</v>
      </c>
      <c r="H501" s="58">
        <v>29.58</v>
      </c>
      <c r="I501" s="58">
        <v>85</v>
      </c>
      <c r="J501" s="58">
        <v>-115</v>
      </c>
      <c r="K501" s="58">
        <v>-57.499999999999993</v>
      </c>
      <c r="L501" s="58">
        <v>2025</v>
      </c>
      <c r="M501" s="58">
        <v>7050</v>
      </c>
      <c r="N501" s="58">
        <v>15136.95</v>
      </c>
      <c r="O501" s="58">
        <v>14000</v>
      </c>
      <c r="P501" s="58" t="s">
        <v>37</v>
      </c>
      <c r="Q501" s="58">
        <v>0</v>
      </c>
      <c r="R501" s="58">
        <v>0</v>
      </c>
      <c r="S501" s="58">
        <v>0</v>
      </c>
      <c r="T501" s="58">
        <v>0</v>
      </c>
      <c r="U501" s="58">
        <v>0</v>
      </c>
      <c r="V501" s="58">
        <v>0</v>
      </c>
      <c r="W501" s="58">
        <v>0</v>
      </c>
      <c r="X501" s="58">
        <v>0</v>
      </c>
      <c r="Y501" s="58">
        <v>4875</v>
      </c>
      <c r="Z501" s="58">
        <v>4875</v>
      </c>
      <c r="AA501" s="58">
        <v>15136.95</v>
      </c>
      <c r="AE501" s="57"/>
    </row>
    <row r="502" spans="1:31" x14ac:dyDescent="0.35">
      <c r="A502" s="56" t="s">
        <v>570</v>
      </c>
      <c r="B502" s="58">
        <v>14000</v>
      </c>
      <c r="C502" s="58" t="s">
        <v>38</v>
      </c>
      <c r="D502" s="58">
        <v>0</v>
      </c>
      <c r="E502" s="58">
        <v>0</v>
      </c>
      <c r="F502" s="58">
        <v>0</v>
      </c>
      <c r="G502" s="58">
        <v>0</v>
      </c>
      <c r="H502" s="58">
        <v>0</v>
      </c>
      <c r="I502" s="58">
        <v>0</v>
      </c>
      <c r="J502" s="58">
        <v>0</v>
      </c>
      <c r="K502" s="58">
        <v>0</v>
      </c>
      <c r="L502" s="58">
        <v>1350</v>
      </c>
      <c r="M502" s="58">
        <v>0</v>
      </c>
      <c r="N502" s="58">
        <v>15136.95</v>
      </c>
      <c r="O502" s="58">
        <v>14000</v>
      </c>
      <c r="P502" s="58" t="s">
        <v>38</v>
      </c>
      <c r="Q502" s="58">
        <v>0</v>
      </c>
      <c r="R502" s="58">
        <v>0</v>
      </c>
      <c r="S502" s="58">
        <v>0</v>
      </c>
      <c r="T502" s="58">
        <v>0</v>
      </c>
      <c r="U502" s="58">
        <v>0</v>
      </c>
      <c r="V502" s="58">
        <v>0</v>
      </c>
      <c r="W502" s="58">
        <v>0</v>
      </c>
      <c r="X502" s="58">
        <v>0</v>
      </c>
      <c r="Y502" s="58">
        <v>4875</v>
      </c>
      <c r="Z502" s="58">
        <v>4875</v>
      </c>
      <c r="AA502" s="58">
        <v>15136.95</v>
      </c>
      <c r="AE502" s="57"/>
    </row>
    <row r="503" spans="1:31" x14ac:dyDescent="0.35">
      <c r="A503" s="56" t="s">
        <v>571</v>
      </c>
      <c r="B503" s="58">
        <v>14000</v>
      </c>
      <c r="C503" s="58" t="s">
        <v>26</v>
      </c>
      <c r="D503" s="58">
        <v>21242</v>
      </c>
      <c r="E503" s="58">
        <v>278</v>
      </c>
      <c r="F503" s="58">
        <v>1.3260828086243084</v>
      </c>
      <c r="G503" s="58">
        <v>981</v>
      </c>
      <c r="H503" s="58">
        <v>27.8</v>
      </c>
      <c r="I503" s="58">
        <v>125.15</v>
      </c>
      <c r="J503" s="58">
        <v>-9.5</v>
      </c>
      <c r="K503" s="58">
        <v>-7.055328629780913</v>
      </c>
      <c r="L503" s="58">
        <v>21300</v>
      </c>
      <c r="M503" s="58">
        <v>26325</v>
      </c>
      <c r="N503" s="58">
        <v>15136.95</v>
      </c>
      <c r="O503" s="58">
        <v>14000</v>
      </c>
      <c r="P503" s="58" t="s">
        <v>26</v>
      </c>
      <c r="Q503" s="58">
        <v>5869</v>
      </c>
      <c r="R503" s="58">
        <v>9</v>
      </c>
      <c r="S503" s="58">
        <v>0.15358361774744028</v>
      </c>
      <c r="T503" s="58">
        <v>58</v>
      </c>
      <c r="U503" s="58">
        <v>0</v>
      </c>
      <c r="V503" s="58">
        <v>1302</v>
      </c>
      <c r="W503" s="58">
        <v>16.299999999999955</v>
      </c>
      <c r="X503" s="58">
        <v>1.2677918643540449</v>
      </c>
      <c r="Y503" s="58">
        <v>13425</v>
      </c>
      <c r="Z503" s="58">
        <v>14250</v>
      </c>
      <c r="AA503" s="58">
        <v>15136.95</v>
      </c>
      <c r="AE503" s="57"/>
    </row>
    <row r="504" spans="1:31" x14ac:dyDescent="0.35">
      <c r="A504" s="56" t="s">
        <v>572</v>
      </c>
      <c r="B504" s="58">
        <v>14000</v>
      </c>
      <c r="C504" s="58" t="s">
        <v>67</v>
      </c>
      <c r="D504" s="58">
        <v>0</v>
      </c>
      <c r="E504" s="58">
        <v>0</v>
      </c>
      <c r="F504" s="58">
        <v>0</v>
      </c>
      <c r="G504" s="58">
        <v>0</v>
      </c>
      <c r="H504" s="58">
        <v>0</v>
      </c>
      <c r="I504" s="58">
        <v>0</v>
      </c>
      <c r="J504" s="58">
        <v>0</v>
      </c>
      <c r="K504" s="58">
        <v>0</v>
      </c>
      <c r="L504" s="58">
        <v>1350</v>
      </c>
      <c r="M504" s="58">
        <v>0</v>
      </c>
      <c r="N504" s="58">
        <v>15136.95</v>
      </c>
      <c r="O504" s="58">
        <v>14000</v>
      </c>
      <c r="P504" s="58" t="s">
        <v>67</v>
      </c>
      <c r="Q504" s="58">
        <v>0</v>
      </c>
      <c r="R504" s="58">
        <v>0</v>
      </c>
      <c r="S504" s="58">
        <v>0</v>
      </c>
      <c r="T504" s="58">
        <v>0</v>
      </c>
      <c r="U504" s="58">
        <v>0</v>
      </c>
      <c r="V504" s="58">
        <v>0</v>
      </c>
      <c r="W504" s="58">
        <v>0</v>
      </c>
      <c r="X504" s="58">
        <v>0</v>
      </c>
      <c r="Y504" s="58">
        <v>4875</v>
      </c>
      <c r="Z504" s="58">
        <v>4875</v>
      </c>
      <c r="AA504" s="58">
        <v>15136.95</v>
      </c>
      <c r="AE504" s="57"/>
    </row>
    <row r="505" spans="1:31" x14ac:dyDescent="0.35">
      <c r="A505" s="56" t="s">
        <v>573</v>
      </c>
      <c r="B505" s="58">
        <v>0</v>
      </c>
      <c r="C505" s="58">
        <v>0</v>
      </c>
      <c r="D505" s="58">
        <v>0</v>
      </c>
      <c r="E505" s="58">
        <v>0</v>
      </c>
      <c r="F505" s="58">
        <v>0</v>
      </c>
      <c r="G505" s="58">
        <v>0</v>
      </c>
      <c r="H505" s="58">
        <v>0</v>
      </c>
      <c r="I505" s="58">
        <v>0</v>
      </c>
      <c r="J505" s="58">
        <v>0</v>
      </c>
      <c r="K505" s="58">
        <v>0</v>
      </c>
      <c r="L505" s="58">
        <v>0</v>
      </c>
      <c r="M505" s="58">
        <v>0</v>
      </c>
      <c r="N505" s="58">
        <v>0</v>
      </c>
      <c r="O505" s="58">
        <v>14000</v>
      </c>
      <c r="P505" s="58" t="s">
        <v>2074</v>
      </c>
      <c r="Q505" s="58">
        <v>0</v>
      </c>
      <c r="R505" s="58">
        <v>0</v>
      </c>
      <c r="S505" s="58">
        <v>0</v>
      </c>
      <c r="T505" s="58">
        <v>0</v>
      </c>
      <c r="U505" s="58">
        <v>0</v>
      </c>
      <c r="V505" s="58">
        <v>0</v>
      </c>
      <c r="W505" s="58">
        <v>0</v>
      </c>
      <c r="X505" s="58">
        <v>0</v>
      </c>
      <c r="Y505" s="58">
        <v>4875</v>
      </c>
      <c r="Z505" s="58">
        <v>4875</v>
      </c>
      <c r="AA505" s="58">
        <v>15136.95</v>
      </c>
      <c r="AE505" s="57"/>
    </row>
    <row r="506" spans="1:31" x14ac:dyDescent="0.35">
      <c r="A506" s="56" t="s">
        <v>574</v>
      </c>
      <c r="B506" s="58">
        <v>14000</v>
      </c>
      <c r="C506" s="58" t="s">
        <v>2071</v>
      </c>
      <c r="D506" s="58">
        <v>1033</v>
      </c>
      <c r="E506" s="58">
        <v>23</v>
      </c>
      <c r="F506" s="58">
        <v>2.277227722772277</v>
      </c>
      <c r="G506" s="58">
        <v>67</v>
      </c>
      <c r="H506" s="58">
        <v>26.74</v>
      </c>
      <c r="I506" s="58">
        <v>208</v>
      </c>
      <c r="J506" s="58">
        <v>-11.349999999999994</v>
      </c>
      <c r="K506" s="58">
        <v>-5.1743788465922016</v>
      </c>
      <c r="L506" s="58">
        <v>12225</v>
      </c>
      <c r="M506" s="58">
        <v>13875</v>
      </c>
      <c r="N506" s="58">
        <v>15136.95</v>
      </c>
      <c r="O506" s="58">
        <v>14000</v>
      </c>
      <c r="P506" s="58" t="s">
        <v>2071</v>
      </c>
      <c r="Q506" s="58">
        <v>115</v>
      </c>
      <c r="R506" s="58">
        <v>0</v>
      </c>
      <c r="S506" s="58">
        <v>0</v>
      </c>
      <c r="T506" s="58">
        <v>0</v>
      </c>
      <c r="U506" s="58">
        <v>0</v>
      </c>
      <c r="V506" s="58">
        <v>0</v>
      </c>
      <c r="W506" s="58">
        <v>0</v>
      </c>
      <c r="X506" s="58">
        <v>0</v>
      </c>
      <c r="Y506" s="58">
        <v>14025</v>
      </c>
      <c r="Z506" s="58">
        <v>13350</v>
      </c>
      <c r="AA506" s="58">
        <v>15136.95</v>
      </c>
      <c r="AE506" s="57"/>
    </row>
    <row r="507" spans="1:31" x14ac:dyDescent="0.35">
      <c r="A507" s="56" t="s">
        <v>575</v>
      </c>
      <c r="B507" s="58">
        <v>14000</v>
      </c>
      <c r="C507" s="58" t="s">
        <v>27</v>
      </c>
      <c r="D507" s="58">
        <v>41</v>
      </c>
      <c r="E507" s="58">
        <v>0</v>
      </c>
      <c r="F507" s="58">
        <v>0</v>
      </c>
      <c r="G507" s="58">
        <v>0</v>
      </c>
      <c r="H507" s="58">
        <v>0</v>
      </c>
      <c r="I507" s="58">
        <v>0</v>
      </c>
      <c r="J507" s="58">
        <v>0</v>
      </c>
      <c r="K507" s="58">
        <v>0</v>
      </c>
      <c r="L507" s="58">
        <v>11250</v>
      </c>
      <c r="M507" s="58">
        <v>0</v>
      </c>
      <c r="N507" s="58">
        <v>15136.95</v>
      </c>
      <c r="O507" s="58">
        <v>14000</v>
      </c>
      <c r="P507" s="58" t="s">
        <v>27</v>
      </c>
      <c r="Q507" s="58">
        <v>37</v>
      </c>
      <c r="R507" s="58">
        <v>0</v>
      </c>
      <c r="S507" s="58">
        <v>0</v>
      </c>
      <c r="T507" s="58">
        <v>0</v>
      </c>
      <c r="U507" s="58">
        <v>0</v>
      </c>
      <c r="V507" s="58">
        <v>0</v>
      </c>
      <c r="W507" s="58">
        <v>0</v>
      </c>
      <c r="X507" s="58">
        <v>0</v>
      </c>
      <c r="Y507" s="58">
        <v>3300</v>
      </c>
      <c r="Z507" s="58">
        <v>375</v>
      </c>
      <c r="AA507" s="58">
        <v>15136.95</v>
      </c>
      <c r="AE507" s="57"/>
    </row>
    <row r="508" spans="1:31" x14ac:dyDescent="0.35">
      <c r="A508" s="56" t="s">
        <v>576</v>
      </c>
      <c r="B508" s="58">
        <v>14000</v>
      </c>
      <c r="C508" s="58" t="s">
        <v>31</v>
      </c>
      <c r="D508" s="58">
        <v>0</v>
      </c>
      <c r="E508" s="58">
        <v>0</v>
      </c>
      <c r="F508" s="58">
        <v>0</v>
      </c>
      <c r="G508" s="58">
        <v>0</v>
      </c>
      <c r="H508" s="58">
        <v>0</v>
      </c>
      <c r="I508" s="58">
        <v>0</v>
      </c>
      <c r="J508" s="58">
        <v>0</v>
      </c>
      <c r="K508" s="58">
        <v>0</v>
      </c>
      <c r="L508" s="58">
        <v>3900</v>
      </c>
      <c r="M508" s="58">
        <v>0</v>
      </c>
      <c r="N508" s="58">
        <v>15136.95</v>
      </c>
      <c r="O508" s="58">
        <v>14000</v>
      </c>
      <c r="P508" s="58" t="s">
        <v>31</v>
      </c>
      <c r="Q508" s="58">
        <v>0</v>
      </c>
      <c r="R508" s="58">
        <v>0</v>
      </c>
      <c r="S508" s="58">
        <v>0</v>
      </c>
      <c r="T508" s="58">
        <v>0</v>
      </c>
      <c r="U508" s="58">
        <v>0</v>
      </c>
      <c r="V508" s="58">
        <v>0</v>
      </c>
      <c r="W508" s="58">
        <v>0</v>
      </c>
      <c r="X508" s="58">
        <v>0</v>
      </c>
      <c r="Y508" s="58">
        <v>2025</v>
      </c>
      <c r="Z508" s="58">
        <v>0</v>
      </c>
      <c r="AA508" s="58">
        <v>15136.95</v>
      </c>
      <c r="AE508" s="57"/>
    </row>
    <row r="509" spans="1:31" x14ac:dyDescent="0.35">
      <c r="A509" s="56" t="s">
        <v>577</v>
      </c>
      <c r="B509" s="58">
        <v>14000</v>
      </c>
      <c r="C509" s="58" t="s">
        <v>29</v>
      </c>
      <c r="D509" s="58">
        <v>1244</v>
      </c>
      <c r="E509" s="58">
        <v>1</v>
      </c>
      <c r="F509" s="58">
        <v>8.0450522928399035E-2</v>
      </c>
      <c r="G509" s="58">
        <v>8</v>
      </c>
      <c r="H509" s="58">
        <v>29.23</v>
      </c>
      <c r="I509" s="58">
        <v>634</v>
      </c>
      <c r="J509" s="58">
        <v>-14.649999999999975</v>
      </c>
      <c r="K509" s="58">
        <v>-2.2585369613813273</v>
      </c>
      <c r="L509" s="58">
        <v>5100</v>
      </c>
      <c r="M509" s="58">
        <v>1875</v>
      </c>
      <c r="N509" s="58">
        <v>15136.95</v>
      </c>
      <c r="O509" s="58">
        <v>14000</v>
      </c>
      <c r="P509" s="58" t="s">
        <v>29</v>
      </c>
      <c r="Q509" s="58">
        <v>1195</v>
      </c>
      <c r="R509" s="58">
        <v>0</v>
      </c>
      <c r="S509" s="58">
        <v>0</v>
      </c>
      <c r="T509" s="58">
        <v>0</v>
      </c>
      <c r="U509" s="58">
        <v>0</v>
      </c>
      <c r="V509" s="58">
        <v>0</v>
      </c>
      <c r="W509" s="58">
        <v>0</v>
      </c>
      <c r="X509" s="58">
        <v>0</v>
      </c>
      <c r="Y509" s="58">
        <v>4125</v>
      </c>
      <c r="Z509" s="58">
        <v>975</v>
      </c>
      <c r="AA509" s="58">
        <v>15136.95</v>
      </c>
      <c r="AE509" s="57"/>
    </row>
    <row r="510" spans="1:31" x14ac:dyDescent="0.35">
      <c r="A510" s="56" t="s">
        <v>578</v>
      </c>
      <c r="B510" s="58">
        <v>14000</v>
      </c>
      <c r="C510" s="58" t="s">
        <v>30</v>
      </c>
      <c r="D510" s="58">
        <v>2</v>
      </c>
      <c r="E510" s="58">
        <v>0</v>
      </c>
      <c r="F510" s="58">
        <v>0</v>
      </c>
      <c r="G510" s="58">
        <v>0</v>
      </c>
      <c r="H510" s="58">
        <v>0</v>
      </c>
      <c r="I510" s="58">
        <v>0</v>
      </c>
      <c r="J510" s="58">
        <v>0</v>
      </c>
      <c r="K510" s="58">
        <v>0</v>
      </c>
      <c r="L510" s="58">
        <v>2850</v>
      </c>
      <c r="M510" s="58">
        <v>0</v>
      </c>
      <c r="N510" s="58">
        <v>15136.95</v>
      </c>
      <c r="O510" s="58">
        <v>0</v>
      </c>
      <c r="P510" s="58">
        <v>0</v>
      </c>
      <c r="Q510" s="58">
        <v>0</v>
      </c>
      <c r="R510" s="58">
        <v>0</v>
      </c>
      <c r="S510" s="58">
        <v>0</v>
      </c>
      <c r="T510" s="58">
        <v>0</v>
      </c>
      <c r="U510" s="58">
        <v>0</v>
      </c>
      <c r="V510" s="58">
        <v>0</v>
      </c>
      <c r="W510" s="58">
        <v>0</v>
      </c>
      <c r="X510" s="58">
        <v>0</v>
      </c>
      <c r="Y510" s="58">
        <v>0</v>
      </c>
      <c r="Z510" s="58">
        <v>0</v>
      </c>
      <c r="AA510" s="58">
        <v>0</v>
      </c>
      <c r="AE510" s="57"/>
    </row>
    <row r="511" spans="1:31" x14ac:dyDescent="0.35">
      <c r="A511" s="56" t="s">
        <v>579</v>
      </c>
      <c r="B511" s="58">
        <v>14000</v>
      </c>
      <c r="C511" s="58" t="s">
        <v>28</v>
      </c>
      <c r="D511" s="58">
        <v>0</v>
      </c>
      <c r="E511" s="58">
        <v>0</v>
      </c>
      <c r="F511" s="58">
        <v>0</v>
      </c>
      <c r="G511" s="58">
        <v>0</v>
      </c>
      <c r="H511" s="58">
        <v>0</v>
      </c>
      <c r="I511" s="58">
        <v>0</v>
      </c>
      <c r="J511" s="58">
        <v>0</v>
      </c>
      <c r="K511" s="58">
        <v>0</v>
      </c>
      <c r="L511" s="58">
        <v>750</v>
      </c>
      <c r="M511" s="58">
        <v>0</v>
      </c>
      <c r="N511" s="58">
        <v>15136.95</v>
      </c>
      <c r="O511" s="58">
        <v>0</v>
      </c>
      <c r="P511" s="58">
        <v>0</v>
      </c>
      <c r="Q511" s="58">
        <v>0</v>
      </c>
      <c r="R511" s="58">
        <v>0</v>
      </c>
      <c r="S511" s="58">
        <v>0</v>
      </c>
      <c r="T511" s="58">
        <v>0</v>
      </c>
      <c r="U511" s="58">
        <v>0</v>
      </c>
      <c r="V511" s="58">
        <v>0</v>
      </c>
      <c r="W511" s="58">
        <v>0</v>
      </c>
      <c r="X511" s="58">
        <v>0</v>
      </c>
      <c r="Y511" s="58">
        <v>0</v>
      </c>
      <c r="Z511" s="58">
        <v>0</v>
      </c>
      <c r="AA511" s="58">
        <v>0</v>
      </c>
      <c r="AE511" s="57"/>
    </row>
    <row r="512" spans="1:31" x14ac:dyDescent="0.35">
      <c r="A512" s="56" t="s">
        <v>580</v>
      </c>
      <c r="B512" s="58">
        <v>14000</v>
      </c>
      <c r="C512" s="58" t="s">
        <v>35</v>
      </c>
      <c r="D512" s="58">
        <v>25768</v>
      </c>
      <c r="E512" s="58">
        <v>-1458</v>
      </c>
      <c r="F512" s="58">
        <v>-5.3551752001763022</v>
      </c>
      <c r="G512" s="58">
        <v>23339</v>
      </c>
      <c r="H512" s="58">
        <v>53.63</v>
      </c>
      <c r="I512" s="58">
        <v>0.3</v>
      </c>
      <c r="J512" s="58">
        <v>-0.55000000000000004</v>
      </c>
      <c r="K512" s="58">
        <v>-64.705882352941174</v>
      </c>
      <c r="L512" s="58">
        <v>3069225</v>
      </c>
      <c r="M512" s="58">
        <v>249150</v>
      </c>
      <c r="N512" s="58">
        <v>15136.95</v>
      </c>
      <c r="O512" s="58">
        <v>14000</v>
      </c>
      <c r="P512" s="58" t="s">
        <v>35</v>
      </c>
      <c r="Q512" s="58">
        <v>1569</v>
      </c>
      <c r="R512" s="58">
        <v>-48</v>
      </c>
      <c r="S512" s="58">
        <v>-2.968460111317254</v>
      </c>
      <c r="T512" s="58">
        <v>96</v>
      </c>
      <c r="U512" s="58">
        <v>0</v>
      </c>
      <c r="V512" s="58">
        <v>1133.3499999999999</v>
      </c>
      <c r="W512" s="58">
        <v>29.5</v>
      </c>
      <c r="X512" s="58">
        <v>2.6724645558726277</v>
      </c>
      <c r="Y512" s="58">
        <v>138825</v>
      </c>
      <c r="Z512" s="58">
        <v>24375</v>
      </c>
      <c r="AA512" s="58">
        <v>15136.95</v>
      </c>
      <c r="AE512" s="57"/>
    </row>
    <row r="513" spans="1:31" x14ac:dyDescent="0.35">
      <c r="A513" s="56" t="s">
        <v>581</v>
      </c>
      <c r="B513" s="58">
        <v>14000</v>
      </c>
      <c r="C513" s="58" t="s">
        <v>34</v>
      </c>
      <c r="D513" s="58">
        <v>11562</v>
      </c>
      <c r="E513" s="58">
        <v>5175</v>
      </c>
      <c r="F513" s="58">
        <v>81.023954908407703</v>
      </c>
      <c r="G513" s="58">
        <v>13818</v>
      </c>
      <c r="H513" s="58">
        <v>31.57</v>
      </c>
      <c r="I513" s="58">
        <v>8.35</v>
      </c>
      <c r="J513" s="58">
        <v>-1.5999999999999996</v>
      </c>
      <c r="K513" s="58">
        <v>-16.08040201005025</v>
      </c>
      <c r="L513" s="58">
        <v>149850</v>
      </c>
      <c r="M513" s="58">
        <v>63225</v>
      </c>
      <c r="N513" s="58">
        <v>15136.95</v>
      </c>
      <c r="O513" s="58">
        <v>14000</v>
      </c>
      <c r="P513" s="58" t="s">
        <v>34</v>
      </c>
      <c r="Q513" s="58">
        <v>143</v>
      </c>
      <c r="R513" s="58">
        <v>13</v>
      </c>
      <c r="S513" s="58">
        <v>10</v>
      </c>
      <c r="T513" s="58">
        <v>61</v>
      </c>
      <c r="U513" s="58">
        <v>0</v>
      </c>
      <c r="V513" s="58">
        <v>1139.0999999999999</v>
      </c>
      <c r="W513" s="58">
        <v>37.199999999999818</v>
      </c>
      <c r="X513" s="58">
        <v>3.3759869316634736</v>
      </c>
      <c r="Y513" s="58">
        <v>5625</v>
      </c>
      <c r="Z513" s="58">
        <v>7200</v>
      </c>
      <c r="AA513" s="58">
        <v>15136.95</v>
      </c>
      <c r="AE513" s="57"/>
    </row>
    <row r="514" spans="1:31" x14ac:dyDescent="0.35">
      <c r="A514" s="56" t="s">
        <v>582</v>
      </c>
      <c r="B514" s="58">
        <v>14000</v>
      </c>
      <c r="C514" s="58" t="s">
        <v>39</v>
      </c>
      <c r="D514" s="58">
        <v>10</v>
      </c>
      <c r="E514" s="58">
        <v>0</v>
      </c>
      <c r="F514" s="58">
        <v>0</v>
      </c>
      <c r="G514" s="58">
        <v>0</v>
      </c>
      <c r="H514" s="58">
        <v>0</v>
      </c>
      <c r="I514" s="58">
        <v>0</v>
      </c>
      <c r="J514" s="58">
        <v>0</v>
      </c>
      <c r="K514" s="58">
        <v>0</v>
      </c>
      <c r="L514" s="58">
        <v>600</v>
      </c>
      <c r="M514" s="58">
        <v>0</v>
      </c>
      <c r="N514" s="58">
        <v>15136.95</v>
      </c>
      <c r="O514" s="58">
        <v>0</v>
      </c>
      <c r="P514" s="58">
        <v>0</v>
      </c>
      <c r="Q514" s="58">
        <v>0</v>
      </c>
      <c r="R514" s="58">
        <v>0</v>
      </c>
      <c r="S514" s="58">
        <v>0</v>
      </c>
      <c r="T514" s="58">
        <v>0</v>
      </c>
      <c r="U514" s="58">
        <v>0</v>
      </c>
      <c r="V514" s="58">
        <v>0</v>
      </c>
      <c r="W514" s="58">
        <v>0</v>
      </c>
      <c r="X514" s="58">
        <v>0</v>
      </c>
      <c r="Y514" s="58">
        <v>0</v>
      </c>
      <c r="Z514" s="58">
        <v>0</v>
      </c>
      <c r="AA514" s="58">
        <v>0</v>
      </c>
      <c r="AE514" s="57"/>
    </row>
    <row r="515" spans="1:31" x14ac:dyDescent="0.35">
      <c r="A515" s="56" t="s">
        <v>583</v>
      </c>
      <c r="B515" s="58">
        <v>14050</v>
      </c>
      <c r="C515" s="58" t="s">
        <v>34</v>
      </c>
      <c r="D515" s="58">
        <v>79</v>
      </c>
      <c r="E515" s="58">
        <v>15</v>
      </c>
      <c r="F515" s="58">
        <v>23.4375</v>
      </c>
      <c r="G515" s="58">
        <v>148</v>
      </c>
      <c r="H515" s="58">
        <v>30.76</v>
      </c>
      <c r="I515" s="58">
        <v>8.9</v>
      </c>
      <c r="J515" s="58">
        <v>-1.6999999999999993</v>
      </c>
      <c r="K515" s="58">
        <v>-16.037735849056599</v>
      </c>
      <c r="L515" s="58">
        <v>53025</v>
      </c>
      <c r="M515" s="58">
        <v>13650</v>
      </c>
      <c r="N515" s="58">
        <v>15136.95</v>
      </c>
      <c r="O515" s="58">
        <v>14050</v>
      </c>
      <c r="P515" s="58" t="s">
        <v>34</v>
      </c>
      <c r="Q515" s="58">
        <v>2</v>
      </c>
      <c r="R515" s="58">
        <v>0</v>
      </c>
      <c r="S515" s="58">
        <v>0</v>
      </c>
      <c r="T515" s="58">
        <v>0</v>
      </c>
      <c r="U515" s="58">
        <v>0</v>
      </c>
      <c r="V515" s="58">
        <v>0</v>
      </c>
      <c r="W515" s="58">
        <v>0</v>
      </c>
      <c r="X515" s="58">
        <v>0</v>
      </c>
      <c r="Y515" s="58">
        <v>17175</v>
      </c>
      <c r="Z515" s="58">
        <v>6075</v>
      </c>
      <c r="AA515" s="58">
        <v>15136.95</v>
      </c>
      <c r="AE515" s="57"/>
    </row>
    <row r="516" spans="1:31" x14ac:dyDescent="0.35">
      <c r="A516" s="56" t="s">
        <v>584</v>
      </c>
      <c r="B516" s="58">
        <v>14050</v>
      </c>
      <c r="C516" s="58" t="s">
        <v>36</v>
      </c>
      <c r="D516" s="58">
        <v>0</v>
      </c>
      <c r="E516" s="58">
        <v>0</v>
      </c>
      <c r="F516" s="58">
        <v>0</v>
      </c>
      <c r="G516" s="58">
        <v>0</v>
      </c>
      <c r="H516" s="58">
        <v>0</v>
      </c>
      <c r="I516" s="58">
        <v>0</v>
      </c>
      <c r="J516" s="58">
        <v>0</v>
      </c>
      <c r="K516" s="58">
        <v>0</v>
      </c>
      <c r="L516" s="58">
        <v>75</v>
      </c>
      <c r="M516" s="58">
        <v>0</v>
      </c>
      <c r="N516" s="58">
        <v>15136.95</v>
      </c>
      <c r="O516" s="58">
        <v>14050</v>
      </c>
      <c r="P516" s="58" t="s">
        <v>36</v>
      </c>
      <c r="Q516" s="58">
        <v>0</v>
      </c>
      <c r="R516" s="58">
        <v>0</v>
      </c>
      <c r="S516" s="58">
        <v>0</v>
      </c>
      <c r="T516" s="58">
        <v>0</v>
      </c>
      <c r="U516" s="58">
        <v>0</v>
      </c>
      <c r="V516" s="58">
        <v>0</v>
      </c>
      <c r="W516" s="58">
        <v>0</v>
      </c>
      <c r="X516" s="58">
        <v>0</v>
      </c>
      <c r="Y516" s="58">
        <v>4875</v>
      </c>
      <c r="Z516" s="58">
        <v>4875</v>
      </c>
      <c r="AA516" s="58">
        <v>15136.95</v>
      </c>
      <c r="AE516" s="57"/>
    </row>
    <row r="517" spans="1:31" x14ac:dyDescent="0.35">
      <c r="A517" s="56" t="s">
        <v>585</v>
      </c>
      <c r="B517" s="58">
        <v>0</v>
      </c>
      <c r="C517" s="58">
        <v>0</v>
      </c>
      <c r="D517" s="58">
        <v>0</v>
      </c>
      <c r="E517" s="58">
        <v>0</v>
      </c>
      <c r="F517" s="58">
        <v>0</v>
      </c>
      <c r="G517" s="58">
        <v>0</v>
      </c>
      <c r="H517" s="58">
        <v>0</v>
      </c>
      <c r="I517" s="58">
        <v>0</v>
      </c>
      <c r="J517" s="58">
        <v>0</v>
      </c>
      <c r="K517" s="58">
        <v>0</v>
      </c>
      <c r="L517" s="58">
        <v>0</v>
      </c>
      <c r="M517" s="58">
        <v>0</v>
      </c>
      <c r="N517" s="58">
        <v>0</v>
      </c>
      <c r="O517" s="58">
        <v>14050</v>
      </c>
      <c r="P517" s="58" t="s">
        <v>37</v>
      </c>
      <c r="Q517" s="58">
        <v>0</v>
      </c>
      <c r="R517" s="58">
        <v>0</v>
      </c>
      <c r="S517" s="58">
        <v>0</v>
      </c>
      <c r="T517" s="58">
        <v>0</v>
      </c>
      <c r="U517" s="58">
        <v>0</v>
      </c>
      <c r="V517" s="58">
        <v>0</v>
      </c>
      <c r="W517" s="58">
        <v>0</v>
      </c>
      <c r="X517" s="58">
        <v>0</v>
      </c>
      <c r="Y517" s="58">
        <v>4875</v>
      </c>
      <c r="Z517" s="58">
        <v>4875</v>
      </c>
      <c r="AA517" s="58">
        <v>15136.95</v>
      </c>
      <c r="AE517" s="57"/>
    </row>
    <row r="518" spans="1:31" x14ac:dyDescent="0.35">
      <c r="A518" s="56" t="s">
        <v>586</v>
      </c>
      <c r="B518" s="58">
        <v>0</v>
      </c>
      <c r="C518" s="58">
        <v>0</v>
      </c>
      <c r="D518" s="58">
        <v>0</v>
      </c>
      <c r="E518" s="58">
        <v>0</v>
      </c>
      <c r="F518" s="58">
        <v>0</v>
      </c>
      <c r="G518" s="58">
        <v>0</v>
      </c>
      <c r="H518" s="58">
        <v>0</v>
      </c>
      <c r="I518" s="58">
        <v>0</v>
      </c>
      <c r="J518" s="58">
        <v>0</v>
      </c>
      <c r="K518" s="58">
        <v>0</v>
      </c>
      <c r="L518" s="58">
        <v>0</v>
      </c>
      <c r="M518" s="58">
        <v>0</v>
      </c>
      <c r="N518" s="58">
        <v>0</v>
      </c>
      <c r="O518" s="58">
        <v>14050</v>
      </c>
      <c r="P518" s="58" t="s">
        <v>38</v>
      </c>
      <c r="Q518" s="58">
        <v>0</v>
      </c>
      <c r="R518" s="58">
        <v>0</v>
      </c>
      <c r="S518" s="58">
        <v>0</v>
      </c>
      <c r="T518" s="58">
        <v>0</v>
      </c>
      <c r="U518" s="58">
        <v>0</v>
      </c>
      <c r="V518" s="58">
        <v>0</v>
      </c>
      <c r="W518" s="58">
        <v>0</v>
      </c>
      <c r="X518" s="58">
        <v>0</v>
      </c>
      <c r="Y518" s="58">
        <v>4875</v>
      </c>
      <c r="Z518" s="58">
        <v>4875</v>
      </c>
      <c r="AA518" s="58">
        <v>15136.95</v>
      </c>
      <c r="AE518" s="57"/>
    </row>
    <row r="519" spans="1:31" x14ac:dyDescent="0.35">
      <c r="A519" s="56" t="s">
        <v>587</v>
      </c>
      <c r="B519" s="58">
        <v>14050</v>
      </c>
      <c r="C519" s="58" t="s">
        <v>26</v>
      </c>
      <c r="D519" s="58">
        <v>1</v>
      </c>
      <c r="E519" s="58">
        <v>0</v>
      </c>
      <c r="F519" s="58">
        <v>0</v>
      </c>
      <c r="G519" s="58">
        <v>0</v>
      </c>
      <c r="H519" s="58">
        <v>0</v>
      </c>
      <c r="I519" s="58">
        <v>0</v>
      </c>
      <c r="J519" s="58">
        <v>0</v>
      </c>
      <c r="K519" s="58">
        <v>0</v>
      </c>
      <c r="L519" s="58">
        <v>375</v>
      </c>
      <c r="M519" s="58">
        <v>0</v>
      </c>
      <c r="N519" s="58">
        <v>15136.95</v>
      </c>
      <c r="O519" s="58">
        <v>14050</v>
      </c>
      <c r="P519" s="58" t="s">
        <v>26</v>
      </c>
      <c r="Q519" s="58">
        <v>2</v>
      </c>
      <c r="R519" s="58">
        <v>0</v>
      </c>
      <c r="S519" s="58">
        <v>0</v>
      </c>
      <c r="T519" s="58">
        <v>0</v>
      </c>
      <c r="U519" s="58">
        <v>0</v>
      </c>
      <c r="V519" s="58">
        <v>0</v>
      </c>
      <c r="W519" s="58">
        <v>0</v>
      </c>
      <c r="X519" s="58">
        <v>0</v>
      </c>
      <c r="Y519" s="58">
        <v>12675</v>
      </c>
      <c r="Z519" s="58">
        <v>4875</v>
      </c>
      <c r="AA519" s="58">
        <v>15136.95</v>
      </c>
      <c r="AE519" s="57"/>
    </row>
    <row r="520" spans="1:31" x14ac:dyDescent="0.35">
      <c r="A520" s="56" t="s">
        <v>588</v>
      </c>
      <c r="B520" s="58">
        <v>0</v>
      </c>
      <c r="C520" s="58">
        <v>0</v>
      </c>
      <c r="D520" s="58">
        <v>0</v>
      </c>
      <c r="E520" s="58">
        <v>0</v>
      </c>
      <c r="F520" s="58">
        <v>0</v>
      </c>
      <c r="G520" s="58">
        <v>0</v>
      </c>
      <c r="H520" s="58">
        <v>0</v>
      </c>
      <c r="I520" s="58">
        <v>0</v>
      </c>
      <c r="J520" s="58">
        <v>0</v>
      </c>
      <c r="K520" s="58">
        <v>0</v>
      </c>
      <c r="L520" s="58">
        <v>0</v>
      </c>
      <c r="M520" s="58">
        <v>0</v>
      </c>
      <c r="N520" s="58">
        <v>0</v>
      </c>
      <c r="O520" s="58">
        <v>14050</v>
      </c>
      <c r="P520" s="58" t="s">
        <v>67</v>
      </c>
      <c r="Q520" s="58">
        <v>0</v>
      </c>
      <c r="R520" s="58">
        <v>0</v>
      </c>
      <c r="S520" s="58">
        <v>0</v>
      </c>
      <c r="T520" s="58">
        <v>0</v>
      </c>
      <c r="U520" s="58">
        <v>0</v>
      </c>
      <c r="V520" s="58">
        <v>0</v>
      </c>
      <c r="W520" s="58">
        <v>0</v>
      </c>
      <c r="X520" s="58">
        <v>0</v>
      </c>
      <c r="Y520" s="58">
        <v>4875</v>
      </c>
      <c r="Z520" s="58">
        <v>4875</v>
      </c>
      <c r="AA520" s="58">
        <v>15136.95</v>
      </c>
      <c r="AE520" s="57"/>
    </row>
    <row r="521" spans="1:31" x14ac:dyDescent="0.35">
      <c r="A521" s="56" t="s">
        <v>589</v>
      </c>
      <c r="B521" s="58">
        <v>0</v>
      </c>
      <c r="C521" s="58">
        <v>0</v>
      </c>
      <c r="D521" s="58">
        <v>0</v>
      </c>
      <c r="E521" s="58">
        <v>0</v>
      </c>
      <c r="F521" s="58">
        <v>0</v>
      </c>
      <c r="G521" s="58">
        <v>0</v>
      </c>
      <c r="H521" s="58">
        <v>0</v>
      </c>
      <c r="I521" s="58">
        <v>0</v>
      </c>
      <c r="J521" s="58">
        <v>0</v>
      </c>
      <c r="K521" s="58">
        <v>0</v>
      </c>
      <c r="L521" s="58">
        <v>0</v>
      </c>
      <c r="M521" s="58">
        <v>0</v>
      </c>
      <c r="N521" s="58">
        <v>0</v>
      </c>
      <c r="O521" s="58">
        <v>14050</v>
      </c>
      <c r="P521" s="58" t="s">
        <v>2074</v>
      </c>
      <c r="Q521" s="58">
        <v>0</v>
      </c>
      <c r="R521" s="58">
        <v>0</v>
      </c>
      <c r="S521" s="58">
        <v>0</v>
      </c>
      <c r="T521" s="58">
        <v>0</v>
      </c>
      <c r="U521" s="58">
        <v>0</v>
      </c>
      <c r="V521" s="58">
        <v>0</v>
      </c>
      <c r="W521" s="58">
        <v>0</v>
      </c>
      <c r="X521" s="58">
        <v>0</v>
      </c>
      <c r="Y521" s="58">
        <v>4875</v>
      </c>
      <c r="Z521" s="58">
        <v>4875</v>
      </c>
      <c r="AA521" s="58">
        <v>15136.95</v>
      </c>
      <c r="AE521" s="57"/>
    </row>
    <row r="522" spans="1:31" x14ac:dyDescent="0.35">
      <c r="A522" s="56" t="s">
        <v>590</v>
      </c>
      <c r="B522" s="58">
        <v>14050</v>
      </c>
      <c r="C522" s="58" t="s">
        <v>2071</v>
      </c>
      <c r="D522" s="58">
        <v>0</v>
      </c>
      <c r="E522" s="58">
        <v>0</v>
      </c>
      <c r="F522" s="58">
        <v>0</v>
      </c>
      <c r="G522" s="58">
        <v>0</v>
      </c>
      <c r="H522" s="58">
        <v>0</v>
      </c>
      <c r="I522" s="58">
        <v>0</v>
      </c>
      <c r="J522" s="58">
        <v>0</v>
      </c>
      <c r="K522" s="58">
        <v>0</v>
      </c>
      <c r="L522" s="58">
        <v>0</v>
      </c>
      <c r="M522" s="58">
        <v>4875</v>
      </c>
      <c r="N522" s="58">
        <v>15136.95</v>
      </c>
      <c r="O522" s="58">
        <v>14050</v>
      </c>
      <c r="P522" s="58" t="s">
        <v>2071</v>
      </c>
      <c r="Q522" s="58">
        <v>0</v>
      </c>
      <c r="R522" s="58">
        <v>0</v>
      </c>
      <c r="S522" s="58">
        <v>0</v>
      </c>
      <c r="T522" s="58">
        <v>0</v>
      </c>
      <c r="U522" s="58">
        <v>0</v>
      </c>
      <c r="V522" s="58">
        <v>0</v>
      </c>
      <c r="W522" s="58">
        <v>0</v>
      </c>
      <c r="X522" s="58">
        <v>0</v>
      </c>
      <c r="Y522" s="58">
        <v>5550</v>
      </c>
      <c r="Z522" s="58">
        <v>4875</v>
      </c>
      <c r="AA522" s="58">
        <v>15136.95</v>
      </c>
      <c r="AE522" s="57"/>
    </row>
    <row r="523" spans="1:31" x14ac:dyDescent="0.35">
      <c r="A523" s="56" t="s">
        <v>591</v>
      </c>
      <c r="B523" s="58">
        <v>14050</v>
      </c>
      <c r="C523" s="58" t="s">
        <v>35</v>
      </c>
      <c r="D523" s="58">
        <v>876</v>
      </c>
      <c r="E523" s="58">
        <v>190</v>
      </c>
      <c r="F523" s="58">
        <v>27.696793002915452</v>
      </c>
      <c r="G523" s="58">
        <v>703</v>
      </c>
      <c r="H523" s="58">
        <v>51.42</v>
      </c>
      <c r="I523" s="58">
        <v>0.3</v>
      </c>
      <c r="J523" s="58">
        <v>-0.75</v>
      </c>
      <c r="K523" s="58">
        <v>-71.428571428571431</v>
      </c>
      <c r="L523" s="58">
        <v>53775</v>
      </c>
      <c r="M523" s="58">
        <v>50475</v>
      </c>
      <c r="N523" s="58">
        <v>15136.95</v>
      </c>
      <c r="O523" s="58">
        <v>14050</v>
      </c>
      <c r="P523" s="58" t="s">
        <v>35</v>
      </c>
      <c r="Q523" s="58">
        <v>52</v>
      </c>
      <c r="R523" s="58">
        <v>0</v>
      </c>
      <c r="S523" s="58">
        <v>0</v>
      </c>
      <c r="T523" s="58">
        <v>1</v>
      </c>
      <c r="U523" s="58">
        <v>58.43</v>
      </c>
      <c r="V523" s="58">
        <v>1100</v>
      </c>
      <c r="W523" s="58">
        <v>-2.9000000000000909</v>
      </c>
      <c r="X523" s="58">
        <v>-0.2629431498776037</v>
      </c>
      <c r="Y523" s="58">
        <v>21450</v>
      </c>
      <c r="Z523" s="58">
        <v>19350</v>
      </c>
      <c r="AA523" s="58">
        <v>15136.95</v>
      </c>
      <c r="AE523" s="57"/>
    </row>
    <row r="524" spans="1:31" x14ac:dyDescent="0.35">
      <c r="A524" s="56" t="s">
        <v>592</v>
      </c>
      <c r="B524" s="58">
        <v>14050</v>
      </c>
      <c r="C524" s="58" t="s">
        <v>33</v>
      </c>
      <c r="D524" s="58">
        <v>566</v>
      </c>
      <c r="E524" s="58">
        <v>4</v>
      </c>
      <c r="F524" s="58">
        <v>0.71174377224199292</v>
      </c>
      <c r="G524" s="58">
        <v>218</v>
      </c>
      <c r="H524" s="58">
        <v>28.35</v>
      </c>
      <c r="I524" s="58">
        <v>29.25</v>
      </c>
      <c r="J524" s="58">
        <v>-6.6000000000000014</v>
      </c>
      <c r="K524" s="58">
        <v>-18.410041841004187</v>
      </c>
      <c r="L524" s="58">
        <v>47475</v>
      </c>
      <c r="M524" s="58">
        <v>22650</v>
      </c>
      <c r="N524" s="58">
        <v>15136.95</v>
      </c>
      <c r="O524" s="58">
        <v>14050</v>
      </c>
      <c r="P524" s="58" t="s">
        <v>33</v>
      </c>
      <c r="Q524" s="58">
        <v>178</v>
      </c>
      <c r="R524" s="58">
        <v>0</v>
      </c>
      <c r="S524" s="58">
        <v>0</v>
      </c>
      <c r="T524" s="58">
        <v>0</v>
      </c>
      <c r="U524" s="58">
        <v>0</v>
      </c>
      <c r="V524" s="58">
        <v>0</v>
      </c>
      <c r="W524" s="58">
        <v>0</v>
      </c>
      <c r="X524" s="58">
        <v>0</v>
      </c>
      <c r="Y524" s="58">
        <v>14925</v>
      </c>
      <c r="Z524" s="58">
        <v>14925</v>
      </c>
      <c r="AA524" s="58">
        <v>15136.95</v>
      </c>
      <c r="AE524" s="57"/>
    </row>
    <row r="525" spans="1:31" x14ac:dyDescent="0.35">
      <c r="A525" s="56" t="s">
        <v>593</v>
      </c>
      <c r="B525" s="58">
        <v>14100</v>
      </c>
      <c r="C525" s="58" t="s">
        <v>33</v>
      </c>
      <c r="D525" s="58">
        <v>8648</v>
      </c>
      <c r="E525" s="58">
        <v>-113</v>
      </c>
      <c r="F525" s="58">
        <v>-1.289807099646159</v>
      </c>
      <c r="G525" s="58">
        <v>2867</v>
      </c>
      <c r="H525" s="58">
        <v>28.2</v>
      </c>
      <c r="I525" s="58">
        <v>32.299999999999997</v>
      </c>
      <c r="J525" s="58">
        <v>-5.9500000000000028</v>
      </c>
      <c r="K525" s="58">
        <v>-15.555555555555564</v>
      </c>
      <c r="L525" s="58">
        <v>46725</v>
      </c>
      <c r="M525" s="58">
        <v>23325</v>
      </c>
      <c r="N525" s="58">
        <v>15136.95</v>
      </c>
      <c r="O525" s="58">
        <v>14100</v>
      </c>
      <c r="P525" s="58" t="s">
        <v>33</v>
      </c>
      <c r="Q525" s="58">
        <v>5318</v>
      </c>
      <c r="R525" s="58">
        <v>0</v>
      </c>
      <c r="S525" s="58">
        <v>0</v>
      </c>
      <c r="T525" s="58">
        <v>11</v>
      </c>
      <c r="U525" s="58">
        <v>0</v>
      </c>
      <c r="V525" s="58">
        <v>1075</v>
      </c>
      <c r="W525" s="58">
        <v>23.950000000000045</v>
      </c>
      <c r="X525" s="58">
        <v>2.2786737072451402</v>
      </c>
      <c r="Y525" s="58">
        <v>21000</v>
      </c>
      <c r="Z525" s="58">
        <v>18600</v>
      </c>
      <c r="AA525" s="58">
        <v>15136.95</v>
      </c>
      <c r="AE525" s="57"/>
    </row>
    <row r="526" spans="1:31" x14ac:dyDescent="0.35">
      <c r="A526" s="56" t="s">
        <v>594</v>
      </c>
      <c r="B526" s="58">
        <v>14100</v>
      </c>
      <c r="C526" s="58" t="s">
        <v>36</v>
      </c>
      <c r="D526" s="58">
        <v>0</v>
      </c>
      <c r="E526" s="58">
        <v>0</v>
      </c>
      <c r="F526" s="58">
        <v>0</v>
      </c>
      <c r="G526" s="58">
        <v>0</v>
      </c>
      <c r="H526" s="58">
        <v>0</v>
      </c>
      <c r="I526" s="58">
        <v>0</v>
      </c>
      <c r="J526" s="58">
        <v>0</v>
      </c>
      <c r="K526" s="58">
        <v>0</v>
      </c>
      <c r="L526" s="58">
        <v>600</v>
      </c>
      <c r="M526" s="58">
        <v>300</v>
      </c>
      <c r="N526" s="58">
        <v>15136.95</v>
      </c>
      <c r="O526" s="58">
        <v>14100</v>
      </c>
      <c r="P526" s="58" t="s">
        <v>36</v>
      </c>
      <c r="Q526" s="58">
        <v>0</v>
      </c>
      <c r="R526" s="58">
        <v>0</v>
      </c>
      <c r="S526" s="58">
        <v>0</v>
      </c>
      <c r="T526" s="58">
        <v>0</v>
      </c>
      <c r="U526" s="58">
        <v>0</v>
      </c>
      <c r="V526" s="58">
        <v>0</v>
      </c>
      <c r="W526" s="58">
        <v>0</v>
      </c>
      <c r="X526" s="58">
        <v>0</v>
      </c>
      <c r="Y526" s="58">
        <v>4875</v>
      </c>
      <c r="Z526" s="58">
        <v>4875</v>
      </c>
      <c r="AA526" s="58">
        <v>15136.95</v>
      </c>
      <c r="AE526" s="57"/>
    </row>
    <row r="527" spans="1:31" x14ac:dyDescent="0.35">
      <c r="A527" s="56" t="s">
        <v>595</v>
      </c>
      <c r="B527" s="58">
        <v>14100</v>
      </c>
      <c r="C527" s="58" t="s">
        <v>37</v>
      </c>
      <c r="D527" s="58">
        <v>0</v>
      </c>
      <c r="E527" s="58">
        <v>0</v>
      </c>
      <c r="F527" s="58">
        <v>0</v>
      </c>
      <c r="G527" s="58">
        <v>0</v>
      </c>
      <c r="H527" s="58">
        <v>0</v>
      </c>
      <c r="I527" s="58">
        <v>0</v>
      </c>
      <c r="J527" s="58">
        <v>0</v>
      </c>
      <c r="K527" s="58">
        <v>0</v>
      </c>
      <c r="L527" s="58">
        <v>300</v>
      </c>
      <c r="M527" s="58">
        <v>600</v>
      </c>
      <c r="N527" s="58">
        <v>15136.95</v>
      </c>
      <c r="O527" s="58">
        <v>14100</v>
      </c>
      <c r="P527" s="58" t="s">
        <v>37</v>
      </c>
      <c r="Q527" s="58">
        <v>0</v>
      </c>
      <c r="R527" s="58">
        <v>0</v>
      </c>
      <c r="S527" s="58">
        <v>0</v>
      </c>
      <c r="T527" s="58">
        <v>0</v>
      </c>
      <c r="U527" s="58">
        <v>0</v>
      </c>
      <c r="V527" s="58">
        <v>0</v>
      </c>
      <c r="W527" s="58">
        <v>0</v>
      </c>
      <c r="X527" s="58">
        <v>0</v>
      </c>
      <c r="Y527" s="58">
        <v>4875</v>
      </c>
      <c r="Z527" s="58">
        <v>4875</v>
      </c>
      <c r="AA527" s="58">
        <v>15136.95</v>
      </c>
      <c r="AE527" s="57"/>
    </row>
    <row r="528" spans="1:31" x14ac:dyDescent="0.35">
      <c r="A528" s="56" t="s">
        <v>596</v>
      </c>
      <c r="B528" s="58">
        <v>0</v>
      </c>
      <c r="C528" s="58">
        <v>0</v>
      </c>
      <c r="D528" s="58">
        <v>0</v>
      </c>
      <c r="E528" s="58">
        <v>0</v>
      </c>
      <c r="F528" s="58">
        <v>0</v>
      </c>
      <c r="G528" s="58">
        <v>0</v>
      </c>
      <c r="H528" s="58">
        <v>0</v>
      </c>
      <c r="I528" s="58">
        <v>0</v>
      </c>
      <c r="J528" s="58">
        <v>0</v>
      </c>
      <c r="K528" s="58">
        <v>0</v>
      </c>
      <c r="L528" s="58">
        <v>0</v>
      </c>
      <c r="M528" s="58">
        <v>0</v>
      </c>
      <c r="N528" s="58">
        <v>0</v>
      </c>
      <c r="O528" s="58">
        <v>14100</v>
      </c>
      <c r="P528" s="58" t="s">
        <v>38</v>
      </c>
      <c r="Q528" s="58">
        <v>0</v>
      </c>
      <c r="R528" s="58">
        <v>0</v>
      </c>
      <c r="S528" s="58">
        <v>0</v>
      </c>
      <c r="T528" s="58">
        <v>0</v>
      </c>
      <c r="U528" s="58">
        <v>0</v>
      </c>
      <c r="V528" s="58">
        <v>0</v>
      </c>
      <c r="W528" s="58">
        <v>0</v>
      </c>
      <c r="X528" s="58">
        <v>0</v>
      </c>
      <c r="Y528" s="58">
        <v>4875</v>
      </c>
      <c r="Z528" s="58">
        <v>4875</v>
      </c>
      <c r="AA528" s="58">
        <v>15136.95</v>
      </c>
      <c r="AE528" s="57"/>
    </row>
    <row r="529" spans="1:31" x14ac:dyDescent="0.35">
      <c r="A529" s="56" t="s">
        <v>597</v>
      </c>
      <c r="B529" s="58">
        <v>14100</v>
      </c>
      <c r="C529" s="58" t="s">
        <v>26</v>
      </c>
      <c r="D529" s="58">
        <v>572</v>
      </c>
      <c r="E529" s="58">
        <v>3</v>
      </c>
      <c r="F529" s="58">
        <v>0.52724077328646746</v>
      </c>
      <c r="G529" s="58">
        <v>40</v>
      </c>
      <c r="H529" s="58">
        <v>27.49</v>
      </c>
      <c r="I529" s="58">
        <v>140.9</v>
      </c>
      <c r="J529" s="58">
        <v>-10.299999999999985</v>
      </c>
      <c r="K529" s="58">
        <v>-6.812169312169301</v>
      </c>
      <c r="L529" s="58">
        <v>4200</v>
      </c>
      <c r="M529" s="58">
        <v>9600</v>
      </c>
      <c r="N529" s="58">
        <v>15136.95</v>
      </c>
      <c r="O529" s="58">
        <v>14100</v>
      </c>
      <c r="P529" s="58" t="s">
        <v>26</v>
      </c>
      <c r="Q529" s="58">
        <v>253</v>
      </c>
      <c r="R529" s="58">
        <v>0</v>
      </c>
      <c r="S529" s="58">
        <v>0</v>
      </c>
      <c r="T529" s="58">
        <v>2</v>
      </c>
      <c r="U529" s="58">
        <v>15.48</v>
      </c>
      <c r="V529" s="58">
        <v>1225</v>
      </c>
      <c r="W529" s="58">
        <v>66</v>
      </c>
      <c r="X529" s="58">
        <v>5.6945642795513374</v>
      </c>
      <c r="Y529" s="58">
        <v>10725</v>
      </c>
      <c r="Z529" s="58">
        <v>10200</v>
      </c>
      <c r="AA529" s="58">
        <v>15136.95</v>
      </c>
      <c r="AE529" s="57"/>
    </row>
    <row r="530" spans="1:31" x14ac:dyDescent="0.35">
      <c r="A530" s="56" t="s">
        <v>598</v>
      </c>
      <c r="B530" s="58">
        <v>0</v>
      </c>
      <c r="C530" s="58">
        <v>0</v>
      </c>
      <c r="D530" s="58">
        <v>0</v>
      </c>
      <c r="E530" s="58">
        <v>0</v>
      </c>
      <c r="F530" s="58">
        <v>0</v>
      </c>
      <c r="G530" s="58">
        <v>0</v>
      </c>
      <c r="H530" s="58">
        <v>0</v>
      </c>
      <c r="I530" s="58">
        <v>0</v>
      </c>
      <c r="J530" s="58">
        <v>0</v>
      </c>
      <c r="K530" s="58">
        <v>0</v>
      </c>
      <c r="L530" s="58">
        <v>0</v>
      </c>
      <c r="M530" s="58">
        <v>0</v>
      </c>
      <c r="N530" s="58">
        <v>0</v>
      </c>
      <c r="O530" s="58">
        <v>14100</v>
      </c>
      <c r="P530" s="58" t="s">
        <v>67</v>
      </c>
      <c r="Q530" s="58">
        <v>0</v>
      </c>
      <c r="R530" s="58">
        <v>0</v>
      </c>
      <c r="S530" s="58">
        <v>0</v>
      </c>
      <c r="T530" s="58">
        <v>0</v>
      </c>
      <c r="U530" s="58">
        <v>0</v>
      </c>
      <c r="V530" s="58">
        <v>0</v>
      </c>
      <c r="W530" s="58">
        <v>0</v>
      </c>
      <c r="X530" s="58">
        <v>0</v>
      </c>
      <c r="Y530" s="58">
        <v>4875</v>
      </c>
      <c r="Z530" s="58">
        <v>4875</v>
      </c>
      <c r="AA530" s="58">
        <v>15136.95</v>
      </c>
      <c r="AE530" s="57"/>
    </row>
    <row r="531" spans="1:31" x14ac:dyDescent="0.35">
      <c r="A531" s="56" t="s">
        <v>599</v>
      </c>
      <c r="B531" s="58">
        <v>0</v>
      </c>
      <c r="C531" s="58">
        <v>0</v>
      </c>
      <c r="D531" s="58">
        <v>0</v>
      </c>
      <c r="E531" s="58">
        <v>0</v>
      </c>
      <c r="F531" s="58">
        <v>0</v>
      </c>
      <c r="G531" s="58">
        <v>0</v>
      </c>
      <c r="H531" s="58">
        <v>0</v>
      </c>
      <c r="I531" s="58">
        <v>0</v>
      </c>
      <c r="J531" s="58">
        <v>0</v>
      </c>
      <c r="K531" s="58">
        <v>0</v>
      </c>
      <c r="L531" s="58">
        <v>0</v>
      </c>
      <c r="M531" s="58">
        <v>0</v>
      </c>
      <c r="N531" s="58">
        <v>0</v>
      </c>
      <c r="O531" s="58">
        <v>14100</v>
      </c>
      <c r="P531" s="58" t="s">
        <v>2074</v>
      </c>
      <c r="Q531" s="58">
        <v>0</v>
      </c>
      <c r="R531" s="58">
        <v>0</v>
      </c>
      <c r="S531" s="58">
        <v>0</v>
      </c>
      <c r="T531" s="58">
        <v>0</v>
      </c>
      <c r="U531" s="58">
        <v>0</v>
      </c>
      <c r="V531" s="58">
        <v>0</v>
      </c>
      <c r="W531" s="58">
        <v>0</v>
      </c>
      <c r="X531" s="58">
        <v>0</v>
      </c>
      <c r="Y531" s="58">
        <v>4875</v>
      </c>
      <c r="Z531" s="58">
        <v>4875</v>
      </c>
      <c r="AA531" s="58">
        <v>15136.95</v>
      </c>
      <c r="AE531" s="57"/>
    </row>
    <row r="532" spans="1:31" x14ac:dyDescent="0.35">
      <c r="A532" s="56" t="s">
        <v>600</v>
      </c>
      <c r="B532" s="58">
        <v>14100</v>
      </c>
      <c r="C532" s="58" t="s">
        <v>2071</v>
      </c>
      <c r="D532" s="58">
        <v>0</v>
      </c>
      <c r="E532" s="58">
        <v>0</v>
      </c>
      <c r="F532" s="58">
        <v>0</v>
      </c>
      <c r="G532" s="58">
        <v>0</v>
      </c>
      <c r="H532" s="58">
        <v>0</v>
      </c>
      <c r="I532" s="58">
        <v>0</v>
      </c>
      <c r="J532" s="58">
        <v>0</v>
      </c>
      <c r="K532" s="58">
        <v>0</v>
      </c>
      <c r="L532" s="58">
        <v>0</v>
      </c>
      <c r="M532" s="58">
        <v>4875</v>
      </c>
      <c r="N532" s="58">
        <v>15136.95</v>
      </c>
      <c r="O532" s="58">
        <v>14100</v>
      </c>
      <c r="P532" s="58" t="s">
        <v>2071</v>
      </c>
      <c r="Q532" s="58">
        <v>0</v>
      </c>
      <c r="R532" s="58">
        <v>0</v>
      </c>
      <c r="S532" s="58">
        <v>0</v>
      </c>
      <c r="T532" s="58">
        <v>0</v>
      </c>
      <c r="U532" s="58">
        <v>0</v>
      </c>
      <c r="V532" s="58">
        <v>0</v>
      </c>
      <c r="W532" s="58">
        <v>0</v>
      </c>
      <c r="X532" s="58">
        <v>0</v>
      </c>
      <c r="Y532" s="58">
        <v>5550</v>
      </c>
      <c r="Z532" s="58">
        <v>4875</v>
      </c>
      <c r="AA532" s="58">
        <v>15136.95</v>
      </c>
      <c r="AE532" s="57"/>
    </row>
    <row r="533" spans="1:31" x14ac:dyDescent="0.35">
      <c r="A533" s="56" t="s">
        <v>601</v>
      </c>
      <c r="B533" s="58">
        <v>14100</v>
      </c>
      <c r="C533" s="58" t="s">
        <v>35</v>
      </c>
      <c r="D533" s="58">
        <v>6030</v>
      </c>
      <c r="E533" s="58">
        <v>-749</v>
      </c>
      <c r="F533" s="58">
        <v>-11.048827260657914</v>
      </c>
      <c r="G533" s="58">
        <v>5715</v>
      </c>
      <c r="H533" s="58">
        <v>49.22</v>
      </c>
      <c r="I533" s="58">
        <v>0.3</v>
      </c>
      <c r="J533" s="58">
        <v>-0.7</v>
      </c>
      <c r="K533" s="58">
        <v>-70</v>
      </c>
      <c r="L533" s="58">
        <v>431775</v>
      </c>
      <c r="M533" s="58">
        <v>88050</v>
      </c>
      <c r="N533" s="58">
        <v>15136.95</v>
      </c>
      <c r="O533" s="58">
        <v>14100</v>
      </c>
      <c r="P533" s="58" t="s">
        <v>35</v>
      </c>
      <c r="Q533" s="58">
        <v>227</v>
      </c>
      <c r="R533" s="58">
        <v>-35</v>
      </c>
      <c r="S533" s="58">
        <v>-13.358778625954198</v>
      </c>
      <c r="T533" s="58">
        <v>66</v>
      </c>
      <c r="U533" s="58">
        <v>0</v>
      </c>
      <c r="V533" s="58">
        <v>1033.4000000000001</v>
      </c>
      <c r="W533" s="58">
        <v>34.550000000000068</v>
      </c>
      <c r="X533" s="58">
        <v>3.4589778244981795</v>
      </c>
      <c r="Y533" s="58">
        <v>23250</v>
      </c>
      <c r="Z533" s="58">
        <v>25200</v>
      </c>
      <c r="AA533" s="58">
        <v>15136.95</v>
      </c>
      <c r="AE533" s="57"/>
    </row>
    <row r="534" spans="1:31" x14ac:dyDescent="0.35">
      <c r="A534" s="56" t="s">
        <v>602</v>
      </c>
      <c r="B534" s="58">
        <v>14100</v>
      </c>
      <c r="C534" s="58" t="s">
        <v>34</v>
      </c>
      <c r="D534" s="58">
        <v>2579</v>
      </c>
      <c r="E534" s="58">
        <v>164</v>
      </c>
      <c r="F534" s="58">
        <v>6.7908902691511388</v>
      </c>
      <c r="G534" s="58">
        <v>4175</v>
      </c>
      <c r="H534" s="58">
        <v>29.91</v>
      </c>
      <c r="I534" s="58">
        <v>9.5</v>
      </c>
      <c r="J534" s="58">
        <v>-1.8499999999999996</v>
      </c>
      <c r="K534" s="58">
        <v>-16.299559471365637</v>
      </c>
      <c r="L534" s="58">
        <v>102150</v>
      </c>
      <c r="M534" s="58">
        <v>23850</v>
      </c>
      <c r="N534" s="58">
        <v>15136.95</v>
      </c>
      <c r="O534" s="58">
        <v>14100</v>
      </c>
      <c r="P534" s="58" t="s">
        <v>34</v>
      </c>
      <c r="Q534" s="58">
        <v>40</v>
      </c>
      <c r="R534" s="58">
        <v>9</v>
      </c>
      <c r="S534" s="58">
        <v>29.032258064516128</v>
      </c>
      <c r="T534" s="58">
        <v>25</v>
      </c>
      <c r="U534" s="58">
        <v>0</v>
      </c>
      <c r="V534" s="58">
        <v>1039.4000000000001</v>
      </c>
      <c r="W534" s="58">
        <v>69.400000000000091</v>
      </c>
      <c r="X534" s="58">
        <v>7.1546391752577421</v>
      </c>
      <c r="Y534" s="58">
        <v>10725</v>
      </c>
      <c r="Z534" s="58">
        <v>7500</v>
      </c>
      <c r="AA534" s="58">
        <v>15136.95</v>
      </c>
      <c r="AE534" s="57"/>
    </row>
    <row r="535" spans="1:31" x14ac:dyDescent="0.35">
      <c r="A535" s="56" t="s">
        <v>603</v>
      </c>
      <c r="B535" s="58">
        <v>14150</v>
      </c>
      <c r="C535" s="58" t="s">
        <v>34</v>
      </c>
      <c r="D535" s="58">
        <v>197</v>
      </c>
      <c r="E535" s="58">
        <v>7</v>
      </c>
      <c r="F535" s="58">
        <v>3.6842105263157894</v>
      </c>
      <c r="G535" s="58">
        <v>145</v>
      </c>
      <c r="H535" s="58">
        <v>29.2</v>
      </c>
      <c r="I535" s="58">
        <v>10.25</v>
      </c>
      <c r="J535" s="58">
        <v>-2.1500000000000004</v>
      </c>
      <c r="K535" s="58">
        <v>-17.338709677419356</v>
      </c>
      <c r="L535" s="58">
        <v>57825</v>
      </c>
      <c r="M535" s="58">
        <v>12825</v>
      </c>
      <c r="N535" s="58">
        <v>15136.95</v>
      </c>
      <c r="O535" s="58">
        <v>14150</v>
      </c>
      <c r="P535" s="58" t="s">
        <v>34</v>
      </c>
      <c r="Q535" s="58">
        <v>2</v>
      </c>
      <c r="R535" s="58">
        <v>0</v>
      </c>
      <c r="S535" s="58">
        <v>0</v>
      </c>
      <c r="T535" s="58">
        <v>0</v>
      </c>
      <c r="U535" s="58">
        <v>0</v>
      </c>
      <c r="V535" s="58">
        <v>0</v>
      </c>
      <c r="W535" s="58">
        <v>0</v>
      </c>
      <c r="X535" s="58">
        <v>0</v>
      </c>
      <c r="Y535" s="58">
        <v>19350</v>
      </c>
      <c r="Z535" s="58">
        <v>11175</v>
      </c>
      <c r="AA535" s="58">
        <v>15136.95</v>
      </c>
      <c r="AE535" s="57"/>
    </row>
    <row r="536" spans="1:31" x14ac:dyDescent="0.35">
      <c r="A536" s="56" t="s">
        <v>604</v>
      </c>
      <c r="B536" s="58">
        <v>14150</v>
      </c>
      <c r="C536" s="58" t="s">
        <v>33</v>
      </c>
      <c r="D536" s="58">
        <v>508</v>
      </c>
      <c r="E536" s="58">
        <v>-4</v>
      </c>
      <c r="F536" s="58">
        <v>-0.78125</v>
      </c>
      <c r="G536" s="58">
        <v>134</v>
      </c>
      <c r="H536" s="58">
        <v>27.79</v>
      </c>
      <c r="I536" s="58">
        <v>34.4</v>
      </c>
      <c r="J536" s="58">
        <v>-7.6499999999999986</v>
      </c>
      <c r="K536" s="58">
        <v>-18.192627824019024</v>
      </c>
      <c r="L536" s="58">
        <v>10425</v>
      </c>
      <c r="M536" s="58">
        <v>14850</v>
      </c>
      <c r="N536" s="58">
        <v>15136.95</v>
      </c>
      <c r="O536" s="58">
        <v>14150</v>
      </c>
      <c r="P536" s="58" t="s">
        <v>33</v>
      </c>
      <c r="Q536" s="58">
        <v>275</v>
      </c>
      <c r="R536" s="58">
        <v>0</v>
      </c>
      <c r="S536" s="58">
        <v>0</v>
      </c>
      <c r="T536" s="58">
        <v>0</v>
      </c>
      <c r="U536" s="58">
        <v>0</v>
      </c>
      <c r="V536" s="58">
        <v>0</v>
      </c>
      <c r="W536" s="58">
        <v>0</v>
      </c>
      <c r="X536" s="58">
        <v>0</v>
      </c>
      <c r="Y536" s="58">
        <v>14025</v>
      </c>
      <c r="Z536" s="58">
        <v>14925</v>
      </c>
      <c r="AA536" s="58">
        <v>15136.95</v>
      </c>
      <c r="AE536" s="57"/>
    </row>
    <row r="537" spans="1:31" x14ac:dyDescent="0.35">
      <c r="A537" s="56" t="s">
        <v>605</v>
      </c>
      <c r="B537" s="58">
        <v>14150</v>
      </c>
      <c r="C537" s="58" t="s">
        <v>36</v>
      </c>
      <c r="D537" s="58">
        <v>0</v>
      </c>
      <c r="E537" s="58">
        <v>0</v>
      </c>
      <c r="F537" s="58">
        <v>0</v>
      </c>
      <c r="G537" s="58">
        <v>0</v>
      </c>
      <c r="H537" s="58">
        <v>0</v>
      </c>
      <c r="I537" s="58">
        <v>0</v>
      </c>
      <c r="J537" s="58">
        <v>0</v>
      </c>
      <c r="K537" s="58">
        <v>0</v>
      </c>
      <c r="L537" s="58">
        <v>0</v>
      </c>
      <c r="M537" s="58">
        <v>0</v>
      </c>
      <c r="N537" s="58">
        <v>15136.95</v>
      </c>
      <c r="O537" s="58">
        <v>14150</v>
      </c>
      <c r="P537" s="58" t="s">
        <v>36</v>
      </c>
      <c r="Q537" s="58">
        <v>0</v>
      </c>
      <c r="R537" s="58">
        <v>0</v>
      </c>
      <c r="S537" s="58">
        <v>0</v>
      </c>
      <c r="T537" s="58">
        <v>0</v>
      </c>
      <c r="U537" s="58">
        <v>0</v>
      </c>
      <c r="V537" s="58">
        <v>0</v>
      </c>
      <c r="W537" s="58">
        <v>0</v>
      </c>
      <c r="X537" s="58">
        <v>0</v>
      </c>
      <c r="Y537" s="58">
        <v>4875</v>
      </c>
      <c r="Z537" s="58">
        <v>4875</v>
      </c>
      <c r="AA537" s="58">
        <v>15136.95</v>
      </c>
      <c r="AE537" s="57"/>
    </row>
    <row r="538" spans="1:31" x14ac:dyDescent="0.35">
      <c r="A538" s="56" t="s">
        <v>606</v>
      </c>
      <c r="B538" s="58">
        <v>0</v>
      </c>
      <c r="C538" s="58">
        <v>0</v>
      </c>
      <c r="D538" s="58">
        <v>0</v>
      </c>
      <c r="E538" s="58">
        <v>0</v>
      </c>
      <c r="F538" s="58">
        <v>0</v>
      </c>
      <c r="G538" s="58">
        <v>0</v>
      </c>
      <c r="H538" s="58">
        <v>0</v>
      </c>
      <c r="I538" s="58">
        <v>0</v>
      </c>
      <c r="J538" s="58">
        <v>0</v>
      </c>
      <c r="K538" s="58">
        <v>0</v>
      </c>
      <c r="L538" s="58">
        <v>0</v>
      </c>
      <c r="M538" s="58">
        <v>0</v>
      </c>
      <c r="N538" s="58">
        <v>0</v>
      </c>
      <c r="O538" s="58">
        <v>14150</v>
      </c>
      <c r="P538" s="58" t="s">
        <v>37</v>
      </c>
      <c r="Q538" s="58">
        <v>0</v>
      </c>
      <c r="R538" s="58">
        <v>0</v>
      </c>
      <c r="S538" s="58">
        <v>0</v>
      </c>
      <c r="T538" s="58">
        <v>0</v>
      </c>
      <c r="U538" s="58">
        <v>0</v>
      </c>
      <c r="V538" s="58">
        <v>0</v>
      </c>
      <c r="W538" s="58">
        <v>0</v>
      </c>
      <c r="X538" s="58">
        <v>0</v>
      </c>
      <c r="Y538" s="58">
        <v>4875</v>
      </c>
      <c r="Z538" s="58">
        <v>4875</v>
      </c>
      <c r="AA538" s="58">
        <v>15136.95</v>
      </c>
      <c r="AE538" s="57"/>
    </row>
    <row r="539" spans="1:31" x14ac:dyDescent="0.35">
      <c r="A539" s="56" t="s">
        <v>607</v>
      </c>
      <c r="B539" s="58">
        <v>0</v>
      </c>
      <c r="C539" s="58">
        <v>0</v>
      </c>
      <c r="D539" s="58">
        <v>0</v>
      </c>
      <c r="E539" s="58">
        <v>0</v>
      </c>
      <c r="F539" s="58">
        <v>0</v>
      </c>
      <c r="G539" s="58">
        <v>0</v>
      </c>
      <c r="H539" s="58">
        <v>0</v>
      </c>
      <c r="I539" s="58">
        <v>0</v>
      </c>
      <c r="J539" s="58">
        <v>0</v>
      </c>
      <c r="K539" s="58">
        <v>0</v>
      </c>
      <c r="L539" s="58">
        <v>0</v>
      </c>
      <c r="M539" s="58">
        <v>0</v>
      </c>
      <c r="N539" s="58">
        <v>0</v>
      </c>
      <c r="O539" s="58">
        <v>14150</v>
      </c>
      <c r="P539" s="58" t="s">
        <v>38</v>
      </c>
      <c r="Q539" s="58">
        <v>0</v>
      </c>
      <c r="R539" s="58">
        <v>0</v>
      </c>
      <c r="S539" s="58">
        <v>0</v>
      </c>
      <c r="T539" s="58">
        <v>0</v>
      </c>
      <c r="U539" s="58">
        <v>0</v>
      </c>
      <c r="V539" s="58">
        <v>0</v>
      </c>
      <c r="W539" s="58">
        <v>0</v>
      </c>
      <c r="X539" s="58">
        <v>0</v>
      </c>
      <c r="Y539" s="58">
        <v>4875</v>
      </c>
      <c r="Z539" s="58">
        <v>4875</v>
      </c>
      <c r="AA539" s="58">
        <v>15136.95</v>
      </c>
      <c r="AE539" s="57"/>
    </row>
    <row r="540" spans="1:31" x14ac:dyDescent="0.35">
      <c r="A540" s="56" t="s">
        <v>608</v>
      </c>
      <c r="B540" s="58">
        <v>14150</v>
      </c>
      <c r="C540" s="58" t="s">
        <v>26</v>
      </c>
      <c r="D540" s="58">
        <v>8</v>
      </c>
      <c r="E540" s="58">
        <v>-1</v>
      </c>
      <c r="F540" s="58">
        <v>-11.111111111111111</v>
      </c>
      <c r="G540" s="58">
        <v>1</v>
      </c>
      <c r="H540" s="58">
        <v>28.06</v>
      </c>
      <c r="I540" s="58">
        <v>156.4</v>
      </c>
      <c r="J540" s="58">
        <v>-5.5999999999999943</v>
      </c>
      <c r="K540" s="58">
        <v>-3.4567901234567864</v>
      </c>
      <c r="L540" s="58">
        <v>525</v>
      </c>
      <c r="M540" s="58">
        <v>5025</v>
      </c>
      <c r="N540" s="58">
        <v>15136.95</v>
      </c>
      <c r="O540" s="58">
        <v>14150</v>
      </c>
      <c r="P540" s="58" t="s">
        <v>26</v>
      </c>
      <c r="Q540" s="58">
        <v>3</v>
      </c>
      <c r="R540" s="58">
        <v>0</v>
      </c>
      <c r="S540" s="58">
        <v>0</v>
      </c>
      <c r="T540" s="58">
        <v>0</v>
      </c>
      <c r="U540" s="58">
        <v>0</v>
      </c>
      <c r="V540" s="58">
        <v>0</v>
      </c>
      <c r="W540" s="58">
        <v>0</v>
      </c>
      <c r="X540" s="58">
        <v>0</v>
      </c>
      <c r="Y540" s="58">
        <v>12675</v>
      </c>
      <c r="Z540" s="58">
        <v>7725</v>
      </c>
      <c r="AA540" s="58">
        <v>15136.95</v>
      </c>
      <c r="AE540" s="57"/>
    </row>
    <row r="541" spans="1:31" x14ac:dyDescent="0.35">
      <c r="A541" s="56" t="s">
        <v>609</v>
      </c>
      <c r="B541" s="58">
        <v>0</v>
      </c>
      <c r="C541" s="58">
        <v>0</v>
      </c>
      <c r="D541" s="58">
        <v>0</v>
      </c>
      <c r="E541" s="58">
        <v>0</v>
      </c>
      <c r="F541" s="58">
        <v>0</v>
      </c>
      <c r="G541" s="58">
        <v>0</v>
      </c>
      <c r="H541" s="58">
        <v>0</v>
      </c>
      <c r="I541" s="58">
        <v>0</v>
      </c>
      <c r="J541" s="58">
        <v>0</v>
      </c>
      <c r="K541" s="58">
        <v>0</v>
      </c>
      <c r="L541" s="58">
        <v>0</v>
      </c>
      <c r="M541" s="58">
        <v>0</v>
      </c>
      <c r="N541" s="58">
        <v>0</v>
      </c>
      <c r="O541" s="58">
        <v>14150</v>
      </c>
      <c r="P541" s="58" t="s">
        <v>67</v>
      </c>
      <c r="Q541" s="58">
        <v>0</v>
      </c>
      <c r="R541" s="58">
        <v>0</v>
      </c>
      <c r="S541" s="58">
        <v>0</v>
      </c>
      <c r="T541" s="58">
        <v>0</v>
      </c>
      <c r="U541" s="58">
        <v>0</v>
      </c>
      <c r="V541" s="58">
        <v>0</v>
      </c>
      <c r="W541" s="58">
        <v>0</v>
      </c>
      <c r="X541" s="58">
        <v>0</v>
      </c>
      <c r="Y541" s="58">
        <v>4875</v>
      </c>
      <c r="Z541" s="58">
        <v>4875</v>
      </c>
      <c r="AA541" s="58">
        <v>15136.95</v>
      </c>
      <c r="AE541" s="57"/>
    </row>
    <row r="542" spans="1:31" x14ac:dyDescent="0.35">
      <c r="A542" s="56" t="s">
        <v>610</v>
      </c>
      <c r="B542" s="58">
        <v>14150</v>
      </c>
      <c r="C542" s="58" t="s">
        <v>35</v>
      </c>
      <c r="D542" s="58">
        <v>608</v>
      </c>
      <c r="E542" s="58">
        <v>-42</v>
      </c>
      <c r="F542" s="58">
        <v>-6.4615384615384617</v>
      </c>
      <c r="G542" s="58">
        <v>570</v>
      </c>
      <c r="H542" s="58">
        <v>47.02</v>
      </c>
      <c r="I542" s="58">
        <v>0.35</v>
      </c>
      <c r="J542" s="58">
        <v>-0.75000000000000011</v>
      </c>
      <c r="K542" s="58">
        <v>-68.181818181818187</v>
      </c>
      <c r="L542" s="58">
        <v>26400</v>
      </c>
      <c r="M542" s="58">
        <v>45600</v>
      </c>
      <c r="N542" s="58">
        <v>15136.95</v>
      </c>
      <c r="O542" s="58">
        <v>14150</v>
      </c>
      <c r="P542" s="58" t="s">
        <v>35</v>
      </c>
      <c r="Q542" s="58">
        <v>95</v>
      </c>
      <c r="R542" s="58">
        <v>0</v>
      </c>
      <c r="S542" s="58">
        <v>0</v>
      </c>
      <c r="T542" s="58">
        <v>0</v>
      </c>
      <c r="U542" s="58">
        <v>0</v>
      </c>
      <c r="V542" s="58">
        <v>0</v>
      </c>
      <c r="W542" s="58">
        <v>0</v>
      </c>
      <c r="X542" s="58">
        <v>0</v>
      </c>
      <c r="Y542" s="58">
        <v>22350</v>
      </c>
      <c r="Z542" s="58">
        <v>19575</v>
      </c>
      <c r="AA542" s="58">
        <v>15136.95</v>
      </c>
      <c r="AE542" s="57"/>
    </row>
    <row r="543" spans="1:31" x14ac:dyDescent="0.35">
      <c r="A543" s="56" t="s">
        <v>611</v>
      </c>
      <c r="B543" s="58">
        <v>14150</v>
      </c>
      <c r="C543" s="58" t="s">
        <v>2071</v>
      </c>
      <c r="D543" s="58">
        <v>0</v>
      </c>
      <c r="E543" s="58">
        <v>0</v>
      </c>
      <c r="F543" s="58">
        <v>0</v>
      </c>
      <c r="G543" s="58">
        <v>0</v>
      </c>
      <c r="H543" s="58">
        <v>0</v>
      </c>
      <c r="I543" s="58">
        <v>0</v>
      </c>
      <c r="J543" s="58">
        <v>0</v>
      </c>
      <c r="K543" s="58">
        <v>0</v>
      </c>
      <c r="L543" s="58">
        <v>0</v>
      </c>
      <c r="M543" s="58">
        <v>4875</v>
      </c>
      <c r="N543" s="58">
        <v>15136.95</v>
      </c>
      <c r="O543" s="58">
        <v>14150</v>
      </c>
      <c r="P543" s="58" t="s">
        <v>2071</v>
      </c>
      <c r="Q543" s="58">
        <v>0</v>
      </c>
      <c r="R543" s="58">
        <v>0</v>
      </c>
      <c r="S543" s="58">
        <v>0</v>
      </c>
      <c r="T543" s="58">
        <v>0</v>
      </c>
      <c r="U543" s="58">
        <v>0</v>
      </c>
      <c r="V543" s="58">
        <v>0</v>
      </c>
      <c r="W543" s="58">
        <v>0</v>
      </c>
      <c r="X543" s="58">
        <v>0</v>
      </c>
      <c r="Y543" s="58">
        <v>5550</v>
      </c>
      <c r="Z543" s="58">
        <v>4875</v>
      </c>
      <c r="AA543" s="58">
        <v>15136.95</v>
      </c>
      <c r="AE543" s="57"/>
    </row>
    <row r="544" spans="1:31" x14ac:dyDescent="0.35">
      <c r="A544" s="56" t="s">
        <v>612</v>
      </c>
      <c r="B544" s="58">
        <v>0</v>
      </c>
      <c r="C544" s="58">
        <v>0</v>
      </c>
      <c r="D544" s="58">
        <v>0</v>
      </c>
      <c r="E544" s="58">
        <v>0</v>
      </c>
      <c r="F544" s="58">
        <v>0</v>
      </c>
      <c r="G544" s="58">
        <v>0</v>
      </c>
      <c r="H544" s="58">
        <v>0</v>
      </c>
      <c r="I544" s="58">
        <v>0</v>
      </c>
      <c r="J544" s="58">
        <v>0</v>
      </c>
      <c r="K544" s="58">
        <v>0</v>
      </c>
      <c r="L544" s="58">
        <v>0</v>
      </c>
      <c r="M544" s="58">
        <v>0</v>
      </c>
      <c r="N544" s="58">
        <v>0</v>
      </c>
      <c r="O544" s="58">
        <v>14150</v>
      </c>
      <c r="P544" s="58" t="s">
        <v>2074</v>
      </c>
      <c r="Q544" s="58">
        <v>0</v>
      </c>
      <c r="R544" s="58">
        <v>0</v>
      </c>
      <c r="S544" s="58">
        <v>0</v>
      </c>
      <c r="T544" s="58">
        <v>0</v>
      </c>
      <c r="U544" s="58">
        <v>0</v>
      </c>
      <c r="V544" s="58">
        <v>0</v>
      </c>
      <c r="W544" s="58">
        <v>0</v>
      </c>
      <c r="X544" s="58">
        <v>0</v>
      </c>
      <c r="Y544" s="58">
        <v>4875</v>
      </c>
      <c r="Z544" s="58">
        <v>4875</v>
      </c>
      <c r="AA544" s="58">
        <v>15136.95</v>
      </c>
      <c r="AE544" s="57"/>
    </row>
    <row r="545" spans="1:31" x14ac:dyDescent="0.35">
      <c r="A545" s="56" t="s">
        <v>613</v>
      </c>
      <c r="B545" s="58">
        <v>14200</v>
      </c>
      <c r="C545" s="58" t="s">
        <v>35</v>
      </c>
      <c r="D545" s="58">
        <v>8052</v>
      </c>
      <c r="E545" s="58">
        <v>523</v>
      </c>
      <c r="F545" s="58">
        <v>6.946473635276929</v>
      </c>
      <c r="G545" s="58">
        <v>7807</v>
      </c>
      <c r="H545" s="58">
        <v>44.81</v>
      </c>
      <c r="I545" s="58">
        <v>0.35</v>
      </c>
      <c r="J545" s="58">
        <v>-0.75000000000000011</v>
      </c>
      <c r="K545" s="58">
        <v>-68.181818181818187</v>
      </c>
      <c r="L545" s="58">
        <v>541275</v>
      </c>
      <c r="M545" s="58">
        <v>95325</v>
      </c>
      <c r="N545" s="58">
        <v>15136.95</v>
      </c>
      <c r="O545" s="58">
        <v>14200</v>
      </c>
      <c r="P545" s="58" t="s">
        <v>35</v>
      </c>
      <c r="Q545" s="58">
        <v>574</v>
      </c>
      <c r="R545" s="58">
        <v>-38</v>
      </c>
      <c r="S545" s="58">
        <v>-6.2091503267973858</v>
      </c>
      <c r="T545" s="58">
        <v>118</v>
      </c>
      <c r="U545" s="58">
        <v>0</v>
      </c>
      <c r="V545" s="58">
        <v>936</v>
      </c>
      <c r="W545" s="58">
        <v>47.600000000000023</v>
      </c>
      <c r="X545" s="58">
        <v>5.3579468707789308</v>
      </c>
      <c r="Y545" s="58">
        <v>24225</v>
      </c>
      <c r="Z545" s="58">
        <v>23400</v>
      </c>
      <c r="AA545" s="58">
        <v>15136.95</v>
      </c>
      <c r="AE545" s="57"/>
    </row>
    <row r="546" spans="1:31" x14ac:dyDescent="0.35">
      <c r="A546" s="56" t="s">
        <v>614</v>
      </c>
      <c r="B546" s="58">
        <v>14200</v>
      </c>
      <c r="C546" s="58" t="s">
        <v>33</v>
      </c>
      <c r="D546" s="58">
        <v>18909</v>
      </c>
      <c r="E546" s="58">
        <v>166</v>
      </c>
      <c r="F546" s="58">
        <v>0.88566398121965528</v>
      </c>
      <c r="G546" s="58">
        <v>3332</v>
      </c>
      <c r="H546" s="58">
        <v>27.28</v>
      </c>
      <c r="I546" s="58">
        <v>37.9</v>
      </c>
      <c r="J546" s="58">
        <v>-7</v>
      </c>
      <c r="K546" s="58">
        <v>-15.5902004454343</v>
      </c>
      <c r="L546" s="58">
        <v>30225</v>
      </c>
      <c r="M546" s="58">
        <v>48450</v>
      </c>
      <c r="N546" s="58">
        <v>15136.95</v>
      </c>
      <c r="O546" s="58">
        <v>14200</v>
      </c>
      <c r="P546" s="58" t="s">
        <v>33</v>
      </c>
      <c r="Q546" s="58">
        <v>6421</v>
      </c>
      <c r="R546" s="58">
        <v>-5</v>
      </c>
      <c r="S546" s="58">
        <v>-7.78089013383131E-2</v>
      </c>
      <c r="T546" s="58">
        <v>79</v>
      </c>
      <c r="U546" s="58">
        <v>0</v>
      </c>
      <c r="V546" s="58">
        <v>979.25</v>
      </c>
      <c r="W546" s="58">
        <v>5.6499999999999773</v>
      </c>
      <c r="X546" s="58">
        <v>0.58032046014790228</v>
      </c>
      <c r="Y546" s="58">
        <v>27300</v>
      </c>
      <c r="Z546" s="58">
        <v>21375</v>
      </c>
      <c r="AA546" s="58">
        <v>15136.95</v>
      </c>
      <c r="AE546" s="57"/>
    </row>
    <row r="547" spans="1:31" x14ac:dyDescent="0.35">
      <c r="A547" s="56" t="s">
        <v>615</v>
      </c>
      <c r="B547" s="58">
        <v>14200</v>
      </c>
      <c r="C547" s="58" t="s">
        <v>36</v>
      </c>
      <c r="D547" s="58">
        <v>0</v>
      </c>
      <c r="E547" s="58">
        <v>0</v>
      </c>
      <c r="F547" s="58">
        <v>0</v>
      </c>
      <c r="G547" s="58">
        <v>0</v>
      </c>
      <c r="H547" s="58">
        <v>0</v>
      </c>
      <c r="I547" s="58">
        <v>0</v>
      </c>
      <c r="J547" s="58">
        <v>0</v>
      </c>
      <c r="K547" s="58">
        <v>0</v>
      </c>
      <c r="L547" s="58">
        <v>825</v>
      </c>
      <c r="M547" s="58">
        <v>375</v>
      </c>
      <c r="N547" s="58">
        <v>15136.95</v>
      </c>
      <c r="O547" s="58">
        <v>14200</v>
      </c>
      <c r="P547" s="58" t="s">
        <v>36</v>
      </c>
      <c r="Q547" s="58">
        <v>0</v>
      </c>
      <c r="R547" s="58">
        <v>0</v>
      </c>
      <c r="S547" s="58">
        <v>0</v>
      </c>
      <c r="T547" s="58">
        <v>0</v>
      </c>
      <c r="U547" s="58">
        <v>0</v>
      </c>
      <c r="V547" s="58">
        <v>0</v>
      </c>
      <c r="W547" s="58">
        <v>0</v>
      </c>
      <c r="X547" s="58">
        <v>0</v>
      </c>
      <c r="Y547" s="58">
        <v>4875</v>
      </c>
      <c r="Z547" s="58">
        <v>4875</v>
      </c>
      <c r="AA547" s="58">
        <v>15136.95</v>
      </c>
      <c r="AE547" s="57"/>
    </row>
    <row r="548" spans="1:31" x14ac:dyDescent="0.35">
      <c r="A548" s="56" t="s">
        <v>616</v>
      </c>
      <c r="B548" s="58">
        <v>14200</v>
      </c>
      <c r="C548" s="58" t="s">
        <v>37</v>
      </c>
      <c r="D548" s="58">
        <v>0</v>
      </c>
      <c r="E548" s="58">
        <v>0</v>
      </c>
      <c r="F548" s="58">
        <v>0</v>
      </c>
      <c r="G548" s="58">
        <v>0</v>
      </c>
      <c r="H548" s="58">
        <v>0</v>
      </c>
      <c r="I548" s="58">
        <v>0</v>
      </c>
      <c r="J548" s="58">
        <v>0</v>
      </c>
      <c r="K548" s="58">
        <v>0</v>
      </c>
      <c r="L548" s="58">
        <v>300</v>
      </c>
      <c r="M548" s="58">
        <v>600</v>
      </c>
      <c r="N548" s="58">
        <v>15136.95</v>
      </c>
      <c r="O548" s="58">
        <v>14200</v>
      </c>
      <c r="P548" s="58" t="s">
        <v>37</v>
      </c>
      <c r="Q548" s="58">
        <v>0</v>
      </c>
      <c r="R548" s="58">
        <v>0</v>
      </c>
      <c r="S548" s="58">
        <v>0</v>
      </c>
      <c r="T548" s="58">
        <v>0</v>
      </c>
      <c r="U548" s="58">
        <v>0</v>
      </c>
      <c r="V548" s="58">
        <v>0</v>
      </c>
      <c r="W548" s="58">
        <v>0</v>
      </c>
      <c r="X548" s="58">
        <v>0</v>
      </c>
      <c r="Y548" s="58">
        <v>4875</v>
      </c>
      <c r="Z548" s="58">
        <v>4875</v>
      </c>
      <c r="AA548" s="58">
        <v>15136.95</v>
      </c>
      <c r="AE548" s="57"/>
    </row>
    <row r="549" spans="1:31" x14ac:dyDescent="0.35">
      <c r="A549" s="56" t="s">
        <v>617</v>
      </c>
      <c r="B549" s="58">
        <v>0</v>
      </c>
      <c r="C549" s="58">
        <v>0</v>
      </c>
      <c r="D549" s="58">
        <v>0</v>
      </c>
      <c r="E549" s="58">
        <v>0</v>
      </c>
      <c r="F549" s="58">
        <v>0</v>
      </c>
      <c r="G549" s="58">
        <v>0</v>
      </c>
      <c r="H549" s="58">
        <v>0</v>
      </c>
      <c r="I549" s="58">
        <v>0</v>
      </c>
      <c r="J549" s="58">
        <v>0</v>
      </c>
      <c r="K549" s="58">
        <v>0</v>
      </c>
      <c r="L549" s="58">
        <v>0</v>
      </c>
      <c r="M549" s="58">
        <v>0</v>
      </c>
      <c r="N549" s="58">
        <v>0</v>
      </c>
      <c r="O549" s="58">
        <v>14200</v>
      </c>
      <c r="P549" s="58" t="s">
        <v>38</v>
      </c>
      <c r="Q549" s="58">
        <v>0</v>
      </c>
      <c r="R549" s="58">
        <v>0</v>
      </c>
      <c r="S549" s="58">
        <v>0</v>
      </c>
      <c r="T549" s="58">
        <v>0</v>
      </c>
      <c r="U549" s="58">
        <v>0</v>
      </c>
      <c r="V549" s="58">
        <v>0</v>
      </c>
      <c r="W549" s="58">
        <v>0</v>
      </c>
      <c r="X549" s="58">
        <v>0</v>
      </c>
      <c r="Y549" s="58">
        <v>4875</v>
      </c>
      <c r="Z549" s="58">
        <v>4875</v>
      </c>
      <c r="AA549" s="58">
        <v>15136.95</v>
      </c>
      <c r="AE549" s="57"/>
    </row>
    <row r="550" spans="1:31" x14ac:dyDescent="0.35">
      <c r="A550" s="56" t="s">
        <v>618</v>
      </c>
      <c r="B550" s="58">
        <v>14200</v>
      </c>
      <c r="C550" s="58" t="s">
        <v>26</v>
      </c>
      <c r="D550" s="58">
        <v>1065</v>
      </c>
      <c r="E550" s="58">
        <v>-13</v>
      </c>
      <c r="F550" s="58">
        <v>-1.2059369202226344</v>
      </c>
      <c r="G550" s="58">
        <v>186</v>
      </c>
      <c r="H550" s="58">
        <v>27.21</v>
      </c>
      <c r="I550" s="58">
        <v>156.25</v>
      </c>
      <c r="J550" s="58">
        <v>-14.849999999999994</v>
      </c>
      <c r="K550" s="58">
        <v>-8.6791350087667993</v>
      </c>
      <c r="L550" s="58">
        <v>5775</v>
      </c>
      <c r="M550" s="58">
        <v>10500</v>
      </c>
      <c r="N550" s="58">
        <v>15136.95</v>
      </c>
      <c r="O550" s="58">
        <v>14200</v>
      </c>
      <c r="P550" s="58" t="s">
        <v>26</v>
      </c>
      <c r="Q550" s="58">
        <v>152</v>
      </c>
      <c r="R550" s="58">
        <v>1</v>
      </c>
      <c r="S550" s="58">
        <v>0.66225165562913912</v>
      </c>
      <c r="T550" s="58">
        <v>2</v>
      </c>
      <c r="U550" s="58">
        <v>16.440000000000001</v>
      </c>
      <c r="V550" s="58">
        <v>1140</v>
      </c>
      <c r="W550" s="58">
        <v>75.049999999999955</v>
      </c>
      <c r="X550" s="58">
        <v>7.0472792149866139</v>
      </c>
      <c r="Y550" s="58">
        <v>10275</v>
      </c>
      <c r="Z550" s="58">
        <v>10275</v>
      </c>
      <c r="AA550" s="58">
        <v>15136.95</v>
      </c>
      <c r="AE550" s="57"/>
    </row>
    <row r="551" spans="1:31" x14ac:dyDescent="0.35">
      <c r="A551" s="56" t="s">
        <v>619</v>
      </c>
      <c r="B551" s="58">
        <v>0</v>
      </c>
      <c r="C551" s="58">
        <v>0</v>
      </c>
      <c r="D551" s="58">
        <v>0</v>
      </c>
      <c r="E551" s="58">
        <v>0</v>
      </c>
      <c r="F551" s="58">
        <v>0</v>
      </c>
      <c r="G551" s="58">
        <v>0</v>
      </c>
      <c r="H551" s="58">
        <v>0</v>
      </c>
      <c r="I551" s="58">
        <v>0</v>
      </c>
      <c r="J551" s="58">
        <v>0</v>
      </c>
      <c r="K551" s="58">
        <v>0</v>
      </c>
      <c r="L551" s="58">
        <v>0</v>
      </c>
      <c r="M551" s="58">
        <v>0</v>
      </c>
      <c r="N551" s="58">
        <v>0</v>
      </c>
      <c r="O551" s="58">
        <v>14200</v>
      </c>
      <c r="P551" s="58" t="s">
        <v>67</v>
      </c>
      <c r="Q551" s="58">
        <v>0</v>
      </c>
      <c r="R551" s="58">
        <v>0</v>
      </c>
      <c r="S551" s="58">
        <v>0</v>
      </c>
      <c r="T551" s="58">
        <v>0</v>
      </c>
      <c r="U551" s="58">
        <v>0</v>
      </c>
      <c r="V551" s="58">
        <v>0</v>
      </c>
      <c r="W551" s="58">
        <v>0</v>
      </c>
      <c r="X551" s="58">
        <v>0</v>
      </c>
      <c r="Y551" s="58">
        <v>4875</v>
      </c>
      <c r="Z551" s="58">
        <v>4875</v>
      </c>
      <c r="AA551" s="58">
        <v>15136.95</v>
      </c>
      <c r="AE551" s="57"/>
    </row>
    <row r="552" spans="1:31" x14ac:dyDescent="0.35">
      <c r="A552" s="56" t="s">
        <v>620</v>
      </c>
      <c r="B552" s="58">
        <v>0</v>
      </c>
      <c r="C552" s="58">
        <v>0</v>
      </c>
      <c r="D552" s="58">
        <v>0</v>
      </c>
      <c r="E552" s="58">
        <v>0</v>
      </c>
      <c r="F552" s="58">
        <v>0</v>
      </c>
      <c r="G552" s="58">
        <v>0</v>
      </c>
      <c r="H552" s="58">
        <v>0</v>
      </c>
      <c r="I552" s="58">
        <v>0</v>
      </c>
      <c r="J552" s="58">
        <v>0</v>
      </c>
      <c r="K552" s="58">
        <v>0</v>
      </c>
      <c r="L552" s="58">
        <v>0</v>
      </c>
      <c r="M552" s="58">
        <v>0</v>
      </c>
      <c r="N552" s="58">
        <v>0</v>
      </c>
      <c r="O552" s="58">
        <v>14200</v>
      </c>
      <c r="P552" s="58" t="s">
        <v>2074</v>
      </c>
      <c r="Q552" s="58">
        <v>0</v>
      </c>
      <c r="R552" s="58">
        <v>0</v>
      </c>
      <c r="S552" s="58">
        <v>0</v>
      </c>
      <c r="T552" s="58">
        <v>0</v>
      </c>
      <c r="U552" s="58">
        <v>0</v>
      </c>
      <c r="V552" s="58">
        <v>0</v>
      </c>
      <c r="W552" s="58">
        <v>0</v>
      </c>
      <c r="X552" s="58">
        <v>0</v>
      </c>
      <c r="Y552" s="58">
        <v>4875</v>
      </c>
      <c r="Z552" s="58">
        <v>4875</v>
      </c>
      <c r="AA552" s="58">
        <v>15136.95</v>
      </c>
      <c r="AE552" s="57"/>
    </row>
    <row r="553" spans="1:31" x14ac:dyDescent="0.35">
      <c r="A553" s="56" t="s">
        <v>621</v>
      </c>
      <c r="B553" s="58">
        <v>14200</v>
      </c>
      <c r="C553" s="58" t="s">
        <v>2071</v>
      </c>
      <c r="D553" s="58">
        <v>17</v>
      </c>
      <c r="E553" s="58">
        <v>0</v>
      </c>
      <c r="F553" s="58">
        <v>0</v>
      </c>
      <c r="G553" s="58">
        <v>0</v>
      </c>
      <c r="H553" s="58">
        <v>0</v>
      </c>
      <c r="I553" s="58">
        <v>0</v>
      </c>
      <c r="J553" s="58">
        <v>0</v>
      </c>
      <c r="K553" s="58">
        <v>0</v>
      </c>
      <c r="L553" s="58">
        <v>900</v>
      </c>
      <c r="M553" s="58">
        <v>6225</v>
      </c>
      <c r="N553" s="58">
        <v>15136.95</v>
      </c>
      <c r="O553" s="58">
        <v>14200</v>
      </c>
      <c r="P553" s="58" t="s">
        <v>2071</v>
      </c>
      <c r="Q553" s="58">
        <v>0</v>
      </c>
      <c r="R553" s="58">
        <v>0</v>
      </c>
      <c r="S553" s="58">
        <v>0</v>
      </c>
      <c r="T553" s="58">
        <v>0</v>
      </c>
      <c r="U553" s="58">
        <v>0</v>
      </c>
      <c r="V553" s="58">
        <v>0</v>
      </c>
      <c r="W553" s="58">
        <v>0</v>
      </c>
      <c r="X553" s="58">
        <v>0</v>
      </c>
      <c r="Y553" s="58">
        <v>9900</v>
      </c>
      <c r="Z553" s="58">
        <v>5550</v>
      </c>
      <c r="AA553" s="58">
        <v>15136.95</v>
      </c>
      <c r="AE553" s="57"/>
    </row>
    <row r="554" spans="1:31" x14ac:dyDescent="0.35">
      <c r="A554" s="56" t="s">
        <v>622</v>
      </c>
      <c r="B554" s="58">
        <v>14200</v>
      </c>
      <c r="C554" s="58" t="s">
        <v>34</v>
      </c>
      <c r="D554" s="58">
        <v>5188</v>
      </c>
      <c r="E554" s="58">
        <v>245</v>
      </c>
      <c r="F554" s="58">
        <v>4.9565041472789808</v>
      </c>
      <c r="G554" s="58">
        <v>4022</v>
      </c>
      <c r="H554" s="58">
        <v>28.49</v>
      </c>
      <c r="I554" s="58">
        <v>11.25</v>
      </c>
      <c r="J554" s="58">
        <v>-2.6999999999999993</v>
      </c>
      <c r="K554" s="58">
        <v>-19.354838709677416</v>
      </c>
      <c r="L554" s="58">
        <v>102075</v>
      </c>
      <c r="M554" s="58">
        <v>30075</v>
      </c>
      <c r="N554" s="58">
        <v>15136.95</v>
      </c>
      <c r="O554" s="58">
        <v>14200</v>
      </c>
      <c r="P554" s="58" t="s">
        <v>34</v>
      </c>
      <c r="Q554" s="58">
        <v>34</v>
      </c>
      <c r="R554" s="58">
        <v>4</v>
      </c>
      <c r="S554" s="58">
        <v>13.333333333333334</v>
      </c>
      <c r="T554" s="58">
        <v>16</v>
      </c>
      <c r="U554" s="58">
        <v>0</v>
      </c>
      <c r="V554" s="58">
        <v>937.5</v>
      </c>
      <c r="W554" s="58">
        <v>42.5</v>
      </c>
      <c r="X554" s="58">
        <v>4.7486033519553068</v>
      </c>
      <c r="Y554" s="58">
        <v>14850</v>
      </c>
      <c r="Z554" s="58">
        <v>13200</v>
      </c>
      <c r="AA554" s="58">
        <v>15136.95</v>
      </c>
      <c r="AE554" s="57"/>
    </row>
    <row r="555" spans="1:31" x14ac:dyDescent="0.35">
      <c r="A555" s="56" t="s">
        <v>623</v>
      </c>
      <c r="B555" s="58">
        <v>14250</v>
      </c>
      <c r="C555" s="58" t="s">
        <v>34</v>
      </c>
      <c r="D555" s="58">
        <v>318</v>
      </c>
      <c r="E555" s="58">
        <v>82</v>
      </c>
      <c r="F555" s="58">
        <v>34.745762711864408</v>
      </c>
      <c r="G555" s="58">
        <v>436</v>
      </c>
      <c r="H555" s="58">
        <v>27.79</v>
      </c>
      <c r="I555" s="58">
        <v>12.45</v>
      </c>
      <c r="J555" s="58">
        <v>-3.0500000000000007</v>
      </c>
      <c r="K555" s="58">
        <v>-19.677419354838715</v>
      </c>
      <c r="L555" s="58">
        <v>58500</v>
      </c>
      <c r="M555" s="58">
        <v>15225</v>
      </c>
      <c r="N555" s="58">
        <v>15136.95</v>
      </c>
      <c r="O555" s="58">
        <v>14250</v>
      </c>
      <c r="P555" s="58" t="s">
        <v>34</v>
      </c>
      <c r="Q555" s="58">
        <v>19</v>
      </c>
      <c r="R555" s="58">
        <v>0</v>
      </c>
      <c r="S555" s="58">
        <v>0</v>
      </c>
      <c r="T555" s="58">
        <v>0</v>
      </c>
      <c r="U555" s="58">
        <v>0</v>
      </c>
      <c r="V555" s="58">
        <v>0</v>
      </c>
      <c r="W555" s="58">
        <v>0</v>
      </c>
      <c r="X555" s="58">
        <v>0</v>
      </c>
      <c r="Y555" s="58">
        <v>15225</v>
      </c>
      <c r="Z555" s="58">
        <v>11625</v>
      </c>
      <c r="AA555" s="58">
        <v>15136.95</v>
      </c>
      <c r="AE555" s="57"/>
    </row>
    <row r="556" spans="1:31" x14ac:dyDescent="0.35">
      <c r="A556" s="56" t="s">
        <v>624</v>
      </c>
      <c r="B556" s="58">
        <v>14250</v>
      </c>
      <c r="C556" s="58" t="s">
        <v>33</v>
      </c>
      <c r="D556" s="58">
        <v>566</v>
      </c>
      <c r="E556" s="58">
        <v>-52</v>
      </c>
      <c r="F556" s="58">
        <v>-8.4142394822006477</v>
      </c>
      <c r="G556" s="58">
        <v>416</v>
      </c>
      <c r="H556" s="58">
        <v>26.88</v>
      </c>
      <c r="I556" s="58">
        <v>41.55</v>
      </c>
      <c r="J556" s="58">
        <v>-6.9500000000000028</v>
      </c>
      <c r="K556" s="58">
        <v>-14.329896907216501</v>
      </c>
      <c r="L556" s="58">
        <v>10500</v>
      </c>
      <c r="M556" s="58">
        <v>16200</v>
      </c>
      <c r="N556" s="58">
        <v>15136.95</v>
      </c>
      <c r="O556" s="58">
        <v>14250</v>
      </c>
      <c r="P556" s="58" t="s">
        <v>33</v>
      </c>
      <c r="Q556" s="58">
        <v>233</v>
      </c>
      <c r="R556" s="58">
        <v>-3</v>
      </c>
      <c r="S556" s="58">
        <v>-1.271186440677966</v>
      </c>
      <c r="T556" s="58">
        <v>3</v>
      </c>
      <c r="U556" s="58">
        <v>0</v>
      </c>
      <c r="V556" s="58">
        <v>905.7</v>
      </c>
      <c r="W556" s="58">
        <v>74.700000000000045</v>
      </c>
      <c r="X556" s="58">
        <v>8.9891696750902579</v>
      </c>
      <c r="Y556" s="58">
        <v>22650</v>
      </c>
      <c r="Z556" s="58">
        <v>15450</v>
      </c>
      <c r="AA556" s="58">
        <v>15136.95</v>
      </c>
      <c r="AE556" s="57"/>
    </row>
    <row r="557" spans="1:31" x14ac:dyDescent="0.35">
      <c r="A557" s="56" t="s">
        <v>625</v>
      </c>
      <c r="B557" s="58">
        <v>0</v>
      </c>
      <c r="C557" s="58">
        <v>0</v>
      </c>
      <c r="D557" s="58">
        <v>0</v>
      </c>
      <c r="E557" s="58">
        <v>0</v>
      </c>
      <c r="F557" s="58">
        <v>0</v>
      </c>
      <c r="G557" s="58">
        <v>0</v>
      </c>
      <c r="H557" s="58">
        <v>0</v>
      </c>
      <c r="I557" s="58">
        <v>0</v>
      </c>
      <c r="J557" s="58">
        <v>0</v>
      </c>
      <c r="K557" s="58">
        <v>0</v>
      </c>
      <c r="L557" s="58">
        <v>0</v>
      </c>
      <c r="M557" s="58">
        <v>0</v>
      </c>
      <c r="N557" s="58">
        <v>0</v>
      </c>
      <c r="O557" s="58">
        <v>14250</v>
      </c>
      <c r="P557" s="58" t="s">
        <v>37</v>
      </c>
      <c r="Q557" s="58">
        <v>0</v>
      </c>
      <c r="R557" s="58">
        <v>0</v>
      </c>
      <c r="S557" s="58">
        <v>0</v>
      </c>
      <c r="T557" s="58">
        <v>0</v>
      </c>
      <c r="U557" s="58">
        <v>0</v>
      </c>
      <c r="V557" s="58">
        <v>0</v>
      </c>
      <c r="W557" s="58">
        <v>0</v>
      </c>
      <c r="X557" s="58">
        <v>0</v>
      </c>
      <c r="Y557" s="58">
        <v>4875</v>
      </c>
      <c r="Z557" s="58">
        <v>4875</v>
      </c>
      <c r="AA557" s="58">
        <v>15136.95</v>
      </c>
      <c r="AE557" s="57"/>
    </row>
    <row r="558" spans="1:31" x14ac:dyDescent="0.35">
      <c r="A558" s="56" t="s">
        <v>626</v>
      </c>
      <c r="B558" s="58">
        <v>0</v>
      </c>
      <c r="C558" s="58">
        <v>0</v>
      </c>
      <c r="D558" s="58">
        <v>0</v>
      </c>
      <c r="E558" s="58">
        <v>0</v>
      </c>
      <c r="F558" s="58">
        <v>0</v>
      </c>
      <c r="G558" s="58">
        <v>0</v>
      </c>
      <c r="H558" s="58">
        <v>0</v>
      </c>
      <c r="I558" s="58">
        <v>0</v>
      </c>
      <c r="J558" s="58">
        <v>0</v>
      </c>
      <c r="K558" s="58">
        <v>0</v>
      </c>
      <c r="L558" s="58">
        <v>0</v>
      </c>
      <c r="M558" s="58">
        <v>0</v>
      </c>
      <c r="N558" s="58">
        <v>0</v>
      </c>
      <c r="O558" s="58">
        <v>14250</v>
      </c>
      <c r="P558" s="58" t="s">
        <v>38</v>
      </c>
      <c r="Q558" s="58">
        <v>0</v>
      </c>
      <c r="R558" s="58">
        <v>0</v>
      </c>
      <c r="S558" s="58">
        <v>0</v>
      </c>
      <c r="T558" s="58">
        <v>0</v>
      </c>
      <c r="U558" s="58">
        <v>0</v>
      </c>
      <c r="V558" s="58">
        <v>0</v>
      </c>
      <c r="W558" s="58">
        <v>0</v>
      </c>
      <c r="X558" s="58">
        <v>0</v>
      </c>
      <c r="Y558" s="58">
        <v>4875</v>
      </c>
      <c r="Z558" s="58">
        <v>4875</v>
      </c>
      <c r="AA558" s="58">
        <v>15136.95</v>
      </c>
      <c r="AE558" s="57"/>
    </row>
    <row r="559" spans="1:31" x14ac:dyDescent="0.35">
      <c r="A559" s="56" t="s">
        <v>627</v>
      </c>
      <c r="B559" s="58">
        <v>14250</v>
      </c>
      <c r="C559" s="58" t="s">
        <v>26</v>
      </c>
      <c r="D559" s="58">
        <v>13</v>
      </c>
      <c r="E559" s="58">
        <v>0</v>
      </c>
      <c r="F559" s="58">
        <v>0</v>
      </c>
      <c r="G559" s="58">
        <v>1</v>
      </c>
      <c r="H559" s="58">
        <v>27.33</v>
      </c>
      <c r="I559" s="58">
        <v>168.05</v>
      </c>
      <c r="J559" s="58">
        <v>-12.799999999999985</v>
      </c>
      <c r="K559" s="58">
        <v>-7.077688692286416</v>
      </c>
      <c r="L559" s="58">
        <v>825</v>
      </c>
      <c r="M559" s="58">
        <v>5025</v>
      </c>
      <c r="N559" s="58">
        <v>15136.95</v>
      </c>
      <c r="O559" s="58">
        <v>14250</v>
      </c>
      <c r="P559" s="58" t="s">
        <v>26</v>
      </c>
      <c r="Q559" s="58">
        <v>7</v>
      </c>
      <c r="R559" s="58">
        <v>0</v>
      </c>
      <c r="S559" s="58">
        <v>0</v>
      </c>
      <c r="T559" s="58">
        <v>0</v>
      </c>
      <c r="U559" s="58">
        <v>0</v>
      </c>
      <c r="V559" s="58">
        <v>0</v>
      </c>
      <c r="W559" s="58">
        <v>0</v>
      </c>
      <c r="X559" s="58">
        <v>0</v>
      </c>
      <c r="Y559" s="58">
        <v>12750</v>
      </c>
      <c r="Z559" s="58">
        <v>7875</v>
      </c>
      <c r="AA559" s="58">
        <v>15136.95</v>
      </c>
      <c r="AE559" s="57"/>
    </row>
    <row r="560" spans="1:31" x14ac:dyDescent="0.35">
      <c r="A560" s="56" t="s">
        <v>628</v>
      </c>
      <c r="B560" s="58">
        <v>0</v>
      </c>
      <c r="C560" s="58">
        <v>0</v>
      </c>
      <c r="D560" s="58">
        <v>0</v>
      </c>
      <c r="E560" s="58">
        <v>0</v>
      </c>
      <c r="F560" s="58">
        <v>0</v>
      </c>
      <c r="G560" s="58">
        <v>0</v>
      </c>
      <c r="H560" s="58">
        <v>0</v>
      </c>
      <c r="I560" s="58">
        <v>0</v>
      </c>
      <c r="J560" s="58">
        <v>0</v>
      </c>
      <c r="K560" s="58">
        <v>0</v>
      </c>
      <c r="L560" s="58">
        <v>0</v>
      </c>
      <c r="M560" s="58">
        <v>0</v>
      </c>
      <c r="N560" s="58">
        <v>0</v>
      </c>
      <c r="O560" s="58">
        <v>14250</v>
      </c>
      <c r="P560" s="58" t="s">
        <v>67</v>
      </c>
      <c r="Q560" s="58">
        <v>0</v>
      </c>
      <c r="R560" s="58">
        <v>0</v>
      </c>
      <c r="S560" s="58">
        <v>0</v>
      </c>
      <c r="T560" s="58">
        <v>0</v>
      </c>
      <c r="U560" s="58">
        <v>0</v>
      </c>
      <c r="V560" s="58">
        <v>0</v>
      </c>
      <c r="W560" s="58">
        <v>0</v>
      </c>
      <c r="X560" s="58">
        <v>0</v>
      </c>
      <c r="Y560" s="58">
        <v>4875</v>
      </c>
      <c r="Z560" s="58">
        <v>4875</v>
      </c>
      <c r="AA560" s="58">
        <v>15136.95</v>
      </c>
      <c r="AE560" s="57"/>
    </row>
    <row r="561" spans="1:31" x14ac:dyDescent="0.35">
      <c r="A561" s="56" t="s">
        <v>629</v>
      </c>
      <c r="B561" s="58">
        <v>0</v>
      </c>
      <c r="C561" s="58">
        <v>0</v>
      </c>
      <c r="D561" s="58">
        <v>0</v>
      </c>
      <c r="E561" s="58">
        <v>0</v>
      </c>
      <c r="F561" s="58">
        <v>0</v>
      </c>
      <c r="G561" s="58">
        <v>0</v>
      </c>
      <c r="H561" s="58">
        <v>0</v>
      </c>
      <c r="I561" s="58">
        <v>0</v>
      </c>
      <c r="J561" s="58">
        <v>0</v>
      </c>
      <c r="K561" s="58">
        <v>0</v>
      </c>
      <c r="L561" s="58">
        <v>0</v>
      </c>
      <c r="M561" s="58">
        <v>0</v>
      </c>
      <c r="N561" s="58">
        <v>0</v>
      </c>
      <c r="O561" s="58">
        <v>14250</v>
      </c>
      <c r="P561" s="58" t="s">
        <v>2074</v>
      </c>
      <c r="Q561" s="58">
        <v>0</v>
      </c>
      <c r="R561" s="58">
        <v>0</v>
      </c>
      <c r="S561" s="58">
        <v>0</v>
      </c>
      <c r="T561" s="58">
        <v>0</v>
      </c>
      <c r="U561" s="58">
        <v>0</v>
      </c>
      <c r="V561" s="58">
        <v>0</v>
      </c>
      <c r="W561" s="58">
        <v>0</v>
      </c>
      <c r="X561" s="58">
        <v>0</v>
      </c>
      <c r="Y561" s="58">
        <v>4875</v>
      </c>
      <c r="Z561" s="58">
        <v>4875</v>
      </c>
      <c r="AA561" s="58">
        <v>15136.95</v>
      </c>
      <c r="AE561" s="57"/>
    </row>
    <row r="562" spans="1:31" x14ac:dyDescent="0.35">
      <c r="A562" s="56" t="s">
        <v>630</v>
      </c>
      <c r="B562" s="58">
        <v>14250</v>
      </c>
      <c r="C562" s="58" t="s">
        <v>2071</v>
      </c>
      <c r="D562" s="58">
        <v>0</v>
      </c>
      <c r="E562" s="58">
        <v>0</v>
      </c>
      <c r="F562" s="58">
        <v>0</v>
      </c>
      <c r="G562" s="58">
        <v>0</v>
      </c>
      <c r="H562" s="58">
        <v>0</v>
      </c>
      <c r="I562" s="58">
        <v>0</v>
      </c>
      <c r="J562" s="58">
        <v>0</v>
      </c>
      <c r="K562" s="58">
        <v>0</v>
      </c>
      <c r="L562" s="58">
        <v>0</v>
      </c>
      <c r="M562" s="58">
        <v>4875</v>
      </c>
      <c r="N562" s="58">
        <v>15136.95</v>
      </c>
      <c r="O562" s="58">
        <v>14250</v>
      </c>
      <c r="P562" s="58" t="s">
        <v>2071</v>
      </c>
      <c r="Q562" s="58">
        <v>0</v>
      </c>
      <c r="R562" s="58">
        <v>0</v>
      </c>
      <c r="S562" s="58">
        <v>0</v>
      </c>
      <c r="T562" s="58">
        <v>0</v>
      </c>
      <c r="U562" s="58">
        <v>0</v>
      </c>
      <c r="V562" s="58">
        <v>0</v>
      </c>
      <c r="W562" s="58">
        <v>0</v>
      </c>
      <c r="X562" s="58">
        <v>0</v>
      </c>
      <c r="Y562" s="58">
        <v>5550</v>
      </c>
      <c r="Z562" s="58">
        <v>4875</v>
      </c>
      <c r="AA562" s="58">
        <v>15136.95</v>
      </c>
      <c r="AE562" s="57"/>
    </row>
    <row r="563" spans="1:31" x14ac:dyDescent="0.35">
      <c r="A563" s="56" t="s">
        <v>631</v>
      </c>
      <c r="B563" s="58">
        <v>14250</v>
      </c>
      <c r="C563" s="58" t="s">
        <v>35</v>
      </c>
      <c r="D563" s="58">
        <v>976</v>
      </c>
      <c r="E563" s="58">
        <v>18</v>
      </c>
      <c r="F563" s="58">
        <v>1.8789144050104385</v>
      </c>
      <c r="G563" s="58">
        <v>1013</v>
      </c>
      <c r="H563" s="58">
        <v>41.85</v>
      </c>
      <c r="I563" s="58">
        <v>0.35</v>
      </c>
      <c r="J563" s="58">
        <v>-0.95</v>
      </c>
      <c r="K563" s="58">
        <v>-73.07692307692308</v>
      </c>
      <c r="L563" s="58">
        <v>48675</v>
      </c>
      <c r="M563" s="58">
        <v>47025</v>
      </c>
      <c r="N563" s="58">
        <v>15136.95</v>
      </c>
      <c r="O563" s="58">
        <v>14250</v>
      </c>
      <c r="P563" s="58" t="s">
        <v>35</v>
      </c>
      <c r="Q563" s="58">
        <v>98</v>
      </c>
      <c r="R563" s="58">
        <v>0</v>
      </c>
      <c r="S563" s="58">
        <v>0</v>
      </c>
      <c r="T563" s="58">
        <v>0</v>
      </c>
      <c r="U563" s="58">
        <v>0</v>
      </c>
      <c r="V563" s="58">
        <v>0</v>
      </c>
      <c r="W563" s="58">
        <v>0</v>
      </c>
      <c r="X563" s="58">
        <v>0</v>
      </c>
      <c r="Y563" s="58">
        <v>20700</v>
      </c>
      <c r="Z563" s="58">
        <v>20100</v>
      </c>
      <c r="AA563" s="58">
        <v>15136.95</v>
      </c>
      <c r="AE563" s="57"/>
    </row>
    <row r="564" spans="1:31" x14ac:dyDescent="0.35">
      <c r="A564" s="56" t="s">
        <v>632</v>
      </c>
      <c r="B564" s="58">
        <v>14250</v>
      </c>
      <c r="C564" s="58" t="s">
        <v>36</v>
      </c>
      <c r="D564" s="58">
        <v>0</v>
      </c>
      <c r="E564" s="58">
        <v>0</v>
      </c>
      <c r="F564" s="58">
        <v>0</v>
      </c>
      <c r="G564" s="58">
        <v>0</v>
      </c>
      <c r="H564" s="58">
        <v>0</v>
      </c>
      <c r="I564" s="58">
        <v>0</v>
      </c>
      <c r="J564" s="58">
        <v>0</v>
      </c>
      <c r="K564" s="58">
        <v>0</v>
      </c>
      <c r="L564" s="58">
        <v>0</v>
      </c>
      <c r="M564" s="58">
        <v>0</v>
      </c>
      <c r="N564" s="58">
        <v>15136.95</v>
      </c>
      <c r="O564" s="58">
        <v>14250</v>
      </c>
      <c r="P564" s="58" t="s">
        <v>36</v>
      </c>
      <c r="Q564" s="58">
        <v>0</v>
      </c>
      <c r="R564" s="58">
        <v>0</v>
      </c>
      <c r="S564" s="58">
        <v>0</v>
      </c>
      <c r="T564" s="58">
        <v>0</v>
      </c>
      <c r="U564" s="58">
        <v>0</v>
      </c>
      <c r="V564" s="58">
        <v>0</v>
      </c>
      <c r="W564" s="58">
        <v>0</v>
      </c>
      <c r="X564" s="58">
        <v>0</v>
      </c>
      <c r="Y564" s="58">
        <v>4875</v>
      </c>
      <c r="Z564" s="58">
        <v>4875</v>
      </c>
      <c r="AA564" s="58">
        <v>15136.95</v>
      </c>
      <c r="AE564" s="57"/>
    </row>
    <row r="565" spans="1:31" x14ac:dyDescent="0.35">
      <c r="A565" s="56" t="s">
        <v>633</v>
      </c>
      <c r="B565" s="58">
        <v>0</v>
      </c>
      <c r="C565" s="58">
        <v>0</v>
      </c>
      <c r="D565" s="58">
        <v>0</v>
      </c>
      <c r="E565" s="58">
        <v>0</v>
      </c>
      <c r="F565" s="58">
        <v>0</v>
      </c>
      <c r="G565" s="58">
        <v>0</v>
      </c>
      <c r="H565" s="58">
        <v>0</v>
      </c>
      <c r="I565" s="58">
        <v>0</v>
      </c>
      <c r="J565" s="58">
        <v>0</v>
      </c>
      <c r="K565" s="58">
        <v>0</v>
      </c>
      <c r="L565" s="58">
        <v>0</v>
      </c>
      <c r="M565" s="58">
        <v>0</v>
      </c>
      <c r="N565" s="58">
        <v>0</v>
      </c>
      <c r="O565" s="58">
        <v>14300</v>
      </c>
      <c r="P565" s="58" t="s">
        <v>67</v>
      </c>
      <c r="Q565" s="58">
        <v>0</v>
      </c>
      <c r="R565" s="58">
        <v>0</v>
      </c>
      <c r="S565" s="58">
        <v>0</v>
      </c>
      <c r="T565" s="58">
        <v>0</v>
      </c>
      <c r="U565" s="58">
        <v>0</v>
      </c>
      <c r="V565" s="58">
        <v>0</v>
      </c>
      <c r="W565" s="58">
        <v>0</v>
      </c>
      <c r="X565" s="58">
        <v>0</v>
      </c>
      <c r="Y565" s="58">
        <v>4875</v>
      </c>
      <c r="Z565" s="58">
        <v>4875</v>
      </c>
      <c r="AA565" s="58">
        <v>15136.95</v>
      </c>
      <c r="AE565" s="57"/>
    </row>
    <row r="566" spans="1:31" x14ac:dyDescent="0.35">
      <c r="A566" s="56" t="s">
        <v>634</v>
      </c>
      <c r="B566" s="58">
        <v>14300</v>
      </c>
      <c r="C566" s="58" t="s">
        <v>34</v>
      </c>
      <c r="D566" s="58">
        <v>3442</v>
      </c>
      <c r="E566" s="58">
        <v>188</v>
      </c>
      <c r="F566" s="58">
        <v>5.7775046097111247</v>
      </c>
      <c r="G566" s="58">
        <v>4171</v>
      </c>
      <c r="H566" s="58">
        <v>27.12</v>
      </c>
      <c r="I566" s="58">
        <v>14</v>
      </c>
      <c r="J566" s="58">
        <v>-3.6000000000000014</v>
      </c>
      <c r="K566" s="58">
        <v>-20.45454545454546</v>
      </c>
      <c r="L566" s="58">
        <v>104325</v>
      </c>
      <c r="M566" s="58">
        <v>28050</v>
      </c>
      <c r="N566" s="58">
        <v>15136.95</v>
      </c>
      <c r="O566" s="58">
        <v>14300</v>
      </c>
      <c r="P566" s="58" t="s">
        <v>34</v>
      </c>
      <c r="Q566" s="58">
        <v>49</v>
      </c>
      <c r="R566" s="58">
        <v>7</v>
      </c>
      <c r="S566" s="58">
        <v>16.666666666666668</v>
      </c>
      <c r="T566" s="58">
        <v>24</v>
      </c>
      <c r="U566" s="58">
        <v>0</v>
      </c>
      <c r="V566" s="58">
        <v>855</v>
      </c>
      <c r="W566" s="58">
        <v>53.649999999999977</v>
      </c>
      <c r="X566" s="58">
        <v>6.6949522680476656</v>
      </c>
      <c r="Y566" s="58">
        <v>18525</v>
      </c>
      <c r="Z566" s="58">
        <v>10875</v>
      </c>
      <c r="AA566" s="58">
        <v>15136.95</v>
      </c>
      <c r="AE566" s="57"/>
    </row>
    <row r="567" spans="1:31" x14ac:dyDescent="0.35">
      <c r="A567" s="56" t="s">
        <v>635</v>
      </c>
      <c r="B567" s="58">
        <v>14300</v>
      </c>
      <c r="C567" s="58" t="s">
        <v>37</v>
      </c>
      <c r="D567" s="58">
        <v>4</v>
      </c>
      <c r="E567" s="58">
        <v>0</v>
      </c>
      <c r="F567" s="58">
        <v>0</v>
      </c>
      <c r="G567" s="58">
        <v>0</v>
      </c>
      <c r="H567" s="58">
        <v>0</v>
      </c>
      <c r="I567" s="58">
        <v>0</v>
      </c>
      <c r="J567" s="58">
        <v>0</v>
      </c>
      <c r="K567" s="58">
        <v>0</v>
      </c>
      <c r="L567" s="58">
        <v>300</v>
      </c>
      <c r="M567" s="58">
        <v>675</v>
      </c>
      <c r="N567" s="58">
        <v>15136.95</v>
      </c>
      <c r="O567" s="58">
        <v>14300</v>
      </c>
      <c r="P567" s="58" t="s">
        <v>37</v>
      </c>
      <c r="Q567" s="58">
        <v>0</v>
      </c>
      <c r="R567" s="58">
        <v>0</v>
      </c>
      <c r="S567" s="58">
        <v>0</v>
      </c>
      <c r="T567" s="58">
        <v>0</v>
      </c>
      <c r="U567" s="58">
        <v>0</v>
      </c>
      <c r="V567" s="58">
        <v>0</v>
      </c>
      <c r="W567" s="58">
        <v>0</v>
      </c>
      <c r="X567" s="58">
        <v>0</v>
      </c>
      <c r="Y567" s="58">
        <v>4875</v>
      </c>
      <c r="Z567" s="58">
        <v>4875</v>
      </c>
      <c r="AA567" s="58">
        <v>15136.95</v>
      </c>
      <c r="AE567" s="57"/>
    </row>
    <row r="568" spans="1:31" x14ac:dyDescent="0.35">
      <c r="A568" s="56" t="s">
        <v>636</v>
      </c>
      <c r="B568" s="58">
        <v>0</v>
      </c>
      <c r="C568" s="58">
        <v>0</v>
      </c>
      <c r="D568" s="58">
        <v>0</v>
      </c>
      <c r="E568" s="58">
        <v>0</v>
      </c>
      <c r="F568" s="58">
        <v>0</v>
      </c>
      <c r="G568" s="58">
        <v>0</v>
      </c>
      <c r="H568" s="58">
        <v>0</v>
      </c>
      <c r="I568" s="58">
        <v>0</v>
      </c>
      <c r="J568" s="58">
        <v>0</v>
      </c>
      <c r="K568" s="58">
        <v>0</v>
      </c>
      <c r="L568" s="58">
        <v>0</v>
      </c>
      <c r="M568" s="58">
        <v>0</v>
      </c>
      <c r="N568" s="58">
        <v>0</v>
      </c>
      <c r="O568" s="58">
        <v>14300</v>
      </c>
      <c r="P568" s="58" t="s">
        <v>38</v>
      </c>
      <c r="Q568" s="58">
        <v>0</v>
      </c>
      <c r="R568" s="58">
        <v>0</v>
      </c>
      <c r="S568" s="58">
        <v>0</v>
      </c>
      <c r="T568" s="58">
        <v>0</v>
      </c>
      <c r="U568" s="58">
        <v>0</v>
      </c>
      <c r="V568" s="58">
        <v>0</v>
      </c>
      <c r="W568" s="58">
        <v>0</v>
      </c>
      <c r="X568" s="58">
        <v>0</v>
      </c>
      <c r="Y568" s="58">
        <v>4875</v>
      </c>
      <c r="Z568" s="58">
        <v>4875</v>
      </c>
      <c r="AA568" s="58">
        <v>15136.95</v>
      </c>
      <c r="AE568" s="57"/>
    </row>
    <row r="569" spans="1:31" x14ac:dyDescent="0.35">
      <c r="A569" s="56" t="s">
        <v>637</v>
      </c>
      <c r="B569" s="58">
        <v>14300</v>
      </c>
      <c r="C569" s="58" t="s">
        <v>26</v>
      </c>
      <c r="D569" s="58">
        <v>2324</v>
      </c>
      <c r="E569" s="58">
        <v>13</v>
      </c>
      <c r="F569" s="58">
        <v>0.56252704456945046</v>
      </c>
      <c r="G569" s="58">
        <v>122</v>
      </c>
      <c r="H569" s="58">
        <v>26.78</v>
      </c>
      <c r="I569" s="58">
        <v>171.6</v>
      </c>
      <c r="J569" s="58">
        <v>-16.650000000000006</v>
      </c>
      <c r="K569" s="58">
        <v>-8.8446215139442259</v>
      </c>
      <c r="L569" s="58">
        <v>4575</v>
      </c>
      <c r="M569" s="58">
        <v>8925</v>
      </c>
      <c r="N569" s="58">
        <v>15136.95</v>
      </c>
      <c r="O569" s="58">
        <v>14300</v>
      </c>
      <c r="P569" s="58" t="s">
        <v>26</v>
      </c>
      <c r="Q569" s="58">
        <v>219</v>
      </c>
      <c r="R569" s="58">
        <v>2</v>
      </c>
      <c r="S569" s="58">
        <v>0.92165898617511521</v>
      </c>
      <c r="T569" s="58">
        <v>3</v>
      </c>
      <c r="U569" s="58">
        <v>16.52</v>
      </c>
      <c r="V569" s="58">
        <v>1052</v>
      </c>
      <c r="W569" s="58">
        <v>82</v>
      </c>
      <c r="X569" s="58">
        <v>8.4536082474226806</v>
      </c>
      <c r="Y569" s="58">
        <v>10275</v>
      </c>
      <c r="Z569" s="58">
        <v>10350</v>
      </c>
      <c r="AA569" s="58">
        <v>15136.95</v>
      </c>
      <c r="AE569" s="57"/>
    </row>
    <row r="570" spans="1:31" x14ac:dyDescent="0.35">
      <c r="A570" s="56" t="s">
        <v>638</v>
      </c>
      <c r="B570" s="58">
        <v>14300</v>
      </c>
      <c r="C570" s="58" t="s">
        <v>36</v>
      </c>
      <c r="D570" s="58">
        <v>0</v>
      </c>
      <c r="E570" s="58">
        <v>0</v>
      </c>
      <c r="F570" s="58">
        <v>0</v>
      </c>
      <c r="G570" s="58">
        <v>0</v>
      </c>
      <c r="H570" s="58">
        <v>0</v>
      </c>
      <c r="I570" s="58">
        <v>0</v>
      </c>
      <c r="J570" s="58">
        <v>0</v>
      </c>
      <c r="K570" s="58">
        <v>0</v>
      </c>
      <c r="L570" s="58">
        <v>225</v>
      </c>
      <c r="M570" s="58">
        <v>300</v>
      </c>
      <c r="N570" s="58">
        <v>15136.95</v>
      </c>
      <c r="O570" s="58">
        <v>14300</v>
      </c>
      <c r="P570" s="58" t="s">
        <v>36</v>
      </c>
      <c r="Q570" s="58">
        <v>0</v>
      </c>
      <c r="R570" s="58">
        <v>0</v>
      </c>
      <c r="S570" s="58">
        <v>0</v>
      </c>
      <c r="T570" s="58">
        <v>0</v>
      </c>
      <c r="U570" s="58">
        <v>0</v>
      </c>
      <c r="V570" s="58">
        <v>0</v>
      </c>
      <c r="W570" s="58">
        <v>0</v>
      </c>
      <c r="X570" s="58">
        <v>0</v>
      </c>
      <c r="Y570" s="58">
        <v>4875</v>
      </c>
      <c r="Z570" s="58">
        <v>4875</v>
      </c>
      <c r="AA570" s="58">
        <v>15136.95</v>
      </c>
      <c r="AE570" s="57"/>
    </row>
    <row r="571" spans="1:31" x14ac:dyDescent="0.35">
      <c r="A571" s="56" t="s">
        <v>639</v>
      </c>
      <c r="B571" s="58">
        <v>0</v>
      </c>
      <c r="C571" s="58">
        <v>0</v>
      </c>
      <c r="D571" s="58">
        <v>0</v>
      </c>
      <c r="E571" s="58">
        <v>0</v>
      </c>
      <c r="F571" s="58">
        <v>0</v>
      </c>
      <c r="G571" s="58">
        <v>0</v>
      </c>
      <c r="H571" s="58">
        <v>0</v>
      </c>
      <c r="I571" s="58">
        <v>0</v>
      </c>
      <c r="J571" s="58">
        <v>0</v>
      </c>
      <c r="K571" s="58">
        <v>0</v>
      </c>
      <c r="L571" s="58">
        <v>0</v>
      </c>
      <c r="M571" s="58">
        <v>0</v>
      </c>
      <c r="N571" s="58">
        <v>0</v>
      </c>
      <c r="O571" s="58">
        <v>14300</v>
      </c>
      <c r="P571" s="58" t="s">
        <v>2074</v>
      </c>
      <c r="Q571" s="58">
        <v>0</v>
      </c>
      <c r="R571" s="58">
        <v>0</v>
      </c>
      <c r="S571" s="58">
        <v>0</v>
      </c>
      <c r="T571" s="58">
        <v>0</v>
      </c>
      <c r="U571" s="58">
        <v>0</v>
      </c>
      <c r="V571" s="58">
        <v>0</v>
      </c>
      <c r="W571" s="58">
        <v>0</v>
      </c>
      <c r="X571" s="58">
        <v>0</v>
      </c>
      <c r="Y571" s="58">
        <v>4875</v>
      </c>
      <c r="Z571" s="58">
        <v>4875</v>
      </c>
      <c r="AA571" s="58">
        <v>15136.95</v>
      </c>
      <c r="AE571" s="57"/>
    </row>
    <row r="572" spans="1:31" x14ac:dyDescent="0.35">
      <c r="A572" s="56" t="s">
        <v>640</v>
      </c>
      <c r="B572" s="58">
        <v>14300</v>
      </c>
      <c r="C572" s="58" t="s">
        <v>2071</v>
      </c>
      <c r="D572" s="58">
        <v>0</v>
      </c>
      <c r="E572" s="58">
        <v>0</v>
      </c>
      <c r="F572" s="58">
        <v>0</v>
      </c>
      <c r="G572" s="58">
        <v>0</v>
      </c>
      <c r="H572" s="58">
        <v>0</v>
      </c>
      <c r="I572" s="58">
        <v>0</v>
      </c>
      <c r="J572" s="58">
        <v>0</v>
      </c>
      <c r="K572" s="58">
        <v>0</v>
      </c>
      <c r="L572" s="58">
        <v>225</v>
      </c>
      <c r="M572" s="58">
        <v>4950</v>
      </c>
      <c r="N572" s="58">
        <v>15136.95</v>
      </c>
      <c r="O572" s="58">
        <v>14300</v>
      </c>
      <c r="P572" s="58" t="s">
        <v>2071</v>
      </c>
      <c r="Q572" s="58">
        <v>0</v>
      </c>
      <c r="R572" s="58">
        <v>0</v>
      </c>
      <c r="S572" s="58">
        <v>0</v>
      </c>
      <c r="T572" s="58">
        <v>0</v>
      </c>
      <c r="U572" s="58">
        <v>0</v>
      </c>
      <c r="V572" s="58">
        <v>0</v>
      </c>
      <c r="W572" s="58">
        <v>0</v>
      </c>
      <c r="X572" s="58">
        <v>0</v>
      </c>
      <c r="Y572" s="58">
        <v>4950</v>
      </c>
      <c r="Z572" s="58">
        <v>4950</v>
      </c>
      <c r="AA572" s="58">
        <v>15136.95</v>
      </c>
      <c r="AE572" s="57"/>
    </row>
    <row r="573" spans="1:31" x14ac:dyDescent="0.35">
      <c r="A573" s="56" t="s">
        <v>641</v>
      </c>
      <c r="B573" s="58">
        <v>0</v>
      </c>
      <c r="C573" s="58">
        <v>0</v>
      </c>
      <c r="D573" s="58">
        <v>0</v>
      </c>
      <c r="E573" s="58">
        <v>0</v>
      </c>
      <c r="F573" s="58">
        <v>0</v>
      </c>
      <c r="G573" s="58">
        <v>0</v>
      </c>
      <c r="H573" s="58">
        <v>0</v>
      </c>
      <c r="I573" s="58">
        <v>0</v>
      </c>
      <c r="J573" s="58">
        <v>0</v>
      </c>
      <c r="K573" s="58">
        <v>0</v>
      </c>
      <c r="L573" s="58">
        <v>0</v>
      </c>
      <c r="M573" s="58">
        <v>0</v>
      </c>
      <c r="N573" s="58">
        <v>0</v>
      </c>
      <c r="O573" s="58">
        <v>14300</v>
      </c>
      <c r="P573" s="58" t="s">
        <v>27</v>
      </c>
      <c r="Q573" s="58">
        <v>160</v>
      </c>
      <c r="R573" s="58">
        <v>0</v>
      </c>
      <c r="S573" s="58">
        <v>0</v>
      </c>
      <c r="T573" s="58">
        <v>0</v>
      </c>
      <c r="U573" s="58">
        <v>0</v>
      </c>
      <c r="V573" s="58">
        <v>0</v>
      </c>
      <c r="W573" s="58">
        <v>0</v>
      </c>
      <c r="X573" s="58">
        <v>0</v>
      </c>
      <c r="Y573" s="58">
        <v>3075</v>
      </c>
      <c r="Z573" s="58">
        <v>0</v>
      </c>
      <c r="AA573" s="58">
        <v>15136.95</v>
      </c>
      <c r="AE573" s="57"/>
    </row>
    <row r="574" spans="1:31" x14ac:dyDescent="0.35">
      <c r="A574" s="56" t="s">
        <v>642</v>
      </c>
      <c r="B574" s="58">
        <v>14300</v>
      </c>
      <c r="C574" s="58" t="s">
        <v>35</v>
      </c>
      <c r="D574" s="58">
        <v>13961</v>
      </c>
      <c r="E574" s="58">
        <v>136</v>
      </c>
      <c r="F574" s="58">
        <v>0.98372513562386976</v>
      </c>
      <c r="G574" s="58">
        <v>14113</v>
      </c>
      <c r="H574" s="58">
        <v>41.03</v>
      </c>
      <c r="I574" s="58">
        <v>0.35</v>
      </c>
      <c r="J574" s="58">
        <v>-0.95</v>
      </c>
      <c r="K574" s="58">
        <v>-73.07692307692308</v>
      </c>
      <c r="L574" s="58">
        <v>1067400</v>
      </c>
      <c r="M574" s="58">
        <v>121875</v>
      </c>
      <c r="N574" s="58">
        <v>15136.95</v>
      </c>
      <c r="O574" s="58">
        <v>14300</v>
      </c>
      <c r="P574" s="58" t="s">
        <v>35</v>
      </c>
      <c r="Q574" s="58">
        <v>672</v>
      </c>
      <c r="R574" s="58">
        <v>-17</v>
      </c>
      <c r="S574" s="58">
        <v>-2.467343976777939</v>
      </c>
      <c r="T574" s="58">
        <v>45</v>
      </c>
      <c r="U574" s="58">
        <v>0</v>
      </c>
      <c r="V574" s="58">
        <v>825</v>
      </c>
      <c r="W574" s="58">
        <v>32.350000000000023</v>
      </c>
      <c r="X574" s="58">
        <v>4.0812464517756917</v>
      </c>
      <c r="Y574" s="58">
        <v>24525</v>
      </c>
      <c r="Z574" s="58">
        <v>23100</v>
      </c>
      <c r="AA574" s="58">
        <v>15136.95</v>
      </c>
      <c r="AE574" s="57"/>
    </row>
    <row r="575" spans="1:31" x14ac:dyDescent="0.35">
      <c r="A575" s="56" t="s">
        <v>643</v>
      </c>
      <c r="B575" s="58">
        <v>14300</v>
      </c>
      <c r="C575" s="58" t="s">
        <v>33</v>
      </c>
      <c r="D575" s="58">
        <v>9678</v>
      </c>
      <c r="E575" s="58">
        <v>40</v>
      </c>
      <c r="F575" s="58">
        <v>0.41502386387217266</v>
      </c>
      <c r="G575" s="58">
        <v>2063</v>
      </c>
      <c r="H575" s="58">
        <v>26.51</v>
      </c>
      <c r="I575" s="58">
        <v>45.5</v>
      </c>
      <c r="J575" s="58">
        <v>-7.7999999999999972</v>
      </c>
      <c r="K575" s="58">
        <v>-14.634146341463412</v>
      </c>
      <c r="L575" s="58">
        <v>29925</v>
      </c>
      <c r="M575" s="58">
        <v>37950</v>
      </c>
      <c r="N575" s="58">
        <v>15136.95</v>
      </c>
      <c r="O575" s="58">
        <v>14300</v>
      </c>
      <c r="P575" s="58" t="s">
        <v>33</v>
      </c>
      <c r="Q575" s="58">
        <v>4595</v>
      </c>
      <c r="R575" s="58">
        <v>-10</v>
      </c>
      <c r="S575" s="58">
        <v>-0.21715526601520088</v>
      </c>
      <c r="T575" s="58">
        <v>40</v>
      </c>
      <c r="U575" s="58">
        <v>0</v>
      </c>
      <c r="V575" s="58">
        <v>895.55</v>
      </c>
      <c r="W575" s="58">
        <v>12</v>
      </c>
      <c r="X575" s="58">
        <v>1.3581574330824515</v>
      </c>
      <c r="Y575" s="58">
        <v>28275</v>
      </c>
      <c r="Z575" s="58">
        <v>19875</v>
      </c>
      <c r="AA575" s="58">
        <v>15136.95</v>
      </c>
      <c r="AE575" s="57"/>
    </row>
    <row r="576" spans="1:31" x14ac:dyDescent="0.35">
      <c r="A576" s="56" t="s">
        <v>644</v>
      </c>
      <c r="B576" s="58">
        <v>14350</v>
      </c>
      <c r="C576" s="58" t="s">
        <v>34</v>
      </c>
      <c r="D576" s="58">
        <v>428</v>
      </c>
      <c r="E576" s="58">
        <v>60</v>
      </c>
      <c r="F576" s="58">
        <v>16.304347826086957</v>
      </c>
      <c r="G576" s="58">
        <v>511</v>
      </c>
      <c r="H576" s="58">
        <v>26.51</v>
      </c>
      <c r="I576" s="58">
        <v>15.7</v>
      </c>
      <c r="J576" s="58">
        <v>-4.75</v>
      </c>
      <c r="K576" s="58">
        <v>-23.227383863080689</v>
      </c>
      <c r="L576" s="58">
        <v>39150</v>
      </c>
      <c r="M576" s="58">
        <v>14400</v>
      </c>
      <c r="N576" s="58">
        <v>15136.95</v>
      </c>
      <c r="O576" s="58">
        <v>14350</v>
      </c>
      <c r="P576" s="58" t="s">
        <v>34</v>
      </c>
      <c r="Q576" s="58">
        <v>22</v>
      </c>
      <c r="R576" s="58">
        <v>1</v>
      </c>
      <c r="S576" s="58">
        <v>4.7619047619047619</v>
      </c>
      <c r="T576" s="58">
        <v>3</v>
      </c>
      <c r="U576" s="58">
        <v>0</v>
      </c>
      <c r="V576" s="58">
        <v>812.85</v>
      </c>
      <c r="W576" s="58">
        <v>-1.1000000000000227</v>
      </c>
      <c r="X576" s="58">
        <v>-0.13514343632901565</v>
      </c>
      <c r="Y576" s="58">
        <v>20325</v>
      </c>
      <c r="Z576" s="58">
        <v>11775</v>
      </c>
      <c r="AA576" s="58">
        <v>15136.95</v>
      </c>
      <c r="AE576" s="57"/>
    </row>
    <row r="577" spans="1:31" x14ac:dyDescent="0.35">
      <c r="A577" s="56" t="s">
        <v>645</v>
      </c>
      <c r="B577" s="58">
        <v>14350</v>
      </c>
      <c r="C577" s="58" t="s">
        <v>33</v>
      </c>
      <c r="D577" s="58">
        <v>237</v>
      </c>
      <c r="E577" s="58">
        <v>9</v>
      </c>
      <c r="F577" s="58">
        <v>3.9473684210526314</v>
      </c>
      <c r="G577" s="58">
        <v>74</v>
      </c>
      <c r="H577" s="58">
        <v>26.2</v>
      </c>
      <c r="I577" s="58">
        <v>50.25</v>
      </c>
      <c r="J577" s="58">
        <v>-7.7999999999999972</v>
      </c>
      <c r="K577" s="58">
        <v>-13.436692506459943</v>
      </c>
      <c r="L577" s="58">
        <v>9225</v>
      </c>
      <c r="M577" s="58">
        <v>14025</v>
      </c>
      <c r="N577" s="58">
        <v>15136.95</v>
      </c>
      <c r="O577" s="58">
        <v>14350</v>
      </c>
      <c r="P577" s="58" t="s">
        <v>33</v>
      </c>
      <c r="Q577" s="58">
        <v>227</v>
      </c>
      <c r="R577" s="58">
        <v>-1</v>
      </c>
      <c r="S577" s="58">
        <v>-0.43859649122807015</v>
      </c>
      <c r="T577" s="58">
        <v>2</v>
      </c>
      <c r="U577" s="58">
        <v>18.52</v>
      </c>
      <c r="V577" s="58">
        <v>862.7</v>
      </c>
      <c r="W577" s="58">
        <v>51.5</v>
      </c>
      <c r="X577" s="58">
        <v>6.3486193293885593</v>
      </c>
      <c r="Y577" s="58">
        <v>21075</v>
      </c>
      <c r="Z577" s="58">
        <v>14700</v>
      </c>
      <c r="AA577" s="58">
        <v>15136.95</v>
      </c>
      <c r="AE577" s="57"/>
    </row>
    <row r="578" spans="1:31" x14ac:dyDescent="0.35">
      <c r="A578" s="56" t="s">
        <v>646</v>
      </c>
      <c r="B578" s="58">
        <v>14350</v>
      </c>
      <c r="C578" s="58" t="s">
        <v>36</v>
      </c>
      <c r="D578" s="58">
        <v>0</v>
      </c>
      <c r="E578" s="58">
        <v>0</v>
      </c>
      <c r="F578" s="58">
        <v>0</v>
      </c>
      <c r="G578" s="58">
        <v>0</v>
      </c>
      <c r="H578" s="58">
        <v>0</v>
      </c>
      <c r="I578" s="58">
        <v>0</v>
      </c>
      <c r="J578" s="58">
        <v>0</v>
      </c>
      <c r="K578" s="58">
        <v>0</v>
      </c>
      <c r="L578" s="58">
        <v>0</v>
      </c>
      <c r="M578" s="58">
        <v>0</v>
      </c>
      <c r="N578" s="58">
        <v>15136.95</v>
      </c>
      <c r="O578" s="58">
        <v>14350</v>
      </c>
      <c r="P578" s="58" t="s">
        <v>36</v>
      </c>
      <c r="Q578" s="58">
        <v>0</v>
      </c>
      <c r="R578" s="58">
        <v>0</v>
      </c>
      <c r="S578" s="58">
        <v>0</v>
      </c>
      <c r="T578" s="58">
        <v>0</v>
      </c>
      <c r="U578" s="58">
        <v>0</v>
      </c>
      <c r="V578" s="58">
        <v>0</v>
      </c>
      <c r="W578" s="58">
        <v>0</v>
      </c>
      <c r="X578" s="58">
        <v>0</v>
      </c>
      <c r="Y578" s="58">
        <v>4875</v>
      </c>
      <c r="Z578" s="58">
        <v>4875</v>
      </c>
      <c r="AA578" s="58">
        <v>15136.95</v>
      </c>
      <c r="AE578" s="57"/>
    </row>
    <row r="579" spans="1:31" x14ac:dyDescent="0.35">
      <c r="A579" s="56" t="s">
        <v>647</v>
      </c>
      <c r="B579" s="58">
        <v>0</v>
      </c>
      <c r="C579" s="58">
        <v>0</v>
      </c>
      <c r="D579" s="58">
        <v>0</v>
      </c>
      <c r="E579" s="58">
        <v>0</v>
      </c>
      <c r="F579" s="58">
        <v>0</v>
      </c>
      <c r="G579" s="58">
        <v>0</v>
      </c>
      <c r="H579" s="58">
        <v>0</v>
      </c>
      <c r="I579" s="58">
        <v>0</v>
      </c>
      <c r="J579" s="58">
        <v>0</v>
      </c>
      <c r="K579" s="58">
        <v>0</v>
      </c>
      <c r="L579" s="58">
        <v>0</v>
      </c>
      <c r="M579" s="58">
        <v>0</v>
      </c>
      <c r="N579" s="58">
        <v>0</v>
      </c>
      <c r="O579" s="58">
        <v>14350</v>
      </c>
      <c r="P579" s="58" t="s">
        <v>37</v>
      </c>
      <c r="Q579" s="58">
        <v>0</v>
      </c>
      <c r="R579" s="58">
        <v>0</v>
      </c>
      <c r="S579" s="58">
        <v>0</v>
      </c>
      <c r="T579" s="58">
        <v>0</v>
      </c>
      <c r="U579" s="58">
        <v>0</v>
      </c>
      <c r="V579" s="58">
        <v>0</v>
      </c>
      <c r="W579" s="58">
        <v>0</v>
      </c>
      <c r="X579" s="58">
        <v>0</v>
      </c>
      <c r="Y579" s="58">
        <v>4875</v>
      </c>
      <c r="Z579" s="58">
        <v>4875</v>
      </c>
      <c r="AA579" s="58">
        <v>15136.95</v>
      </c>
      <c r="AE579" s="57"/>
    </row>
    <row r="580" spans="1:31" x14ac:dyDescent="0.35">
      <c r="A580" s="56" t="s">
        <v>648</v>
      </c>
      <c r="B580" s="58">
        <v>14350</v>
      </c>
      <c r="C580" s="58" t="s">
        <v>35</v>
      </c>
      <c r="D580" s="58">
        <v>1283</v>
      </c>
      <c r="E580" s="58">
        <v>124</v>
      </c>
      <c r="F580" s="58">
        <v>10.698878343399482</v>
      </c>
      <c r="G580" s="58">
        <v>1339</v>
      </c>
      <c r="H580" s="58">
        <v>38.79</v>
      </c>
      <c r="I580" s="58">
        <v>0.4</v>
      </c>
      <c r="J580" s="58">
        <v>-1.1499999999999999</v>
      </c>
      <c r="K580" s="58">
        <v>-74.193548387096769</v>
      </c>
      <c r="L580" s="58">
        <v>59700</v>
      </c>
      <c r="M580" s="58">
        <v>37425</v>
      </c>
      <c r="N580" s="58">
        <v>15136.95</v>
      </c>
      <c r="O580" s="58">
        <v>14350</v>
      </c>
      <c r="P580" s="58" t="s">
        <v>35</v>
      </c>
      <c r="Q580" s="58">
        <v>55</v>
      </c>
      <c r="R580" s="58">
        <v>-2</v>
      </c>
      <c r="S580" s="58">
        <v>-3.5087719298245612</v>
      </c>
      <c r="T580" s="58">
        <v>7</v>
      </c>
      <c r="U580" s="58">
        <v>41.63</v>
      </c>
      <c r="V580" s="58">
        <v>799.75</v>
      </c>
      <c r="W580" s="58">
        <v>49.5</v>
      </c>
      <c r="X580" s="58">
        <v>6.5978007330889712</v>
      </c>
      <c r="Y580" s="58">
        <v>26100</v>
      </c>
      <c r="Z580" s="58">
        <v>17775</v>
      </c>
      <c r="AA580" s="58">
        <v>15136.95</v>
      </c>
      <c r="AE580" s="57"/>
    </row>
    <row r="581" spans="1:31" x14ac:dyDescent="0.35">
      <c r="A581" s="56" t="s">
        <v>649</v>
      </c>
      <c r="B581" s="58">
        <v>14350</v>
      </c>
      <c r="C581" s="58" t="s">
        <v>26</v>
      </c>
      <c r="D581" s="58">
        <v>18</v>
      </c>
      <c r="E581" s="58">
        <v>1</v>
      </c>
      <c r="F581" s="58">
        <v>5.882352941176471</v>
      </c>
      <c r="G581" s="58">
        <v>5</v>
      </c>
      <c r="H581" s="58">
        <v>26.59</v>
      </c>
      <c r="I581" s="58">
        <v>183.45</v>
      </c>
      <c r="J581" s="58">
        <v>-20.550000000000011</v>
      </c>
      <c r="K581" s="58">
        <v>-10.073529411764712</v>
      </c>
      <c r="L581" s="58">
        <v>825</v>
      </c>
      <c r="M581" s="58">
        <v>5625</v>
      </c>
      <c r="N581" s="58">
        <v>15136.95</v>
      </c>
      <c r="O581" s="58">
        <v>14350</v>
      </c>
      <c r="P581" s="58" t="s">
        <v>26</v>
      </c>
      <c r="Q581" s="58">
        <v>3</v>
      </c>
      <c r="R581" s="58">
        <v>0</v>
      </c>
      <c r="S581" s="58">
        <v>0</v>
      </c>
      <c r="T581" s="58">
        <v>0</v>
      </c>
      <c r="U581" s="58">
        <v>0</v>
      </c>
      <c r="V581" s="58">
        <v>0</v>
      </c>
      <c r="W581" s="58">
        <v>0</v>
      </c>
      <c r="X581" s="58">
        <v>0</v>
      </c>
      <c r="Y581" s="58">
        <v>12675</v>
      </c>
      <c r="Z581" s="58">
        <v>7725</v>
      </c>
      <c r="AA581" s="58">
        <v>15136.95</v>
      </c>
      <c r="AE581" s="57"/>
    </row>
    <row r="582" spans="1:31" x14ac:dyDescent="0.35">
      <c r="A582" s="56" t="s">
        <v>650</v>
      </c>
      <c r="B582" s="58">
        <v>0</v>
      </c>
      <c r="C582" s="58">
        <v>0</v>
      </c>
      <c r="D582" s="58">
        <v>0</v>
      </c>
      <c r="E582" s="58">
        <v>0</v>
      </c>
      <c r="F582" s="58">
        <v>0</v>
      </c>
      <c r="G582" s="58">
        <v>0</v>
      </c>
      <c r="H582" s="58">
        <v>0</v>
      </c>
      <c r="I582" s="58">
        <v>0</v>
      </c>
      <c r="J582" s="58">
        <v>0</v>
      </c>
      <c r="K582" s="58">
        <v>0</v>
      </c>
      <c r="L582" s="58">
        <v>0</v>
      </c>
      <c r="M582" s="58">
        <v>0</v>
      </c>
      <c r="N582" s="58">
        <v>0</v>
      </c>
      <c r="O582" s="58">
        <v>14350</v>
      </c>
      <c r="P582" s="58" t="s">
        <v>67</v>
      </c>
      <c r="Q582" s="58">
        <v>1</v>
      </c>
      <c r="R582" s="58">
        <v>0</v>
      </c>
      <c r="S582" s="58">
        <v>0</v>
      </c>
      <c r="T582" s="58">
        <v>0</v>
      </c>
      <c r="U582" s="58">
        <v>0</v>
      </c>
      <c r="V582" s="58">
        <v>0</v>
      </c>
      <c r="W582" s="58">
        <v>0</v>
      </c>
      <c r="X582" s="58">
        <v>0</v>
      </c>
      <c r="Y582" s="58">
        <v>4875</v>
      </c>
      <c r="Z582" s="58">
        <v>4875</v>
      </c>
      <c r="AA582" s="58">
        <v>15136.95</v>
      </c>
      <c r="AE582" s="57"/>
    </row>
    <row r="583" spans="1:31" x14ac:dyDescent="0.35">
      <c r="A583" s="56" t="s">
        <v>651</v>
      </c>
      <c r="B583" s="58">
        <v>0</v>
      </c>
      <c r="C583" s="58">
        <v>0</v>
      </c>
      <c r="D583" s="58">
        <v>0</v>
      </c>
      <c r="E583" s="58">
        <v>0</v>
      </c>
      <c r="F583" s="58">
        <v>0</v>
      </c>
      <c r="G583" s="58">
        <v>0</v>
      </c>
      <c r="H583" s="58">
        <v>0</v>
      </c>
      <c r="I583" s="58">
        <v>0</v>
      </c>
      <c r="J583" s="58">
        <v>0</v>
      </c>
      <c r="K583" s="58">
        <v>0</v>
      </c>
      <c r="L583" s="58">
        <v>0</v>
      </c>
      <c r="M583" s="58">
        <v>0</v>
      </c>
      <c r="N583" s="58">
        <v>0</v>
      </c>
      <c r="O583" s="58">
        <v>14350</v>
      </c>
      <c r="P583" s="58" t="s">
        <v>2074</v>
      </c>
      <c r="Q583" s="58">
        <v>0</v>
      </c>
      <c r="R583" s="58">
        <v>0</v>
      </c>
      <c r="S583" s="58">
        <v>0</v>
      </c>
      <c r="T583" s="58">
        <v>0</v>
      </c>
      <c r="U583" s="58">
        <v>0</v>
      </c>
      <c r="V583" s="58">
        <v>0</v>
      </c>
      <c r="W583" s="58">
        <v>0</v>
      </c>
      <c r="X583" s="58">
        <v>0</v>
      </c>
      <c r="Y583" s="58">
        <v>4875</v>
      </c>
      <c r="Z583" s="58">
        <v>4875</v>
      </c>
      <c r="AA583" s="58">
        <v>15136.95</v>
      </c>
      <c r="AE583" s="57"/>
    </row>
    <row r="584" spans="1:31" x14ac:dyDescent="0.35">
      <c r="A584" s="56" t="s">
        <v>652</v>
      </c>
      <c r="B584" s="58">
        <v>14350</v>
      </c>
      <c r="C584" s="58" t="s">
        <v>2071</v>
      </c>
      <c r="D584" s="58">
        <v>0</v>
      </c>
      <c r="E584" s="58">
        <v>0</v>
      </c>
      <c r="F584" s="58">
        <v>0</v>
      </c>
      <c r="G584" s="58">
        <v>0</v>
      </c>
      <c r="H584" s="58">
        <v>0</v>
      </c>
      <c r="I584" s="58">
        <v>0</v>
      </c>
      <c r="J584" s="58">
        <v>0</v>
      </c>
      <c r="K584" s="58">
        <v>0</v>
      </c>
      <c r="L584" s="58">
        <v>0</v>
      </c>
      <c r="M584" s="58">
        <v>4875</v>
      </c>
      <c r="N584" s="58">
        <v>15136.95</v>
      </c>
      <c r="O584" s="58">
        <v>14350</v>
      </c>
      <c r="P584" s="58" t="s">
        <v>2071</v>
      </c>
      <c r="Q584" s="58">
        <v>0</v>
      </c>
      <c r="R584" s="58">
        <v>0</v>
      </c>
      <c r="S584" s="58">
        <v>0</v>
      </c>
      <c r="T584" s="58">
        <v>0</v>
      </c>
      <c r="U584" s="58">
        <v>0</v>
      </c>
      <c r="V584" s="58">
        <v>0</v>
      </c>
      <c r="W584" s="58">
        <v>0</v>
      </c>
      <c r="X584" s="58">
        <v>0</v>
      </c>
      <c r="Y584" s="58">
        <v>4875</v>
      </c>
      <c r="Z584" s="58">
        <v>4875</v>
      </c>
      <c r="AA584" s="58">
        <v>15136.95</v>
      </c>
      <c r="AE584" s="57"/>
    </row>
    <row r="585" spans="1:31" x14ac:dyDescent="0.35">
      <c r="A585" s="56" t="s">
        <v>653</v>
      </c>
      <c r="B585" s="58">
        <v>0</v>
      </c>
      <c r="C585" s="58">
        <v>0</v>
      </c>
      <c r="D585" s="58">
        <v>0</v>
      </c>
      <c r="E585" s="58">
        <v>0</v>
      </c>
      <c r="F585" s="58">
        <v>0</v>
      </c>
      <c r="G585" s="58">
        <v>0</v>
      </c>
      <c r="H585" s="58">
        <v>0</v>
      </c>
      <c r="I585" s="58">
        <v>0</v>
      </c>
      <c r="J585" s="58">
        <v>0</v>
      </c>
      <c r="K585" s="58">
        <v>0</v>
      </c>
      <c r="L585" s="58">
        <v>0</v>
      </c>
      <c r="M585" s="58">
        <v>0</v>
      </c>
      <c r="N585" s="58">
        <v>0</v>
      </c>
      <c r="O585" s="58">
        <v>14350</v>
      </c>
      <c r="P585" s="58" t="s">
        <v>38</v>
      </c>
      <c r="Q585" s="58">
        <v>0</v>
      </c>
      <c r="R585" s="58">
        <v>0</v>
      </c>
      <c r="S585" s="58">
        <v>0</v>
      </c>
      <c r="T585" s="58">
        <v>0</v>
      </c>
      <c r="U585" s="58">
        <v>0</v>
      </c>
      <c r="V585" s="58">
        <v>0</v>
      </c>
      <c r="W585" s="58">
        <v>0</v>
      </c>
      <c r="X585" s="58">
        <v>0</v>
      </c>
      <c r="Y585" s="58">
        <v>4875</v>
      </c>
      <c r="Z585" s="58">
        <v>4875</v>
      </c>
      <c r="AA585" s="58">
        <v>15136.95</v>
      </c>
      <c r="AE585" s="57"/>
    </row>
    <row r="586" spans="1:31" x14ac:dyDescent="0.35">
      <c r="A586" s="56" t="s">
        <v>654</v>
      </c>
      <c r="B586" s="58">
        <v>14400</v>
      </c>
      <c r="C586" s="58" t="s">
        <v>35</v>
      </c>
      <c r="D586" s="58">
        <v>17200</v>
      </c>
      <c r="E586" s="58">
        <v>-1561</v>
      </c>
      <c r="F586" s="58">
        <v>-8.3204520014924572</v>
      </c>
      <c r="G586" s="58">
        <v>24662</v>
      </c>
      <c r="H586" s="58">
        <v>37.54</v>
      </c>
      <c r="I586" s="58">
        <v>0.45</v>
      </c>
      <c r="J586" s="58">
        <v>-1.35</v>
      </c>
      <c r="K586" s="58">
        <v>-75</v>
      </c>
      <c r="L586" s="58">
        <v>1114575</v>
      </c>
      <c r="M586" s="58">
        <v>161175</v>
      </c>
      <c r="N586" s="58">
        <v>15136.95</v>
      </c>
      <c r="O586" s="58">
        <v>14400</v>
      </c>
      <c r="P586" s="58" t="s">
        <v>35</v>
      </c>
      <c r="Q586" s="58">
        <v>429</v>
      </c>
      <c r="R586" s="58">
        <v>-24</v>
      </c>
      <c r="S586" s="58">
        <v>-5.298013245033113</v>
      </c>
      <c r="T586" s="58">
        <v>115</v>
      </c>
      <c r="U586" s="58">
        <v>0</v>
      </c>
      <c r="V586" s="58">
        <v>732.55</v>
      </c>
      <c r="W586" s="58">
        <v>4.3499999999999091</v>
      </c>
      <c r="X586" s="58">
        <v>0.59736336171380233</v>
      </c>
      <c r="Y586" s="58">
        <v>23025</v>
      </c>
      <c r="Z586" s="58">
        <v>22650</v>
      </c>
      <c r="AA586" s="58">
        <v>15136.95</v>
      </c>
      <c r="AE586" s="57"/>
    </row>
    <row r="587" spans="1:31" x14ac:dyDescent="0.35">
      <c r="A587" s="56" t="s">
        <v>655</v>
      </c>
      <c r="B587" s="58">
        <v>14400</v>
      </c>
      <c r="C587" s="58" t="s">
        <v>33</v>
      </c>
      <c r="D587" s="58">
        <v>8300</v>
      </c>
      <c r="E587" s="58">
        <v>-107</v>
      </c>
      <c r="F587" s="58">
        <v>-1.2727488997264185</v>
      </c>
      <c r="G587" s="58">
        <v>2653</v>
      </c>
      <c r="H587" s="58">
        <v>25.76</v>
      </c>
      <c r="I587" s="58">
        <v>54.6</v>
      </c>
      <c r="J587" s="58">
        <v>-8.75</v>
      </c>
      <c r="K587" s="58">
        <v>-13.812154696132598</v>
      </c>
      <c r="L587" s="58">
        <v>41475</v>
      </c>
      <c r="M587" s="58">
        <v>29550</v>
      </c>
      <c r="N587" s="58">
        <v>15136.95</v>
      </c>
      <c r="O587" s="58">
        <v>14400</v>
      </c>
      <c r="P587" s="58" t="s">
        <v>33</v>
      </c>
      <c r="Q587" s="58">
        <v>3705</v>
      </c>
      <c r="R587" s="58">
        <v>0</v>
      </c>
      <c r="S587" s="58">
        <v>0</v>
      </c>
      <c r="T587" s="58">
        <v>35</v>
      </c>
      <c r="U587" s="58">
        <v>13.71</v>
      </c>
      <c r="V587" s="58">
        <v>791.25</v>
      </c>
      <c r="W587" s="58">
        <v>14.850000000000025</v>
      </c>
      <c r="X587" s="58">
        <v>1.9126738794435889</v>
      </c>
      <c r="Y587" s="58">
        <v>26850</v>
      </c>
      <c r="Z587" s="58">
        <v>18600</v>
      </c>
      <c r="AA587" s="58">
        <v>15136.95</v>
      </c>
      <c r="AE587" s="57"/>
    </row>
    <row r="588" spans="1:31" x14ac:dyDescent="0.35">
      <c r="A588" s="56" t="s">
        <v>656</v>
      </c>
      <c r="B588" s="58">
        <v>14400</v>
      </c>
      <c r="C588" s="58" t="s">
        <v>36</v>
      </c>
      <c r="D588" s="58">
        <v>2</v>
      </c>
      <c r="E588" s="58">
        <v>2</v>
      </c>
      <c r="F588" s="58">
        <v>0</v>
      </c>
      <c r="G588" s="58">
        <v>3</v>
      </c>
      <c r="H588" s="58">
        <v>25.29</v>
      </c>
      <c r="I588" s="58">
        <v>85.45</v>
      </c>
      <c r="J588" s="58">
        <v>-933.65</v>
      </c>
      <c r="K588" s="58">
        <v>-91.615150623098799</v>
      </c>
      <c r="L588" s="58">
        <v>225</v>
      </c>
      <c r="M588" s="58">
        <v>375</v>
      </c>
      <c r="N588" s="58">
        <v>15136.95</v>
      </c>
      <c r="O588" s="58">
        <v>14400</v>
      </c>
      <c r="P588" s="58" t="s">
        <v>36</v>
      </c>
      <c r="Q588" s="58">
        <v>0</v>
      </c>
      <c r="R588" s="58">
        <v>0</v>
      </c>
      <c r="S588" s="58">
        <v>0</v>
      </c>
      <c r="T588" s="58">
        <v>0</v>
      </c>
      <c r="U588" s="58">
        <v>0</v>
      </c>
      <c r="V588" s="58">
        <v>0</v>
      </c>
      <c r="W588" s="58">
        <v>0</v>
      </c>
      <c r="X588" s="58">
        <v>0</v>
      </c>
      <c r="Y588" s="58">
        <v>4950</v>
      </c>
      <c r="Z588" s="58">
        <v>4875</v>
      </c>
      <c r="AA588" s="58">
        <v>15136.95</v>
      </c>
      <c r="AE588" s="57"/>
    </row>
    <row r="589" spans="1:31" x14ac:dyDescent="0.35">
      <c r="A589" s="56" t="s">
        <v>657</v>
      </c>
      <c r="B589" s="58">
        <v>14400</v>
      </c>
      <c r="C589" s="58" t="s">
        <v>37</v>
      </c>
      <c r="D589" s="58">
        <v>0</v>
      </c>
      <c r="E589" s="58">
        <v>0</v>
      </c>
      <c r="F589" s="58">
        <v>0</v>
      </c>
      <c r="G589" s="58">
        <v>0</v>
      </c>
      <c r="H589" s="58">
        <v>0</v>
      </c>
      <c r="I589" s="58">
        <v>0</v>
      </c>
      <c r="J589" s="58">
        <v>0</v>
      </c>
      <c r="K589" s="58">
        <v>0</v>
      </c>
      <c r="L589" s="58">
        <v>75</v>
      </c>
      <c r="M589" s="58">
        <v>600</v>
      </c>
      <c r="N589" s="58">
        <v>15136.95</v>
      </c>
      <c r="O589" s="58">
        <v>14400</v>
      </c>
      <c r="P589" s="58" t="s">
        <v>37</v>
      </c>
      <c r="Q589" s="58">
        <v>0</v>
      </c>
      <c r="R589" s="58">
        <v>0</v>
      </c>
      <c r="S589" s="58">
        <v>0</v>
      </c>
      <c r="T589" s="58">
        <v>0</v>
      </c>
      <c r="U589" s="58">
        <v>0</v>
      </c>
      <c r="V589" s="58">
        <v>0</v>
      </c>
      <c r="W589" s="58">
        <v>0</v>
      </c>
      <c r="X589" s="58">
        <v>0</v>
      </c>
      <c r="Y589" s="58">
        <v>4875</v>
      </c>
      <c r="Z589" s="58">
        <v>4875</v>
      </c>
      <c r="AA589" s="58">
        <v>15136.95</v>
      </c>
      <c r="AE589" s="57"/>
    </row>
    <row r="590" spans="1:31" x14ac:dyDescent="0.35">
      <c r="A590" s="56" t="s">
        <v>658</v>
      </c>
      <c r="B590" s="58">
        <v>0</v>
      </c>
      <c r="C590" s="58">
        <v>0</v>
      </c>
      <c r="D590" s="58">
        <v>0</v>
      </c>
      <c r="E590" s="58">
        <v>0</v>
      </c>
      <c r="F590" s="58">
        <v>0</v>
      </c>
      <c r="G590" s="58">
        <v>0</v>
      </c>
      <c r="H590" s="58">
        <v>0</v>
      </c>
      <c r="I590" s="58">
        <v>0</v>
      </c>
      <c r="J590" s="58">
        <v>0</v>
      </c>
      <c r="K590" s="58">
        <v>0</v>
      </c>
      <c r="L590" s="58">
        <v>0</v>
      </c>
      <c r="M590" s="58">
        <v>0</v>
      </c>
      <c r="N590" s="58">
        <v>0</v>
      </c>
      <c r="O590" s="58">
        <v>14400</v>
      </c>
      <c r="P590" s="58" t="s">
        <v>38</v>
      </c>
      <c r="Q590" s="58">
        <v>0</v>
      </c>
      <c r="R590" s="58">
        <v>0</v>
      </c>
      <c r="S590" s="58">
        <v>0</v>
      </c>
      <c r="T590" s="58">
        <v>0</v>
      </c>
      <c r="U590" s="58">
        <v>0</v>
      </c>
      <c r="V590" s="58">
        <v>0</v>
      </c>
      <c r="W590" s="58">
        <v>0</v>
      </c>
      <c r="X590" s="58">
        <v>0</v>
      </c>
      <c r="Y590" s="58">
        <v>4875</v>
      </c>
      <c r="Z590" s="58">
        <v>4875</v>
      </c>
      <c r="AA590" s="58">
        <v>15136.95</v>
      </c>
      <c r="AE590" s="57"/>
    </row>
    <row r="591" spans="1:31" x14ac:dyDescent="0.35">
      <c r="A591" s="56" t="s">
        <v>659</v>
      </c>
      <c r="B591" s="58">
        <v>14400</v>
      </c>
      <c r="C591" s="58" t="s">
        <v>26</v>
      </c>
      <c r="D591" s="58">
        <v>716</v>
      </c>
      <c r="E591" s="58">
        <v>19</v>
      </c>
      <c r="F591" s="58">
        <v>2.7259684361549499</v>
      </c>
      <c r="G591" s="58">
        <v>163</v>
      </c>
      <c r="H591" s="58">
        <v>26.51</v>
      </c>
      <c r="I591" s="58">
        <v>192.15</v>
      </c>
      <c r="J591" s="58">
        <v>-16.5</v>
      </c>
      <c r="K591" s="58">
        <v>-7.9079798705966926</v>
      </c>
      <c r="L591" s="58">
        <v>4725</v>
      </c>
      <c r="M591" s="58">
        <v>12525</v>
      </c>
      <c r="N591" s="58">
        <v>15136.95</v>
      </c>
      <c r="O591" s="58">
        <v>14400</v>
      </c>
      <c r="P591" s="58" t="s">
        <v>26</v>
      </c>
      <c r="Q591" s="58">
        <v>121</v>
      </c>
      <c r="R591" s="58">
        <v>0</v>
      </c>
      <c r="S591" s="58">
        <v>0</v>
      </c>
      <c r="T591" s="58">
        <v>3</v>
      </c>
      <c r="U591" s="58">
        <v>16.55</v>
      </c>
      <c r="V591" s="58">
        <v>966</v>
      </c>
      <c r="W591" s="58">
        <v>44.350000000000023</v>
      </c>
      <c r="X591" s="58">
        <v>4.8120219172136958</v>
      </c>
      <c r="Y591" s="58">
        <v>10350</v>
      </c>
      <c r="Z591" s="58">
        <v>10200</v>
      </c>
      <c r="AA591" s="58">
        <v>15136.95</v>
      </c>
      <c r="AE591" s="57"/>
    </row>
    <row r="592" spans="1:31" x14ac:dyDescent="0.35">
      <c r="A592" s="56" t="s">
        <v>660</v>
      </c>
      <c r="B592" s="58">
        <v>0</v>
      </c>
      <c r="C592" s="58">
        <v>0</v>
      </c>
      <c r="D592" s="58">
        <v>0</v>
      </c>
      <c r="E592" s="58">
        <v>0</v>
      </c>
      <c r="F592" s="58">
        <v>0</v>
      </c>
      <c r="G592" s="58">
        <v>0</v>
      </c>
      <c r="H592" s="58">
        <v>0</v>
      </c>
      <c r="I592" s="58">
        <v>0</v>
      </c>
      <c r="J592" s="58">
        <v>0</v>
      </c>
      <c r="K592" s="58">
        <v>0</v>
      </c>
      <c r="L592" s="58">
        <v>0</v>
      </c>
      <c r="M592" s="58">
        <v>0</v>
      </c>
      <c r="N592" s="58">
        <v>0</v>
      </c>
      <c r="O592" s="58">
        <v>14400</v>
      </c>
      <c r="P592" s="58" t="s">
        <v>67</v>
      </c>
      <c r="Q592" s="58">
        <v>0</v>
      </c>
      <c r="R592" s="58">
        <v>0</v>
      </c>
      <c r="S592" s="58">
        <v>0</v>
      </c>
      <c r="T592" s="58">
        <v>0</v>
      </c>
      <c r="U592" s="58">
        <v>0</v>
      </c>
      <c r="V592" s="58">
        <v>0</v>
      </c>
      <c r="W592" s="58">
        <v>0</v>
      </c>
      <c r="X592" s="58">
        <v>0</v>
      </c>
      <c r="Y592" s="58">
        <v>4875</v>
      </c>
      <c r="Z592" s="58">
        <v>4875</v>
      </c>
      <c r="AA592" s="58">
        <v>15136.95</v>
      </c>
      <c r="AE592" s="57"/>
    </row>
    <row r="593" spans="1:31" x14ac:dyDescent="0.35">
      <c r="A593" s="56" t="s">
        <v>661</v>
      </c>
      <c r="B593" s="58">
        <v>0</v>
      </c>
      <c r="C593" s="58">
        <v>0</v>
      </c>
      <c r="D593" s="58">
        <v>0</v>
      </c>
      <c r="E593" s="58">
        <v>0</v>
      </c>
      <c r="F593" s="58">
        <v>0</v>
      </c>
      <c r="G593" s="58">
        <v>0</v>
      </c>
      <c r="H593" s="58">
        <v>0</v>
      </c>
      <c r="I593" s="58">
        <v>0</v>
      </c>
      <c r="J593" s="58">
        <v>0</v>
      </c>
      <c r="K593" s="58">
        <v>0</v>
      </c>
      <c r="L593" s="58">
        <v>0</v>
      </c>
      <c r="M593" s="58">
        <v>0</v>
      </c>
      <c r="N593" s="58">
        <v>0</v>
      </c>
      <c r="O593" s="58">
        <v>14400</v>
      </c>
      <c r="P593" s="58" t="s">
        <v>2074</v>
      </c>
      <c r="Q593" s="58">
        <v>0</v>
      </c>
      <c r="R593" s="58">
        <v>0</v>
      </c>
      <c r="S593" s="58">
        <v>0</v>
      </c>
      <c r="T593" s="58">
        <v>0</v>
      </c>
      <c r="U593" s="58">
        <v>0</v>
      </c>
      <c r="V593" s="58">
        <v>0</v>
      </c>
      <c r="W593" s="58">
        <v>0</v>
      </c>
      <c r="X593" s="58">
        <v>0</v>
      </c>
      <c r="Y593" s="58">
        <v>4875</v>
      </c>
      <c r="Z593" s="58">
        <v>4875</v>
      </c>
      <c r="AA593" s="58">
        <v>15136.95</v>
      </c>
      <c r="AE593" s="57"/>
    </row>
    <row r="594" spans="1:31" x14ac:dyDescent="0.35">
      <c r="A594" s="56" t="s">
        <v>662</v>
      </c>
      <c r="B594" s="58">
        <v>14400</v>
      </c>
      <c r="C594" s="58" t="s">
        <v>2071</v>
      </c>
      <c r="D594" s="58">
        <v>0</v>
      </c>
      <c r="E594" s="58">
        <v>0</v>
      </c>
      <c r="F594" s="58">
        <v>0</v>
      </c>
      <c r="G594" s="58">
        <v>0</v>
      </c>
      <c r="H594" s="58">
        <v>0</v>
      </c>
      <c r="I594" s="58">
        <v>0</v>
      </c>
      <c r="J594" s="58">
        <v>0</v>
      </c>
      <c r="K594" s="58">
        <v>0</v>
      </c>
      <c r="L594" s="58">
        <v>225</v>
      </c>
      <c r="M594" s="58">
        <v>4950</v>
      </c>
      <c r="N594" s="58">
        <v>15136.95</v>
      </c>
      <c r="O594" s="58">
        <v>14400</v>
      </c>
      <c r="P594" s="58" t="s">
        <v>2071</v>
      </c>
      <c r="Q594" s="58">
        <v>0</v>
      </c>
      <c r="R594" s="58">
        <v>0</v>
      </c>
      <c r="S594" s="58">
        <v>0</v>
      </c>
      <c r="T594" s="58">
        <v>0</v>
      </c>
      <c r="U594" s="58">
        <v>0</v>
      </c>
      <c r="V594" s="58">
        <v>0</v>
      </c>
      <c r="W594" s="58">
        <v>0</v>
      </c>
      <c r="X594" s="58">
        <v>0</v>
      </c>
      <c r="Y594" s="58">
        <v>0</v>
      </c>
      <c r="Z594" s="58">
        <v>4875</v>
      </c>
      <c r="AA594" s="58">
        <v>15136.95</v>
      </c>
      <c r="AE594" s="57"/>
    </row>
    <row r="595" spans="1:31" x14ac:dyDescent="0.35">
      <c r="A595" s="56" t="s">
        <v>663</v>
      </c>
      <c r="B595" s="58">
        <v>14400</v>
      </c>
      <c r="C595" s="58" t="s">
        <v>34</v>
      </c>
      <c r="D595" s="58">
        <v>3724</v>
      </c>
      <c r="E595" s="58">
        <v>310</v>
      </c>
      <c r="F595" s="58">
        <v>9.0802577621558296</v>
      </c>
      <c r="G595" s="58">
        <v>4502</v>
      </c>
      <c r="H595" s="58">
        <v>25.95</v>
      </c>
      <c r="I595" s="58">
        <v>17.95</v>
      </c>
      <c r="J595" s="58">
        <v>-4.9000000000000021</v>
      </c>
      <c r="K595" s="58">
        <v>-21.444201312910295</v>
      </c>
      <c r="L595" s="58">
        <v>52800</v>
      </c>
      <c r="M595" s="58">
        <v>29400</v>
      </c>
      <c r="N595" s="58">
        <v>15136.95</v>
      </c>
      <c r="O595" s="58">
        <v>14400</v>
      </c>
      <c r="P595" s="58" t="s">
        <v>34</v>
      </c>
      <c r="Q595" s="58">
        <v>59</v>
      </c>
      <c r="R595" s="58">
        <v>14</v>
      </c>
      <c r="S595" s="58">
        <v>31.111111111111111</v>
      </c>
      <c r="T595" s="58">
        <v>40</v>
      </c>
      <c r="U595" s="58">
        <v>0</v>
      </c>
      <c r="V595" s="58">
        <v>742</v>
      </c>
      <c r="W595" s="58">
        <v>16.600000000000023</v>
      </c>
      <c r="X595" s="58">
        <v>2.2883926109732595</v>
      </c>
      <c r="Y595" s="58">
        <v>15675</v>
      </c>
      <c r="Z595" s="58">
        <v>11325</v>
      </c>
      <c r="AA595" s="58">
        <v>15136.95</v>
      </c>
      <c r="AE595" s="57"/>
    </row>
    <row r="596" spans="1:31" x14ac:dyDescent="0.35">
      <c r="A596" s="56" t="s">
        <v>664</v>
      </c>
      <c r="B596" s="58">
        <v>14450</v>
      </c>
      <c r="C596" s="58" t="s">
        <v>34</v>
      </c>
      <c r="D596" s="58">
        <v>390</v>
      </c>
      <c r="E596" s="58">
        <v>105</v>
      </c>
      <c r="F596" s="58">
        <v>36.842105263157897</v>
      </c>
      <c r="G596" s="58">
        <v>721</v>
      </c>
      <c r="H596" s="58">
        <v>25.44</v>
      </c>
      <c r="I596" s="58">
        <v>20.6</v>
      </c>
      <c r="J596" s="58">
        <v>-5.0999999999999979</v>
      </c>
      <c r="K596" s="58">
        <v>-19.84435797665369</v>
      </c>
      <c r="L596" s="58">
        <v>25425</v>
      </c>
      <c r="M596" s="58">
        <v>18300</v>
      </c>
      <c r="N596" s="58">
        <v>15136.95</v>
      </c>
      <c r="O596" s="58">
        <v>14450</v>
      </c>
      <c r="P596" s="58" t="s">
        <v>34</v>
      </c>
      <c r="Q596" s="58">
        <v>21</v>
      </c>
      <c r="R596" s="58">
        <v>0</v>
      </c>
      <c r="S596" s="58">
        <v>0</v>
      </c>
      <c r="T596" s="58">
        <v>2</v>
      </c>
      <c r="U596" s="58">
        <v>0</v>
      </c>
      <c r="V596" s="58">
        <v>697.05</v>
      </c>
      <c r="W596" s="58">
        <v>87.149999999999977</v>
      </c>
      <c r="X596" s="58">
        <v>14.289227742252825</v>
      </c>
      <c r="Y596" s="58">
        <v>16875</v>
      </c>
      <c r="Z596" s="58">
        <v>12450</v>
      </c>
      <c r="AA596" s="58">
        <v>15136.95</v>
      </c>
      <c r="AE596" s="57"/>
    </row>
    <row r="597" spans="1:31" x14ac:dyDescent="0.35">
      <c r="A597" s="56" t="s">
        <v>665</v>
      </c>
      <c r="B597" s="58">
        <v>14450</v>
      </c>
      <c r="C597" s="58" t="s">
        <v>33</v>
      </c>
      <c r="D597" s="58">
        <v>763</v>
      </c>
      <c r="E597" s="58">
        <v>54</v>
      </c>
      <c r="F597" s="58">
        <v>7.6163610719322987</v>
      </c>
      <c r="G597" s="58">
        <v>373</v>
      </c>
      <c r="H597" s="58">
        <v>25.4</v>
      </c>
      <c r="I597" s="58">
        <v>58.7</v>
      </c>
      <c r="J597" s="58">
        <v>-9.4500000000000046</v>
      </c>
      <c r="K597" s="58">
        <v>-13.866471019809248</v>
      </c>
      <c r="L597" s="58">
        <v>14400</v>
      </c>
      <c r="M597" s="58">
        <v>12375</v>
      </c>
      <c r="N597" s="58">
        <v>15136.95</v>
      </c>
      <c r="O597" s="58">
        <v>14450</v>
      </c>
      <c r="P597" s="58" t="s">
        <v>33</v>
      </c>
      <c r="Q597" s="58">
        <v>253</v>
      </c>
      <c r="R597" s="58">
        <v>0</v>
      </c>
      <c r="S597" s="58">
        <v>0</v>
      </c>
      <c r="T597" s="58">
        <v>2</v>
      </c>
      <c r="U597" s="58">
        <v>13.74</v>
      </c>
      <c r="V597" s="58">
        <v>755</v>
      </c>
      <c r="W597" s="58">
        <v>60.149999999999977</v>
      </c>
      <c r="X597" s="58">
        <v>8.6565445779664643</v>
      </c>
      <c r="Y597" s="58">
        <v>21075</v>
      </c>
      <c r="Z597" s="58">
        <v>16650</v>
      </c>
      <c r="AA597" s="58">
        <v>15136.95</v>
      </c>
      <c r="AE597" s="57"/>
    </row>
    <row r="598" spans="1:31" x14ac:dyDescent="0.35">
      <c r="A598" s="56" t="s">
        <v>666</v>
      </c>
      <c r="B598" s="58">
        <v>14450</v>
      </c>
      <c r="C598" s="58" t="s">
        <v>36</v>
      </c>
      <c r="D598" s="58">
        <v>0</v>
      </c>
      <c r="E598" s="58">
        <v>0</v>
      </c>
      <c r="F598" s="58">
        <v>0</v>
      </c>
      <c r="G598" s="58">
        <v>0</v>
      </c>
      <c r="H598" s="58">
        <v>0</v>
      </c>
      <c r="I598" s="58">
        <v>0</v>
      </c>
      <c r="J598" s="58">
        <v>0</v>
      </c>
      <c r="K598" s="58">
        <v>0</v>
      </c>
      <c r="L598" s="58">
        <v>0</v>
      </c>
      <c r="M598" s="58">
        <v>0</v>
      </c>
      <c r="N598" s="58">
        <v>15136.95</v>
      </c>
      <c r="O598" s="58">
        <v>14450</v>
      </c>
      <c r="P598" s="58" t="s">
        <v>36</v>
      </c>
      <c r="Q598" s="58">
        <v>0</v>
      </c>
      <c r="R598" s="58">
        <v>0</v>
      </c>
      <c r="S598" s="58">
        <v>0</v>
      </c>
      <c r="T598" s="58">
        <v>0</v>
      </c>
      <c r="U598" s="58">
        <v>0</v>
      </c>
      <c r="V598" s="58">
        <v>0</v>
      </c>
      <c r="W598" s="58">
        <v>0</v>
      </c>
      <c r="X598" s="58">
        <v>0</v>
      </c>
      <c r="Y598" s="58">
        <v>4875</v>
      </c>
      <c r="Z598" s="58">
        <v>4875</v>
      </c>
      <c r="AA598" s="58">
        <v>15136.95</v>
      </c>
      <c r="AE598" s="57"/>
    </row>
    <row r="599" spans="1:31" x14ac:dyDescent="0.35">
      <c r="A599" s="56" t="s">
        <v>667</v>
      </c>
      <c r="B599" s="58">
        <v>14450</v>
      </c>
      <c r="C599" s="58" t="s">
        <v>37</v>
      </c>
      <c r="D599" s="58">
        <v>0</v>
      </c>
      <c r="E599" s="58">
        <v>0</v>
      </c>
      <c r="F599" s="58">
        <v>0</v>
      </c>
      <c r="G599" s="58">
        <v>0</v>
      </c>
      <c r="H599" s="58">
        <v>0</v>
      </c>
      <c r="I599" s="58">
        <v>0</v>
      </c>
      <c r="J599" s="58">
        <v>0</v>
      </c>
      <c r="K599" s="58">
        <v>0</v>
      </c>
      <c r="L599" s="58">
        <v>0</v>
      </c>
      <c r="M599" s="58">
        <v>0</v>
      </c>
      <c r="N599" s="58">
        <v>15136.95</v>
      </c>
      <c r="O599" s="58">
        <v>14450</v>
      </c>
      <c r="P599" s="58" t="s">
        <v>37</v>
      </c>
      <c r="Q599" s="58">
        <v>0</v>
      </c>
      <c r="R599" s="58">
        <v>0</v>
      </c>
      <c r="S599" s="58">
        <v>0</v>
      </c>
      <c r="T599" s="58">
        <v>0</v>
      </c>
      <c r="U599" s="58">
        <v>0</v>
      </c>
      <c r="V599" s="58">
        <v>0</v>
      </c>
      <c r="W599" s="58">
        <v>0</v>
      </c>
      <c r="X599" s="58">
        <v>0</v>
      </c>
      <c r="Y599" s="58">
        <v>4875</v>
      </c>
      <c r="Z599" s="58">
        <v>4875</v>
      </c>
      <c r="AA599" s="58">
        <v>15136.95</v>
      </c>
      <c r="AE599" s="57"/>
    </row>
    <row r="600" spans="1:31" x14ac:dyDescent="0.35">
      <c r="A600" s="56" t="s">
        <v>668</v>
      </c>
      <c r="B600" s="58">
        <v>14450</v>
      </c>
      <c r="C600" s="58" t="s">
        <v>38</v>
      </c>
      <c r="D600" s="58">
        <v>0</v>
      </c>
      <c r="E600" s="58">
        <v>0</v>
      </c>
      <c r="F600" s="58">
        <v>0</v>
      </c>
      <c r="G600" s="58">
        <v>0</v>
      </c>
      <c r="H600" s="58">
        <v>0</v>
      </c>
      <c r="I600" s="58">
        <v>0</v>
      </c>
      <c r="J600" s="58">
        <v>0</v>
      </c>
      <c r="K600" s="58">
        <v>0</v>
      </c>
      <c r="L600" s="58">
        <v>0</v>
      </c>
      <c r="M600" s="58">
        <v>0</v>
      </c>
      <c r="N600" s="58">
        <v>15136.95</v>
      </c>
      <c r="O600" s="58">
        <v>14450</v>
      </c>
      <c r="P600" s="58" t="s">
        <v>38</v>
      </c>
      <c r="Q600" s="58">
        <v>0</v>
      </c>
      <c r="R600" s="58">
        <v>0</v>
      </c>
      <c r="S600" s="58">
        <v>0</v>
      </c>
      <c r="T600" s="58">
        <v>0</v>
      </c>
      <c r="U600" s="58">
        <v>0</v>
      </c>
      <c r="V600" s="58">
        <v>0</v>
      </c>
      <c r="W600" s="58">
        <v>0</v>
      </c>
      <c r="X600" s="58">
        <v>0</v>
      </c>
      <c r="Y600" s="58">
        <v>4875</v>
      </c>
      <c r="Z600" s="58">
        <v>4875</v>
      </c>
      <c r="AA600" s="58">
        <v>15136.95</v>
      </c>
      <c r="AE600" s="57"/>
    </row>
    <row r="601" spans="1:31" x14ac:dyDescent="0.35">
      <c r="A601" s="56" t="s">
        <v>669</v>
      </c>
      <c r="B601" s="58">
        <v>14450</v>
      </c>
      <c r="C601" s="58" t="s">
        <v>26</v>
      </c>
      <c r="D601" s="58">
        <v>27</v>
      </c>
      <c r="E601" s="58">
        <v>0</v>
      </c>
      <c r="F601" s="58">
        <v>0</v>
      </c>
      <c r="G601" s="58">
        <v>5</v>
      </c>
      <c r="H601" s="58">
        <v>26.36</v>
      </c>
      <c r="I601" s="58">
        <v>202.9</v>
      </c>
      <c r="J601" s="58">
        <v>-22.150000000000009</v>
      </c>
      <c r="K601" s="58">
        <v>-9.842257276160856</v>
      </c>
      <c r="L601" s="58">
        <v>1875</v>
      </c>
      <c r="M601" s="58">
        <v>6825</v>
      </c>
      <c r="N601" s="58">
        <v>15136.95</v>
      </c>
      <c r="O601" s="58">
        <v>14450</v>
      </c>
      <c r="P601" s="58" t="s">
        <v>26</v>
      </c>
      <c r="Q601" s="58">
        <v>8</v>
      </c>
      <c r="R601" s="58">
        <v>0</v>
      </c>
      <c r="S601" s="58">
        <v>0</v>
      </c>
      <c r="T601" s="58">
        <v>0</v>
      </c>
      <c r="U601" s="58">
        <v>0</v>
      </c>
      <c r="V601" s="58">
        <v>0</v>
      </c>
      <c r="W601" s="58">
        <v>0</v>
      </c>
      <c r="X601" s="58">
        <v>0</v>
      </c>
      <c r="Y601" s="58">
        <v>5700</v>
      </c>
      <c r="Z601" s="58">
        <v>7875</v>
      </c>
      <c r="AA601" s="58">
        <v>15136.95</v>
      </c>
      <c r="AE601" s="57"/>
    </row>
    <row r="602" spans="1:31" x14ac:dyDescent="0.35">
      <c r="A602" s="56" t="s">
        <v>670</v>
      </c>
      <c r="B602" s="58">
        <v>0</v>
      </c>
      <c r="C602" s="58">
        <v>0</v>
      </c>
      <c r="D602" s="58">
        <v>0</v>
      </c>
      <c r="E602" s="58">
        <v>0</v>
      </c>
      <c r="F602" s="58">
        <v>0</v>
      </c>
      <c r="G602" s="58">
        <v>0</v>
      </c>
      <c r="H602" s="58">
        <v>0</v>
      </c>
      <c r="I602" s="58">
        <v>0</v>
      </c>
      <c r="J602" s="58">
        <v>0</v>
      </c>
      <c r="K602" s="58">
        <v>0</v>
      </c>
      <c r="L602" s="58">
        <v>0</v>
      </c>
      <c r="M602" s="58">
        <v>0</v>
      </c>
      <c r="N602" s="58">
        <v>0</v>
      </c>
      <c r="O602" s="58">
        <v>14450</v>
      </c>
      <c r="P602" s="58" t="s">
        <v>67</v>
      </c>
      <c r="Q602" s="58">
        <v>0</v>
      </c>
      <c r="R602" s="58">
        <v>0</v>
      </c>
      <c r="S602" s="58">
        <v>0</v>
      </c>
      <c r="T602" s="58">
        <v>0</v>
      </c>
      <c r="U602" s="58">
        <v>0</v>
      </c>
      <c r="V602" s="58">
        <v>0</v>
      </c>
      <c r="W602" s="58">
        <v>0</v>
      </c>
      <c r="X602" s="58">
        <v>0</v>
      </c>
      <c r="Y602" s="58">
        <v>4875</v>
      </c>
      <c r="Z602" s="58">
        <v>4875</v>
      </c>
      <c r="AA602" s="58">
        <v>15136.95</v>
      </c>
      <c r="AE602" s="57"/>
    </row>
    <row r="603" spans="1:31" x14ac:dyDescent="0.35">
      <c r="A603" s="56" t="s">
        <v>671</v>
      </c>
      <c r="B603" s="58">
        <v>0</v>
      </c>
      <c r="C603" s="58">
        <v>0</v>
      </c>
      <c r="D603" s="58">
        <v>0</v>
      </c>
      <c r="E603" s="58">
        <v>0</v>
      </c>
      <c r="F603" s="58">
        <v>0</v>
      </c>
      <c r="G603" s="58">
        <v>0</v>
      </c>
      <c r="H603" s="58">
        <v>0</v>
      </c>
      <c r="I603" s="58">
        <v>0</v>
      </c>
      <c r="J603" s="58">
        <v>0</v>
      </c>
      <c r="K603" s="58">
        <v>0</v>
      </c>
      <c r="L603" s="58">
        <v>0</v>
      </c>
      <c r="M603" s="58">
        <v>0</v>
      </c>
      <c r="N603" s="58">
        <v>0</v>
      </c>
      <c r="O603" s="58">
        <v>14450</v>
      </c>
      <c r="P603" s="58" t="s">
        <v>2074</v>
      </c>
      <c r="Q603" s="58">
        <v>0</v>
      </c>
      <c r="R603" s="58">
        <v>0</v>
      </c>
      <c r="S603" s="58">
        <v>0</v>
      </c>
      <c r="T603" s="58">
        <v>0</v>
      </c>
      <c r="U603" s="58">
        <v>0</v>
      </c>
      <c r="V603" s="58">
        <v>0</v>
      </c>
      <c r="W603" s="58">
        <v>0</v>
      </c>
      <c r="X603" s="58">
        <v>0</v>
      </c>
      <c r="Y603" s="58">
        <v>0</v>
      </c>
      <c r="Z603" s="58">
        <v>4875</v>
      </c>
      <c r="AA603" s="58">
        <v>15136.95</v>
      </c>
      <c r="AE603" s="57"/>
    </row>
    <row r="604" spans="1:31" x14ac:dyDescent="0.35">
      <c r="A604" s="56" t="s">
        <v>672</v>
      </c>
      <c r="B604" s="58">
        <v>14450</v>
      </c>
      <c r="C604" s="58" t="s">
        <v>2071</v>
      </c>
      <c r="D604" s="58">
        <v>0</v>
      </c>
      <c r="E604" s="58">
        <v>0</v>
      </c>
      <c r="F604" s="58">
        <v>0</v>
      </c>
      <c r="G604" s="58">
        <v>0</v>
      </c>
      <c r="H604" s="58">
        <v>0</v>
      </c>
      <c r="I604" s="58">
        <v>0</v>
      </c>
      <c r="J604" s="58">
        <v>0</v>
      </c>
      <c r="K604" s="58">
        <v>0</v>
      </c>
      <c r="L604" s="58">
        <v>0</v>
      </c>
      <c r="M604" s="58">
        <v>4875</v>
      </c>
      <c r="N604" s="58">
        <v>15136.95</v>
      </c>
      <c r="O604" s="58">
        <v>14450</v>
      </c>
      <c r="P604" s="58" t="s">
        <v>2071</v>
      </c>
      <c r="Q604" s="58">
        <v>0</v>
      </c>
      <c r="R604" s="58">
        <v>0</v>
      </c>
      <c r="S604" s="58">
        <v>0</v>
      </c>
      <c r="T604" s="58">
        <v>0</v>
      </c>
      <c r="U604" s="58">
        <v>0</v>
      </c>
      <c r="V604" s="58">
        <v>0</v>
      </c>
      <c r="W604" s="58">
        <v>0</v>
      </c>
      <c r="X604" s="58">
        <v>0</v>
      </c>
      <c r="Y604" s="58">
        <v>0</v>
      </c>
      <c r="Z604" s="58">
        <v>4875</v>
      </c>
      <c r="AA604" s="58">
        <v>15136.95</v>
      </c>
      <c r="AE604" s="57"/>
    </row>
    <row r="605" spans="1:31" x14ac:dyDescent="0.35">
      <c r="A605" s="56" t="s">
        <v>673</v>
      </c>
      <c r="B605" s="58">
        <v>14450</v>
      </c>
      <c r="C605" s="58" t="s">
        <v>35</v>
      </c>
      <c r="D605" s="58">
        <v>2301</v>
      </c>
      <c r="E605" s="58">
        <v>530</v>
      </c>
      <c r="F605" s="58">
        <v>29.926595143986447</v>
      </c>
      <c r="G605" s="58">
        <v>3826</v>
      </c>
      <c r="H605" s="58">
        <v>36.4</v>
      </c>
      <c r="I605" s="58">
        <v>0.55000000000000004</v>
      </c>
      <c r="J605" s="58">
        <v>-1.4</v>
      </c>
      <c r="K605" s="58">
        <v>-71.794871794871796</v>
      </c>
      <c r="L605" s="58">
        <v>357000</v>
      </c>
      <c r="M605" s="58">
        <v>35100</v>
      </c>
      <c r="N605" s="58">
        <v>15136.95</v>
      </c>
      <c r="O605" s="58">
        <v>14450</v>
      </c>
      <c r="P605" s="58" t="s">
        <v>35</v>
      </c>
      <c r="Q605" s="58">
        <v>66</v>
      </c>
      <c r="R605" s="58">
        <v>0</v>
      </c>
      <c r="S605" s="58">
        <v>0</v>
      </c>
      <c r="T605" s="58">
        <v>6</v>
      </c>
      <c r="U605" s="58">
        <v>0</v>
      </c>
      <c r="V605" s="58">
        <v>695</v>
      </c>
      <c r="W605" s="58">
        <v>46.649999999999977</v>
      </c>
      <c r="X605" s="58">
        <v>7.1951877843757188</v>
      </c>
      <c r="Y605" s="58">
        <v>22800</v>
      </c>
      <c r="Z605" s="58">
        <v>19050</v>
      </c>
      <c r="AA605" s="58">
        <v>15136.95</v>
      </c>
      <c r="AE605" s="57"/>
    </row>
    <row r="606" spans="1:31" x14ac:dyDescent="0.35">
      <c r="A606" s="56" t="s">
        <v>674</v>
      </c>
      <c r="B606" s="58">
        <v>14500</v>
      </c>
      <c r="C606" s="58" t="s">
        <v>35</v>
      </c>
      <c r="D606" s="58">
        <v>42806</v>
      </c>
      <c r="E606" s="58">
        <v>10908</v>
      </c>
      <c r="F606" s="58">
        <v>34.196501348046901</v>
      </c>
      <c r="G606" s="58">
        <v>69037</v>
      </c>
      <c r="H606" s="58">
        <v>34.36</v>
      </c>
      <c r="I606" s="58">
        <v>0.65</v>
      </c>
      <c r="J606" s="58">
        <v>-1.5500000000000005</v>
      </c>
      <c r="K606" s="58">
        <v>-70.454545454545453</v>
      </c>
      <c r="L606" s="58">
        <v>3975900</v>
      </c>
      <c r="M606" s="58">
        <v>324750</v>
      </c>
      <c r="N606" s="58">
        <v>15136.95</v>
      </c>
      <c r="O606" s="58">
        <v>14500</v>
      </c>
      <c r="P606" s="58" t="s">
        <v>35</v>
      </c>
      <c r="Q606" s="58">
        <v>1635</v>
      </c>
      <c r="R606" s="58">
        <v>-250</v>
      </c>
      <c r="S606" s="58">
        <v>-13.262599469496021</v>
      </c>
      <c r="T606" s="58">
        <v>507</v>
      </c>
      <c r="U606" s="58">
        <v>0</v>
      </c>
      <c r="V606" s="58">
        <v>632</v>
      </c>
      <c r="W606" s="58">
        <v>15.700000000000044</v>
      </c>
      <c r="X606" s="58">
        <v>2.5474606522797414</v>
      </c>
      <c r="Y606" s="58">
        <v>30000</v>
      </c>
      <c r="Z606" s="58">
        <v>27300</v>
      </c>
      <c r="AA606" s="58">
        <v>15136.95</v>
      </c>
      <c r="AE606" s="57"/>
    </row>
    <row r="607" spans="1:31" x14ac:dyDescent="0.35">
      <c r="A607" s="56" t="s">
        <v>675</v>
      </c>
      <c r="B607" s="58">
        <v>14500</v>
      </c>
      <c r="C607" s="58" t="s">
        <v>34</v>
      </c>
      <c r="D607" s="58">
        <v>8117</v>
      </c>
      <c r="E607" s="58">
        <v>1226</v>
      </c>
      <c r="F607" s="58">
        <v>17.79132201422145</v>
      </c>
      <c r="G607" s="58">
        <v>12873</v>
      </c>
      <c r="H607" s="58">
        <v>24.93</v>
      </c>
      <c r="I607" s="58">
        <v>23.75</v>
      </c>
      <c r="J607" s="58">
        <v>-6.1999999999999993</v>
      </c>
      <c r="K607" s="58">
        <v>-20.701168614357261</v>
      </c>
      <c r="L607" s="58">
        <v>70125</v>
      </c>
      <c r="M607" s="58">
        <v>84000</v>
      </c>
      <c r="N607" s="58">
        <v>15136.95</v>
      </c>
      <c r="O607" s="58">
        <v>14500</v>
      </c>
      <c r="P607" s="58" t="s">
        <v>34</v>
      </c>
      <c r="Q607" s="58">
        <v>188</v>
      </c>
      <c r="R607" s="58">
        <v>30</v>
      </c>
      <c r="S607" s="58">
        <v>18.9873417721519</v>
      </c>
      <c r="T607" s="58">
        <v>94</v>
      </c>
      <c r="U607" s="58">
        <v>0</v>
      </c>
      <c r="V607" s="58">
        <v>647.85</v>
      </c>
      <c r="W607" s="58">
        <v>-6.4499999999999318</v>
      </c>
      <c r="X607" s="58">
        <v>-0.98578633654285996</v>
      </c>
      <c r="Y607" s="58">
        <v>15675</v>
      </c>
      <c r="Z607" s="58">
        <v>11850</v>
      </c>
      <c r="AA607" s="58">
        <v>15136.95</v>
      </c>
      <c r="AE607" s="57"/>
    </row>
    <row r="608" spans="1:31" x14ac:dyDescent="0.35">
      <c r="A608" s="56" t="s">
        <v>676</v>
      </c>
      <c r="B608" s="58">
        <v>14500</v>
      </c>
      <c r="C608" s="58" t="s">
        <v>33</v>
      </c>
      <c r="D608" s="58">
        <v>24712</v>
      </c>
      <c r="E608" s="58">
        <v>833</v>
      </c>
      <c r="F608" s="58">
        <v>3.488420788140207</v>
      </c>
      <c r="G608" s="58">
        <v>7479</v>
      </c>
      <c r="H608" s="58">
        <v>24.98</v>
      </c>
      <c r="I608" s="58">
        <v>66.25</v>
      </c>
      <c r="J608" s="58">
        <v>-9.8499999999999943</v>
      </c>
      <c r="K608" s="58">
        <v>-12.943495400788429</v>
      </c>
      <c r="L608" s="58">
        <v>64875</v>
      </c>
      <c r="M608" s="58">
        <v>146475</v>
      </c>
      <c r="N608" s="58">
        <v>15136.95</v>
      </c>
      <c r="O608" s="58">
        <v>14500</v>
      </c>
      <c r="P608" s="58" t="s">
        <v>33</v>
      </c>
      <c r="Q608" s="58">
        <v>10411</v>
      </c>
      <c r="R608" s="58">
        <v>-60</v>
      </c>
      <c r="S608" s="58">
        <v>-0.57301117371788746</v>
      </c>
      <c r="T608" s="58">
        <v>391</v>
      </c>
      <c r="U608" s="58">
        <v>14.51</v>
      </c>
      <c r="V608" s="58">
        <v>702</v>
      </c>
      <c r="W608" s="58">
        <v>0.5</v>
      </c>
      <c r="X608" s="58">
        <v>7.1275837491090524E-2</v>
      </c>
      <c r="Y608" s="58">
        <v>49275</v>
      </c>
      <c r="Z608" s="58">
        <v>26775</v>
      </c>
      <c r="AA608" s="58">
        <v>15136.95</v>
      </c>
      <c r="AE608" s="57"/>
    </row>
    <row r="609" spans="1:31" x14ac:dyDescent="0.35">
      <c r="A609" s="56" t="s">
        <v>677</v>
      </c>
      <c r="B609" s="58">
        <v>14500</v>
      </c>
      <c r="C609" s="58" t="s">
        <v>36</v>
      </c>
      <c r="D609" s="58">
        <v>93</v>
      </c>
      <c r="E609" s="58">
        <v>1</v>
      </c>
      <c r="F609" s="58">
        <v>1.0869565217391304</v>
      </c>
      <c r="G609" s="58">
        <v>31</v>
      </c>
      <c r="H609" s="58">
        <v>25.42</v>
      </c>
      <c r="I609" s="58">
        <v>107</v>
      </c>
      <c r="J609" s="58">
        <v>-10.5</v>
      </c>
      <c r="K609" s="58">
        <v>-8.9361702127659584</v>
      </c>
      <c r="L609" s="58">
        <v>1500</v>
      </c>
      <c r="M609" s="58">
        <v>6150</v>
      </c>
      <c r="N609" s="58">
        <v>15136.95</v>
      </c>
      <c r="O609" s="58">
        <v>14500</v>
      </c>
      <c r="P609" s="58" t="s">
        <v>36</v>
      </c>
      <c r="Q609" s="58">
        <v>2</v>
      </c>
      <c r="R609" s="58">
        <v>0</v>
      </c>
      <c r="S609" s="58">
        <v>0</v>
      </c>
      <c r="T609" s="58">
        <v>0</v>
      </c>
      <c r="U609" s="58">
        <v>0</v>
      </c>
      <c r="V609" s="58">
        <v>0</v>
      </c>
      <c r="W609" s="58">
        <v>0</v>
      </c>
      <c r="X609" s="58">
        <v>0</v>
      </c>
      <c r="Y609" s="58">
        <v>4875</v>
      </c>
      <c r="Z609" s="58">
        <v>4875</v>
      </c>
      <c r="AA609" s="58">
        <v>15136.95</v>
      </c>
      <c r="AE609" s="57"/>
    </row>
    <row r="610" spans="1:31" x14ac:dyDescent="0.35">
      <c r="A610" s="56" t="s">
        <v>678</v>
      </c>
      <c r="B610" s="58">
        <v>14500</v>
      </c>
      <c r="C610" s="58" t="s">
        <v>37</v>
      </c>
      <c r="D610" s="58">
        <v>8</v>
      </c>
      <c r="E610" s="58">
        <v>0</v>
      </c>
      <c r="F610" s="58">
        <v>0</v>
      </c>
      <c r="G610" s="58">
        <v>0</v>
      </c>
      <c r="H610" s="58">
        <v>0</v>
      </c>
      <c r="I610" s="58">
        <v>0</v>
      </c>
      <c r="J610" s="58">
        <v>0</v>
      </c>
      <c r="K610" s="58">
        <v>0</v>
      </c>
      <c r="L610" s="58">
        <v>1500</v>
      </c>
      <c r="M610" s="58">
        <v>2175</v>
      </c>
      <c r="N610" s="58">
        <v>15136.95</v>
      </c>
      <c r="O610" s="58">
        <v>14500</v>
      </c>
      <c r="P610" s="58" t="s">
        <v>37</v>
      </c>
      <c r="Q610" s="58">
        <v>1</v>
      </c>
      <c r="R610" s="58">
        <v>0</v>
      </c>
      <c r="S610" s="58">
        <v>0</v>
      </c>
      <c r="T610" s="58">
        <v>0</v>
      </c>
      <c r="U610" s="58">
        <v>0</v>
      </c>
      <c r="V610" s="58">
        <v>0</v>
      </c>
      <c r="W610" s="58">
        <v>0</v>
      </c>
      <c r="X610" s="58">
        <v>0</v>
      </c>
      <c r="Y610" s="58">
        <v>4950</v>
      </c>
      <c r="Z610" s="58">
        <v>4875</v>
      </c>
      <c r="AA610" s="58">
        <v>15136.95</v>
      </c>
      <c r="AE610" s="57"/>
    </row>
    <row r="611" spans="1:31" x14ac:dyDescent="0.35">
      <c r="A611" s="56" t="s">
        <v>679</v>
      </c>
      <c r="B611" s="58">
        <v>14500</v>
      </c>
      <c r="C611" s="58" t="s">
        <v>38</v>
      </c>
      <c r="D611" s="58">
        <v>0</v>
      </c>
      <c r="E611" s="58">
        <v>0</v>
      </c>
      <c r="F611" s="58">
        <v>0</v>
      </c>
      <c r="G611" s="58">
        <v>0</v>
      </c>
      <c r="H611" s="58">
        <v>0</v>
      </c>
      <c r="I611" s="58">
        <v>0</v>
      </c>
      <c r="J611" s="58">
        <v>0</v>
      </c>
      <c r="K611" s="58">
        <v>0</v>
      </c>
      <c r="L611" s="58">
        <v>0</v>
      </c>
      <c r="M611" s="58">
        <v>0</v>
      </c>
      <c r="N611" s="58">
        <v>15136.95</v>
      </c>
      <c r="O611" s="58">
        <v>14500</v>
      </c>
      <c r="P611" s="58" t="s">
        <v>38</v>
      </c>
      <c r="Q611" s="58">
        <v>0</v>
      </c>
      <c r="R611" s="58">
        <v>0</v>
      </c>
      <c r="S611" s="58">
        <v>0</v>
      </c>
      <c r="T611" s="58">
        <v>0</v>
      </c>
      <c r="U611" s="58">
        <v>0</v>
      </c>
      <c r="V611" s="58">
        <v>0</v>
      </c>
      <c r="W611" s="58">
        <v>0</v>
      </c>
      <c r="X611" s="58">
        <v>0</v>
      </c>
      <c r="Y611" s="58">
        <v>4875</v>
      </c>
      <c r="Z611" s="58">
        <v>4875</v>
      </c>
      <c r="AA611" s="58">
        <v>15136.95</v>
      </c>
      <c r="AE611" s="57"/>
    </row>
    <row r="612" spans="1:31" x14ac:dyDescent="0.35">
      <c r="A612" s="56" t="s">
        <v>680</v>
      </c>
      <c r="B612" s="58">
        <v>14500</v>
      </c>
      <c r="C612" s="58" t="s">
        <v>26</v>
      </c>
      <c r="D612" s="58">
        <v>8120</v>
      </c>
      <c r="E612" s="58">
        <v>170</v>
      </c>
      <c r="F612" s="58">
        <v>2.1383647798742138</v>
      </c>
      <c r="G612" s="58">
        <v>974</v>
      </c>
      <c r="H612" s="58">
        <v>26.11</v>
      </c>
      <c r="I612" s="58">
        <v>217.4</v>
      </c>
      <c r="J612" s="58">
        <v>-13</v>
      </c>
      <c r="K612" s="58">
        <v>-5.6423611111111116</v>
      </c>
      <c r="L612" s="58">
        <v>13875</v>
      </c>
      <c r="M612" s="58">
        <v>24000</v>
      </c>
      <c r="N612" s="58">
        <v>15136.95</v>
      </c>
      <c r="O612" s="58">
        <v>14500</v>
      </c>
      <c r="P612" s="58" t="s">
        <v>26</v>
      </c>
      <c r="Q612" s="58">
        <v>5609</v>
      </c>
      <c r="R612" s="58">
        <v>-7</v>
      </c>
      <c r="S612" s="58">
        <v>-0.12464387464387464</v>
      </c>
      <c r="T612" s="58">
        <v>42</v>
      </c>
      <c r="U612" s="58">
        <v>17.53</v>
      </c>
      <c r="V612" s="58">
        <v>895</v>
      </c>
      <c r="W612" s="58">
        <v>18.700000000000045</v>
      </c>
      <c r="X612" s="58">
        <v>2.1339723838868023</v>
      </c>
      <c r="Y612" s="58">
        <v>16200</v>
      </c>
      <c r="Z612" s="58">
        <v>16800</v>
      </c>
      <c r="AA612" s="58">
        <v>15136.95</v>
      </c>
      <c r="AE612" s="57"/>
    </row>
    <row r="613" spans="1:31" x14ac:dyDescent="0.35">
      <c r="A613" s="56" t="s">
        <v>681</v>
      </c>
      <c r="B613" s="58">
        <v>14500</v>
      </c>
      <c r="C613" s="58" t="s">
        <v>67</v>
      </c>
      <c r="D613" s="58">
        <v>661</v>
      </c>
      <c r="E613" s="58">
        <v>0</v>
      </c>
      <c r="F613" s="58">
        <v>0</v>
      </c>
      <c r="G613" s="58">
        <v>0</v>
      </c>
      <c r="H613" s="58">
        <v>0</v>
      </c>
      <c r="I613" s="58">
        <v>0</v>
      </c>
      <c r="J613" s="58">
        <v>0</v>
      </c>
      <c r="K613" s="58">
        <v>0</v>
      </c>
      <c r="L613" s="58">
        <v>75</v>
      </c>
      <c r="M613" s="58">
        <v>0</v>
      </c>
      <c r="N613" s="58">
        <v>15136.95</v>
      </c>
      <c r="O613" s="58">
        <v>14500</v>
      </c>
      <c r="P613" s="58" t="s">
        <v>67</v>
      </c>
      <c r="Q613" s="58">
        <v>661</v>
      </c>
      <c r="R613" s="58">
        <v>0</v>
      </c>
      <c r="S613" s="58">
        <v>0</v>
      </c>
      <c r="T613" s="58">
        <v>0</v>
      </c>
      <c r="U613" s="58">
        <v>0</v>
      </c>
      <c r="V613" s="58">
        <v>0</v>
      </c>
      <c r="W613" s="58">
        <v>0</v>
      </c>
      <c r="X613" s="58">
        <v>0</v>
      </c>
      <c r="Y613" s="58">
        <v>4875</v>
      </c>
      <c r="Z613" s="58">
        <v>4875</v>
      </c>
      <c r="AA613" s="58">
        <v>15136.95</v>
      </c>
      <c r="AE613" s="57"/>
    </row>
    <row r="614" spans="1:31" x14ac:dyDescent="0.35">
      <c r="A614" s="56" t="s">
        <v>682</v>
      </c>
      <c r="B614" s="58">
        <v>14500</v>
      </c>
      <c r="C614" s="58" t="s">
        <v>2074</v>
      </c>
      <c r="D614" s="58">
        <v>0</v>
      </c>
      <c r="E614" s="58">
        <v>0</v>
      </c>
      <c r="F614" s="58">
        <v>0</v>
      </c>
      <c r="G614" s="58">
        <v>0</v>
      </c>
      <c r="H614" s="58">
        <v>0</v>
      </c>
      <c r="I614" s="58">
        <v>0</v>
      </c>
      <c r="J614" s="58">
        <v>0</v>
      </c>
      <c r="K614" s="58">
        <v>0</v>
      </c>
      <c r="L614" s="58">
        <v>75</v>
      </c>
      <c r="M614" s="58">
        <v>4875</v>
      </c>
      <c r="N614" s="58">
        <v>15136.95</v>
      </c>
      <c r="O614" s="58">
        <v>14500</v>
      </c>
      <c r="P614" s="58" t="s">
        <v>2074</v>
      </c>
      <c r="Q614" s="58">
        <v>0</v>
      </c>
      <c r="R614" s="58">
        <v>0</v>
      </c>
      <c r="S614" s="58">
        <v>0</v>
      </c>
      <c r="T614" s="58">
        <v>0</v>
      </c>
      <c r="U614" s="58">
        <v>0</v>
      </c>
      <c r="V614" s="58">
        <v>0</v>
      </c>
      <c r="W614" s="58">
        <v>0</v>
      </c>
      <c r="X614" s="58">
        <v>0</v>
      </c>
      <c r="Y614" s="58">
        <v>0</v>
      </c>
      <c r="Z614" s="58">
        <v>4875</v>
      </c>
      <c r="AA614" s="58">
        <v>15136.95</v>
      </c>
      <c r="AE614" s="57"/>
    </row>
    <row r="615" spans="1:31" x14ac:dyDescent="0.35">
      <c r="A615" s="56" t="s">
        <v>683</v>
      </c>
      <c r="B615" s="58">
        <v>14500</v>
      </c>
      <c r="C615" s="58" t="s">
        <v>2071</v>
      </c>
      <c r="D615" s="58">
        <v>507</v>
      </c>
      <c r="E615" s="58">
        <v>-3</v>
      </c>
      <c r="F615" s="58">
        <v>-0.58823529411764708</v>
      </c>
      <c r="G615" s="58">
        <v>42</v>
      </c>
      <c r="H615" s="58">
        <v>25.64</v>
      </c>
      <c r="I615" s="58">
        <v>316</v>
      </c>
      <c r="J615" s="58">
        <v>-14.850000000000025</v>
      </c>
      <c r="K615" s="58">
        <v>-4.4884388695783652</v>
      </c>
      <c r="L615" s="58">
        <v>12525</v>
      </c>
      <c r="M615" s="58">
        <v>7200</v>
      </c>
      <c r="N615" s="58">
        <v>15136.95</v>
      </c>
      <c r="O615" s="58">
        <v>14500</v>
      </c>
      <c r="P615" s="58" t="s">
        <v>2071</v>
      </c>
      <c r="Q615" s="58">
        <v>189</v>
      </c>
      <c r="R615" s="58">
        <v>0</v>
      </c>
      <c r="S615" s="58">
        <v>0</v>
      </c>
      <c r="T615" s="58">
        <v>1</v>
      </c>
      <c r="U615" s="58">
        <v>15.27</v>
      </c>
      <c r="V615" s="58">
        <v>1047</v>
      </c>
      <c r="W615" s="58">
        <v>42.299999999999955</v>
      </c>
      <c r="X615" s="58">
        <v>4.2102120035831545</v>
      </c>
      <c r="Y615" s="58">
        <v>9075</v>
      </c>
      <c r="Z615" s="58">
        <v>13050</v>
      </c>
      <c r="AA615" s="58">
        <v>15136.95</v>
      </c>
      <c r="AE615" s="57"/>
    </row>
    <row r="616" spans="1:31" x14ac:dyDescent="0.35">
      <c r="A616" s="56" t="s">
        <v>684</v>
      </c>
      <c r="B616" s="58">
        <v>14500</v>
      </c>
      <c r="C616" s="58" t="s">
        <v>27</v>
      </c>
      <c r="D616" s="58">
        <v>4</v>
      </c>
      <c r="E616" s="58">
        <v>0</v>
      </c>
      <c r="F616" s="58">
        <v>0</v>
      </c>
      <c r="G616" s="58">
        <v>0</v>
      </c>
      <c r="H616" s="58">
        <v>0</v>
      </c>
      <c r="I616" s="58">
        <v>0</v>
      </c>
      <c r="J616" s="58">
        <v>0</v>
      </c>
      <c r="K616" s="58">
        <v>0</v>
      </c>
      <c r="L616" s="58">
        <v>8625</v>
      </c>
      <c r="M616" s="58">
        <v>675</v>
      </c>
      <c r="N616" s="58">
        <v>15136.95</v>
      </c>
      <c r="O616" s="58">
        <v>14500</v>
      </c>
      <c r="P616" s="58" t="s">
        <v>27</v>
      </c>
      <c r="Q616" s="58">
        <v>0</v>
      </c>
      <c r="R616" s="58">
        <v>0</v>
      </c>
      <c r="S616" s="58">
        <v>0</v>
      </c>
      <c r="T616" s="58">
        <v>0</v>
      </c>
      <c r="U616" s="58">
        <v>0</v>
      </c>
      <c r="V616" s="58">
        <v>0</v>
      </c>
      <c r="W616" s="58">
        <v>0</v>
      </c>
      <c r="X616" s="58">
        <v>0</v>
      </c>
      <c r="Y616" s="58">
        <v>3225</v>
      </c>
      <c r="Z616" s="58">
        <v>0</v>
      </c>
      <c r="AA616" s="58">
        <v>15136.95</v>
      </c>
      <c r="AE616" s="57"/>
    </row>
    <row r="617" spans="1:31" x14ac:dyDescent="0.35">
      <c r="A617" s="56" t="s">
        <v>685</v>
      </c>
      <c r="B617" s="58">
        <v>14500</v>
      </c>
      <c r="C617" s="58" t="s">
        <v>31</v>
      </c>
      <c r="D617" s="58">
        <v>0</v>
      </c>
      <c r="E617" s="58">
        <v>0</v>
      </c>
      <c r="F617" s="58">
        <v>0</v>
      </c>
      <c r="G617" s="58">
        <v>0</v>
      </c>
      <c r="H617" s="58">
        <v>0</v>
      </c>
      <c r="I617" s="58">
        <v>0</v>
      </c>
      <c r="J617" s="58">
        <v>0</v>
      </c>
      <c r="K617" s="58">
        <v>0</v>
      </c>
      <c r="L617" s="58">
        <v>3825</v>
      </c>
      <c r="M617" s="58">
        <v>75</v>
      </c>
      <c r="N617" s="58">
        <v>15136.95</v>
      </c>
      <c r="O617" s="58">
        <v>14500</v>
      </c>
      <c r="P617" s="58" t="s">
        <v>31</v>
      </c>
      <c r="Q617" s="58">
        <v>1</v>
      </c>
      <c r="R617" s="58">
        <v>0</v>
      </c>
      <c r="S617" s="58">
        <v>0</v>
      </c>
      <c r="T617" s="58">
        <v>0</v>
      </c>
      <c r="U617" s="58">
        <v>0</v>
      </c>
      <c r="V617" s="58">
        <v>0</v>
      </c>
      <c r="W617" s="58">
        <v>0</v>
      </c>
      <c r="X617" s="58">
        <v>0</v>
      </c>
      <c r="Y617" s="58">
        <v>2025</v>
      </c>
      <c r="Z617" s="58">
        <v>75</v>
      </c>
      <c r="AA617" s="58">
        <v>15136.95</v>
      </c>
      <c r="AE617" s="57"/>
    </row>
    <row r="618" spans="1:31" x14ac:dyDescent="0.35">
      <c r="A618" s="56" t="s">
        <v>686</v>
      </c>
      <c r="B618" s="58">
        <v>14500</v>
      </c>
      <c r="C618" s="58" t="s">
        <v>29</v>
      </c>
      <c r="D618" s="58">
        <v>496</v>
      </c>
      <c r="E618" s="58">
        <v>0</v>
      </c>
      <c r="F618" s="58">
        <v>0</v>
      </c>
      <c r="G618" s="58">
        <v>5</v>
      </c>
      <c r="H618" s="58">
        <v>28.94</v>
      </c>
      <c r="I618" s="58">
        <v>777</v>
      </c>
      <c r="J618" s="58">
        <v>-28</v>
      </c>
      <c r="K618" s="58">
        <v>-3.4782608695652173</v>
      </c>
      <c r="L618" s="58">
        <v>4500</v>
      </c>
      <c r="M618" s="58">
        <v>1125</v>
      </c>
      <c r="N618" s="58">
        <v>15136.95</v>
      </c>
      <c r="O618" s="58">
        <v>14500</v>
      </c>
      <c r="P618" s="58" t="s">
        <v>29</v>
      </c>
      <c r="Q618" s="58">
        <v>79</v>
      </c>
      <c r="R618" s="58">
        <v>0</v>
      </c>
      <c r="S618" s="58">
        <v>0</v>
      </c>
      <c r="T618" s="58">
        <v>0</v>
      </c>
      <c r="U618" s="58">
        <v>0</v>
      </c>
      <c r="V618" s="58">
        <v>0</v>
      </c>
      <c r="W618" s="58">
        <v>0</v>
      </c>
      <c r="X618" s="58">
        <v>0</v>
      </c>
      <c r="Y618" s="58">
        <v>2250</v>
      </c>
      <c r="Z618" s="58">
        <v>1050</v>
      </c>
      <c r="AA618" s="58">
        <v>15136.95</v>
      </c>
      <c r="AE618" s="57"/>
    </row>
    <row r="619" spans="1:31" x14ac:dyDescent="0.35">
      <c r="A619" s="56" t="s">
        <v>687</v>
      </c>
      <c r="B619" s="58">
        <v>14500</v>
      </c>
      <c r="C619" s="58" t="s">
        <v>28</v>
      </c>
      <c r="D619" s="58">
        <v>0</v>
      </c>
      <c r="E619" s="58">
        <v>0</v>
      </c>
      <c r="F619" s="58">
        <v>0</v>
      </c>
      <c r="G619" s="58">
        <v>0</v>
      </c>
      <c r="H619" s="58">
        <v>0</v>
      </c>
      <c r="I619" s="58">
        <v>0</v>
      </c>
      <c r="J619" s="58">
        <v>0</v>
      </c>
      <c r="K619" s="58">
        <v>0</v>
      </c>
      <c r="L619" s="58">
        <v>900</v>
      </c>
      <c r="M619" s="58">
        <v>0</v>
      </c>
      <c r="N619" s="58">
        <v>15136.95</v>
      </c>
      <c r="O619" s="58">
        <v>0</v>
      </c>
      <c r="P619" s="58">
        <v>0</v>
      </c>
      <c r="Q619" s="58">
        <v>0</v>
      </c>
      <c r="R619" s="58">
        <v>0</v>
      </c>
      <c r="S619" s="58">
        <v>0</v>
      </c>
      <c r="T619" s="58">
        <v>0</v>
      </c>
      <c r="U619" s="58">
        <v>0</v>
      </c>
      <c r="V619" s="58">
        <v>0</v>
      </c>
      <c r="W619" s="58">
        <v>0</v>
      </c>
      <c r="X619" s="58">
        <v>0</v>
      </c>
      <c r="Y619" s="58">
        <v>0</v>
      </c>
      <c r="Z619" s="58">
        <v>0</v>
      </c>
      <c r="AA619" s="58">
        <v>0</v>
      </c>
      <c r="AE619" s="57"/>
    </row>
    <row r="620" spans="1:31" x14ac:dyDescent="0.35">
      <c r="A620" s="56" t="s">
        <v>688</v>
      </c>
      <c r="B620" s="58">
        <v>14550</v>
      </c>
      <c r="C620" s="58" t="s">
        <v>35</v>
      </c>
      <c r="D620" s="58">
        <v>4967</v>
      </c>
      <c r="E620" s="58">
        <v>1459</v>
      </c>
      <c r="F620" s="58">
        <v>41.590649942987454</v>
      </c>
      <c r="G620" s="58">
        <v>11488</v>
      </c>
      <c r="H620" s="58">
        <v>32.520000000000003</v>
      </c>
      <c r="I620" s="58">
        <v>0.7</v>
      </c>
      <c r="J620" s="58">
        <v>-2.1500000000000004</v>
      </c>
      <c r="K620" s="58">
        <v>-75.438596491228083</v>
      </c>
      <c r="L620" s="58">
        <v>742200</v>
      </c>
      <c r="M620" s="58">
        <v>107625</v>
      </c>
      <c r="N620" s="58">
        <v>15136.95</v>
      </c>
      <c r="O620" s="58">
        <v>14550</v>
      </c>
      <c r="P620" s="58" t="s">
        <v>35</v>
      </c>
      <c r="Q620" s="58">
        <v>144</v>
      </c>
      <c r="R620" s="58">
        <v>-1</v>
      </c>
      <c r="S620" s="58">
        <v>-0.68965517241379315</v>
      </c>
      <c r="T620" s="58">
        <v>8</v>
      </c>
      <c r="U620" s="58">
        <v>0</v>
      </c>
      <c r="V620" s="58">
        <v>595.4</v>
      </c>
      <c r="W620" s="58">
        <v>55.799999999999955</v>
      </c>
      <c r="X620" s="58">
        <v>10.340993328391392</v>
      </c>
      <c r="Y620" s="58">
        <v>23775</v>
      </c>
      <c r="Z620" s="58">
        <v>21150</v>
      </c>
      <c r="AA620" s="58">
        <v>15136.95</v>
      </c>
      <c r="AE620" s="57"/>
    </row>
    <row r="621" spans="1:31" x14ac:dyDescent="0.35">
      <c r="A621" s="56" t="s">
        <v>689</v>
      </c>
      <c r="B621" s="58">
        <v>14550</v>
      </c>
      <c r="C621" s="58" t="s">
        <v>34</v>
      </c>
      <c r="D621" s="58">
        <v>273</v>
      </c>
      <c r="E621" s="58">
        <v>67</v>
      </c>
      <c r="F621" s="58">
        <v>32.524271844660191</v>
      </c>
      <c r="G621" s="58">
        <v>591</v>
      </c>
      <c r="H621" s="58">
        <v>24.61</v>
      </c>
      <c r="I621" s="58">
        <v>27.45</v>
      </c>
      <c r="J621" s="58">
        <v>-6.3499999999999979</v>
      </c>
      <c r="K621" s="58">
        <v>-18.786982248520705</v>
      </c>
      <c r="L621" s="58">
        <v>21225</v>
      </c>
      <c r="M621" s="58">
        <v>18900</v>
      </c>
      <c r="N621" s="58">
        <v>15136.95</v>
      </c>
      <c r="O621" s="58">
        <v>14550</v>
      </c>
      <c r="P621" s="58" t="s">
        <v>34</v>
      </c>
      <c r="Q621" s="58">
        <v>40</v>
      </c>
      <c r="R621" s="58">
        <v>1</v>
      </c>
      <c r="S621" s="58">
        <v>2.5641025641025643</v>
      </c>
      <c r="T621" s="58">
        <v>5</v>
      </c>
      <c r="U621" s="58">
        <v>0</v>
      </c>
      <c r="V621" s="58">
        <v>609.95000000000005</v>
      </c>
      <c r="W621" s="58">
        <v>94.350000000000023</v>
      </c>
      <c r="X621" s="58">
        <v>18.299069045771923</v>
      </c>
      <c r="Y621" s="58">
        <v>21225</v>
      </c>
      <c r="Z621" s="58">
        <v>13125</v>
      </c>
      <c r="AA621" s="58">
        <v>15136.95</v>
      </c>
      <c r="AE621" s="57"/>
    </row>
    <row r="622" spans="1:31" x14ac:dyDescent="0.35">
      <c r="A622" s="56" t="s">
        <v>690</v>
      </c>
      <c r="B622" s="58">
        <v>14550</v>
      </c>
      <c r="C622" s="58" t="s">
        <v>36</v>
      </c>
      <c r="D622" s="58">
        <v>0</v>
      </c>
      <c r="E622" s="58">
        <v>0</v>
      </c>
      <c r="F622" s="58">
        <v>0</v>
      </c>
      <c r="G622" s="58">
        <v>0</v>
      </c>
      <c r="H622" s="58">
        <v>0</v>
      </c>
      <c r="I622" s="58">
        <v>0</v>
      </c>
      <c r="J622" s="58">
        <v>0</v>
      </c>
      <c r="K622" s="58">
        <v>0</v>
      </c>
      <c r="L622" s="58">
        <v>375</v>
      </c>
      <c r="M622" s="58">
        <v>4875</v>
      </c>
      <c r="N622" s="58">
        <v>15136.95</v>
      </c>
      <c r="O622" s="58">
        <v>14550</v>
      </c>
      <c r="P622" s="58" t="s">
        <v>36</v>
      </c>
      <c r="Q622" s="58">
        <v>0</v>
      </c>
      <c r="R622" s="58">
        <v>0</v>
      </c>
      <c r="S622" s="58">
        <v>0</v>
      </c>
      <c r="T622" s="58">
        <v>0</v>
      </c>
      <c r="U622" s="58">
        <v>0</v>
      </c>
      <c r="V622" s="58">
        <v>0</v>
      </c>
      <c r="W622" s="58">
        <v>0</v>
      </c>
      <c r="X622" s="58">
        <v>0</v>
      </c>
      <c r="Y622" s="58">
        <v>4875</v>
      </c>
      <c r="Z622" s="58">
        <v>4875</v>
      </c>
      <c r="AA622" s="58">
        <v>15136.95</v>
      </c>
      <c r="AE622" s="57"/>
    </row>
    <row r="623" spans="1:31" x14ac:dyDescent="0.35">
      <c r="A623" s="56" t="s">
        <v>691</v>
      </c>
      <c r="B623" s="58">
        <v>14550</v>
      </c>
      <c r="C623" s="58" t="s">
        <v>37</v>
      </c>
      <c r="D623" s="58">
        <v>0</v>
      </c>
      <c r="E623" s="58">
        <v>0</v>
      </c>
      <c r="F623" s="58">
        <v>0</v>
      </c>
      <c r="G623" s="58">
        <v>0</v>
      </c>
      <c r="H623" s="58">
        <v>0</v>
      </c>
      <c r="I623" s="58">
        <v>0</v>
      </c>
      <c r="J623" s="58">
        <v>0</v>
      </c>
      <c r="K623" s="58">
        <v>0</v>
      </c>
      <c r="L623" s="58">
        <v>0</v>
      </c>
      <c r="M623" s="58">
        <v>0</v>
      </c>
      <c r="N623" s="58">
        <v>15136.95</v>
      </c>
      <c r="O623" s="58">
        <v>14550</v>
      </c>
      <c r="P623" s="58" t="s">
        <v>37</v>
      </c>
      <c r="Q623" s="58">
        <v>0</v>
      </c>
      <c r="R623" s="58">
        <v>0</v>
      </c>
      <c r="S623" s="58">
        <v>0</v>
      </c>
      <c r="T623" s="58">
        <v>0</v>
      </c>
      <c r="U623" s="58">
        <v>0</v>
      </c>
      <c r="V623" s="58">
        <v>0</v>
      </c>
      <c r="W623" s="58">
        <v>0</v>
      </c>
      <c r="X623" s="58">
        <v>0</v>
      </c>
      <c r="Y623" s="58">
        <v>4875</v>
      </c>
      <c r="Z623" s="58">
        <v>4875</v>
      </c>
      <c r="AA623" s="58">
        <v>15136.95</v>
      </c>
      <c r="AE623" s="57"/>
    </row>
    <row r="624" spans="1:31" x14ac:dyDescent="0.35">
      <c r="A624" s="56" t="s">
        <v>692</v>
      </c>
      <c r="B624" s="58">
        <v>14550</v>
      </c>
      <c r="C624" s="58" t="s">
        <v>38</v>
      </c>
      <c r="D624" s="58">
        <v>0</v>
      </c>
      <c r="E624" s="58">
        <v>0</v>
      </c>
      <c r="F624" s="58">
        <v>0</v>
      </c>
      <c r="G624" s="58">
        <v>0</v>
      </c>
      <c r="H624" s="58">
        <v>0</v>
      </c>
      <c r="I624" s="58">
        <v>0</v>
      </c>
      <c r="J624" s="58">
        <v>0</v>
      </c>
      <c r="K624" s="58">
        <v>0</v>
      </c>
      <c r="L624" s="58">
        <v>0</v>
      </c>
      <c r="M624" s="58">
        <v>0</v>
      </c>
      <c r="N624" s="58">
        <v>15136.95</v>
      </c>
      <c r="O624" s="58">
        <v>14550</v>
      </c>
      <c r="P624" s="58" t="s">
        <v>38</v>
      </c>
      <c r="Q624" s="58">
        <v>0</v>
      </c>
      <c r="R624" s="58">
        <v>0</v>
      </c>
      <c r="S624" s="58">
        <v>0</v>
      </c>
      <c r="T624" s="58">
        <v>0</v>
      </c>
      <c r="U624" s="58">
        <v>0</v>
      </c>
      <c r="V624" s="58">
        <v>0</v>
      </c>
      <c r="W624" s="58">
        <v>0</v>
      </c>
      <c r="X624" s="58">
        <v>0</v>
      </c>
      <c r="Y624" s="58">
        <v>4875</v>
      </c>
      <c r="Z624" s="58">
        <v>4875</v>
      </c>
      <c r="AA624" s="58">
        <v>15136.95</v>
      </c>
      <c r="AE624" s="57"/>
    </row>
    <row r="625" spans="1:31" x14ac:dyDescent="0.35">
      <c r="A625" s="56" t="s">
        <v>693</v>
      </c>
      <c r="B625" s="58">
        <v>14550</v>
      </c>
      <c r="C625" s="58" t="s">
        <v>26</v>
      </c>
      <c r="D625" s="58">
        <v>22</v>
      </c>
      <c r="E625" s="58">
        <v>0</v>
      </c>
      <c r="F625" s="58">
        <v>0</v>
      </c>
      <c r="G625" s="58">
        <v>2</v>
      </c>
      <c r="H625" s="58">
        <v>26.25</v>
      </c>
      <c r="I625" s="58">
        <v>229.05</v>
      </c>
      <c r="J625" s="58">
        <v>-22.449999999999989</v>
      </c>
      <c r="K625" s="58">
        <v>-8.9264413518886627</v>
      </c>
      <c r="L625" s="58">
        <v>2700</v>
      </c>
      <c r="M625" s="58">
        <v>2850</v>
      </c>
      <c r="N625" s="58">
        <v>15136.95</v>
      </c>
      <c r="O625" s="58">
        <v>14550</v>
      </c>
      <c r="P625" s="58" t="s">
        <v>26</v>
      </c>
      <c r="Q625" s="58">
        <v>4</v>
      </c>
      <c r="R625" s="58">
        <v>0</v>
      </c>
      <c r="S625" s="58">
        <v>0</v>
      </c>
      <c r="T625" s="58">
        <v>0</v>
      </c>
      <c r="U625" s="58">
        <v>0</v>
      </c>
      <c r="V625" s="58">
        <v>0</v>
      </c>
      <c r="W625" s="58">
        <v>0</v>
      </c>
      <c r="X625" s="58">
        <v>0</v>
      </c>
      <c r="Y625" s="58">
        <v>2850</v>
      </c>
      <c r="Z625" s="58">
        <v>12675</v>
      </c>
      <c r="AA625" s="58">
        <v>15136.95</v>
      </c>
      <c r="AE625" s="57"/>
    </row>
    <row r="626" spans="1:31" x14ac:dyDescent="0.35">
      <c r="A626" s="56" t="s">
        <v>694</v>
      </c>
      <c r="B626" s="58">
        <v>0</v>
      </c>
      <c r="C626" s="58">
        <v>0</v>
      </c>
      <c r="D626" s="58">
        <v>0</v>
      </c>
      <c r="E626" s="58">
        <v>0</v>
      </c>
      <c r="F626" s="58">
        <v>0</v>
      </c>
      <c r="G626" s="58">
        <v>0</v>
      </c>
      <c r="H626" s="58">
        <v>0</v>
      </c>
      <c r="I626" s="58">
        <v>0</v>
      </c>
      <c r="J626" s="58">
        <v>0</v>
      </c>
      <c r="K626" s="58">
        <v>0</v>
      </c>
      <c r="L626" s="58">
        <v>0</v>
      </c>
      <c r="M626" s="58">
        <v>0</v>
      </c>
      <c r="N626" s="58">
        <v>0</v>
      </c>
      <c r="O626" s="58">
        <v>14550</v>
      </c>
      <c r="P626" s="58" t="s">
        <v>67</v>
      </c>
      <c r="Q626" s="58">
        <v>0</v>
      </c>
      <c r="R626" s="58">
        <v>0</v>
      </c>
      <c r="S626" s="58">
        <v>0</v>
      </c>
      <c r="T626" s="58">
        <v>0</v>
      </c>
      <c r="U626" s="58">
        <v>0</v>
      </c>
      <c r="V626" s="58">
        <v>0</v>
      </c>
      <c r="W626" s="58">
        <v>0</v>
      </c>
      <c r="X626" s="58">
        <v>0</v>
      </c>
      <c r="Y626" s="58">
        <v>0</v>
      </c>
      <c r="Z626" s="58">
        <v>4875</v>
      </c>
      <c r="AA626" s="58">
        <v>15136.95</v>
      </c>
      <c r="AE626" s="57"/>
    </row>
    <row r="627" spans="1:31" x14ac:dyDescent="0.35">
      <c r="A627" s="56" t="s">
        <v>695</v>
      </c>
      <c r="B627" s="58">
        <v>14550</v>
      </c>
      <c r="C627" s="58" t="s">
        <v>2074</v>
      </c>
      <c r="D627" s="58">
        <v>0</v>
      </c>
      <c r="E627" s="58">
        <v>0</v>
      </c>
      <c r="F627" s="58">
        <v>0</v>
      </c>
      <c r="G627" s="58">
        <v>0</v>
      </c>
      <c r="H627" s="58">
        <v>0</v>
      </c>
      <c r="I627" s="58">
        <v>0</v>
      </c>
      <c r="J627" s="58">
        <v>0</v>
      </c>
      <c r="K627" s="58">
        <v>0</v>
      </c>
      <c r="L627" s="58">
        <v>0</v>
      </c>
      <c r="M627" s="58">
        <v>4875</v>
      </c>
      <c r="N627" s="58">
        <v>15136.95</v>
      </c>
      <c r="O627" s="58">
        <v>14550</v>
      </c>
      <c r="P627" s="58" t="s">
        <v>2074</v>
      </c>
      <c r="Q627" s="58">
        <v>0</v>
      </c>
      <c r="R627" s="58">
        <v>0</v>
      </c>
      <c r="S627" s="58">
        <v>0</v>
      </c>
      <c r="T627" s="58">
        <v>0</v>
      </c>
      <c r="U627" s="58">
        <v>0</v>
      </c>
      <c r="V627" s="58">
        <v>0</v>
      </c>
      <c r="W627" s="58">
        <v>0</v>
      </c>
      <c r="X627" s="58">
        <v>0</v>
      </c>
      <c r="Y627" s="58">
        <v>0</v>
      </c>
      <c r="Z627" s="58">
        <v>4875</v>
      </c>
      <c r="AA627" s="58">
        <v>15136.95</v>
      </c>
      <c r="AE627" s="57"/>
    </row>
    <row r="628" spans="1:31" x14ac:dyDescent="0.35">
      <c r="A628" s="56" t="s">
        <v>696</v>
      </c>
      <c r="B628" s="58">
        <v>14550</v>
      </c>
      <c r="C628" s="58" t="s">
        <v>2071</v>
      </c>
      <c r="D628" s="58">
        <v>0</v>
      </c>
      <c r="E628" s="58">
        <v>0</v>
      </c>
      <c r="F628" s="58">
        <v>0</v>
      </c>
      <c r="G628" s="58">
        <v>0</v>
      </c>
      <c r="H628" s="58">
        <v>0</v>
      </c>
      <c r="I628" s="58">
        <v>0</v>
      </c>
      <c r="J628" s="58">
        <v>0</v>
      </c>
      <c r="K628" s="58">
        <v>0</v>
      </c>
      <c r="L628" s="58">
        <v>0</v>
      </c>
      <c r="M628" s="58">
        <v>0</v>
      </c>
      <c r="N628" s="58">
        <v>15136.95</v>
      </c>
      <c r="O628" s="58">
        <v>14550</v>
      </c>
      <c r="P628" s="58" t="s">
        <v>2071</v>
      </c>
      <c r="Q628" s="58">
        <v>0</v>
      </c>
      <c r="R628" s="58">
        <v>0</v>
      </c>
      <c r="S628" s="58">
        <v>0</v>
      </c>
      <c r="T628" s="58">
        <v>0</v>
      </c>
      <c r="U628" s="58">
        <v>0</v>
      </c>
      <c r="V628" s="58">
        <v>0</v>
      </c>
      <c r="W628" s="58">
        <v>0</v>
      </c>
      <c r="X628" s="58">
        <v>0</v>
      </c>
      <c r="Y628" s="58">
        <v>0</v>
      </c>
      <c r="Z628" s="58">
        <v>4875</v>
      </c>
      <c r="AA628" s="58">
        <v>15136.95</v>
      </c>
      <c r="AE628" s="57"/>
    </row>
    <row r="629" spans="1:31" x14ac:dyDescent="0.35">
      <c r="A629" s="56" t="s">
        <v>697</v>
      </c>
      <c r="B629" s="58">
        <v>14550</v>
      </c>
      <c r="C629" s="58" t="s">
        <v>33</v>
      </c>
      <c r="D629" s="58">
        <v>689</v>
      </c>
      <c r="E629" s="58">
        <v>17</v>
      </c>
      <c r="F629" s="58">
        <v>2.5297619047619047</v>
      </c>
      <c r="G629" s="58">
        <v>290</v>
      </c>
      <c r="H629" s="58">
        <v>24.71</v>
      </c>
      <c r="I629" s="58">
        <v>73.45</v>
      </c>
      <c r="J629" s="58">
        <v>-12.349999999999994</v>
      </c>
      <c r="K629" s="58">
        <v>-14.393939393939387</v>
      </c>
      <c r="L629" s="58">
        <v>9150</v>
      </c>
      <c r="M629" s="58">
        <v>14025</v>
      </c>
      <c r="N629" s="58">
        <v>15136.95</v>
      </c>
      <c r="O629" s="58">
        <v>14550</v>
      </c>
      <c r="P629" s="58" t="s">
        <v>33</v>
      </c>
      <c r="Q629" s="58">
        <v>263</v>
      </c>
      <c r="R629" s="58">
        <v>0</v>
      </c>
      <c r="S629" s="58">
        <v>0</v>
      </c>
      <c r="T629" s="58">
        <v>0</v>
      </c>
      <c r="U629" s="58">
        <v>0</v>
      </c>
      <c r="V629" s="58">
        <v>0</v>
      </c>
      <c r="W629" s="58">
        <v>0</v>
      </c>
      <c r="X629" s="58">
        <v>0</v>
      </c>
      <c r="Y629" s="58">
        <v>23625</v>
      </c>
      <c r="Z629" s="58">
        <v>15600</v>
      </c>
      <c r="AA629" s="58">
        <v>15136.95</v>
      </c>
      <c r="AE629" s="57"/>
    </row>
    <row r="630" spans="1:31" x14ac:dyDescent="0.35">
      <c r="A630" s="56" t="s">
        <v>698</v>
      </c>
      <c r="B630" s="58">
        <v>14600</v>
      </c>
      <c r="C630" s="58" t="s">
        <v>34</v>
      </c>
      <c r="D630" s="58">
        <v>3586</v>
      </c>
      <c r="E630" s="58">
        <v>352</v>
      </c>
      <c r="F630" s="58">
        <v>10.884353741496598</v>
      </c>
      <c r="G630" s="58">
        <v>7265</v>
      </c>
      <c r="H630" s="58">
        <v>23.97</v>
      </c>
      <c r="I630" s="58">
        <v>31.95</v>
      </c>
      <c r="J630" s="58">
        <v>-6.9000000000000021</v>
      </c>
      <c r="K630" s="58">
        <v>-17.760617760617766</v>
      </c>
      <c r="L630" s="58">
        <v>44550</v>
      </c>
      <c r="M630" s="58">
        <v>45675</v>
      </c>
      <c r="N630" s="58">
        <v>15136.95</v>
      </c>
      <c r="O630" s="58">
        <v>14600</v>
      </c>
      <c r="P630" s="58" t="s">
        <v>34</v>
      </c>
      <c r="Q630" s="58">
        <v>364</v>
      </c>
      <c r="R630" s="58">
        <v>245</v>
      </c>
      <c r="S630" s="58">
        <v>205.88235294117649</v>
      </c>
      <c r="T630" s="58">
        <v>585</v>
      </c>
      <c r="U630" s="58">
        <v>13.74</v>
      </c>
      <c r="V630" s="58">
        <v>555.04999999999995</v>
      </c>
      <c r="W630" s="58">
        <v>11</v>
      </c>
      <c r="X630" s="58">
        <v>2.0218729896149252</v>
      </c>
      <c r="Y630" s="58">
        <v>18450</v>
      </c>
      <c r="Z630" s="58">
        <v>11775</v>
      </c>
      <c r="AA630" s="58">
        <v>15136.95</v>
      </c>
      <c r="AE630" s="57"/>
    </row>
    <row r="631" spans="1:31" x14ac:dyDescent="0.35">
      <c r="A631" s="56" t="s">
        <v>699</v>
      </c>
      <c r="B631" s="58">
        <v>14600</v>
      </c>
      <c r="C631" s="58" t="s">
        <v>33</v>
      </c>
      <c r="D631" s="58">
        <v>9666</v>
      </c>
      <c r="E631" s="58">
        <v>379</v>
      </c>
      <c r="F631" s="58">
        <v>4.0809734036825667</v>
      </c>
      <c r="G631" s="58">
        <v>3269</v>
      </c>
      <c r="H631" s="58">
        <v>24.34</v>
      </c>
      <c r="I631" s="58">
        <v>81.150000000000006</v>
      </c>
      <c r="J631" s="58">
        <v>-12.449999999999989</v>
      </c>
      <c r="K631" s="58">
        <v>-13.30128205128204</v>
      </c>
      <c r="L631" s="58">
        <v>60675</v>
      </c>
      <c r="M631" s="58">
        <v>53025</v>
      </c>
      <c r="N631" s="58">
        <v>15136.95</v>
      </c>
      <c r="O631" s="58">
        <v>14600</v>
      </c>
      <c r="P631" s="58" t="s">
        <v>33</v>
      </c>
      <c r="Q631" s="58">
        <v>4504</v>
      </c>
      <c r="R631" s="58">
        <v>-18</v>
      </c>
      <c r="S631" s="58">
        <v>-0.39805395842547547</v>
      </c>
      <c r="T631" s="58">
        <v>61</v>
      </c>
      <c r="U631" s="58">
        <v>18.27</v>
      </c>
      <c r="V631" s="58">
        <v>635.25</v>
      </c>
      <c r="W631" s="58">
        <v>25.350000000000023</v>
      </c>
      <c r="X631" s="58">
        <v>4.1564190850959211</v>
      </c>
      <c r="Y631" s="58">
        <v>29250</v>
      </c>
      <c r="Z631" s="58">
        <v>22425</v>
      </c>
      <c r="AA631" s="58">
        <v>15136.95</v>
      </c>
      <c r="AE631" s="57"/>
    </row>
    <row r="632" spans="1:31" x14ac:dyDescent="0.35">
      <c r="A632" s="56" t="s">
        <v>700</v>
      </c>
      <c r="B632" s="58">
        <v>14600</v>
      </c>
      <c r="C632" s="58" t="s">
        <v>37</v>
      </c>
      <c r="D632" s="58">
        <v>0</v>
      </c>
      <c r="E632" s="58">
        <v>0</v>
      </c>
      <c r="F632" s="58">
        <v>0</v>
      </c>
      <c r="G632" s="58">
        <v>0</v>
      </c>
      <c r="H632" s="58">
        <v>0</v>
      </c>
      <c r="I632" s="58">
        <v>0</v>
      </c>
      <c r="J632" s="58">
        <v>0</v>
      </c>
      <c r="K632" s="58">
        <v>0</v>
      </c>
      <c r="L632" s="58">
        <v>1350</v>
      </c>
      <c r="M632" s="58">
        <v>1350</v>
      </c>
      <c r="N632" s="58">
        <v>15136.95</v>
      </c>
      <c r="O632" s="58">
        <v>14600</v>
      </c>
      <c r="P632" s="58" t="s">
        <v>37</v>
      </c>
      <c r="Q632" s="58">
        <v>0</v>
      </c>
      <c r="R632" s="58">
        <v>0</v>
      </c>
      <c r="S632" s="58">
        <v>0</v>
      </c>
      <c r="T632" s="58">
        <v>0</v>
      </c>
      <c r="U632" s="58">
        <v>0</v>
      </c>
      <c r="V632" s="58">
        <v>0</v>
      </c>
      <c r="W632" s="58">
        <v>0</v>
      </c>
      <c r="X632" s="58">
        <v>0</v>
      </c>
      <c r="Y632" s="58">
        <v>4875</v>
      </c>
      <c r="Z632" s="58">
        <v>4875</v>
      </c>
      <c r="AA632" s="58">
        <v>15136.95</v>
      </c>
      <c r="AE632" s="57"/>
    </row>
    <row r="633" spans="1:31" x14ac:dyDescent="0.35">
      <c r="A633" s="56" t="s">
        <v>701</v>
      </c>
      <c r="B633" s="58">
        <v>14600</v>
      </c>
      <c r="C633" s="58" t="s">
        <v>38</v>
      </c>
      <c r="D633" s="58">
        <v>0</v>
      </c>
      <c r="E633" s="58">
        <v>0</v>
      </c>
      <c r="F633" s="58">
        <v>0</v>
      </c>
      <c r="G633" s="58">
        <v>0</v>
      </c>
      <c r="H633" s="58">
        <v>0</v>
      </c>
      <c r="I633" s="58">
        <v>0</v>
      </c>
      <c r="J633" s="58">
        <v>0</v>
      </c>
      <c r="K633" s="58">
        <v>0</v>
      </c>
      <c r="L633" s="58">
        <v>0</v>
      </c>
      <c r="M633" s="58">
        <v>4875</v>
      </c>
      <c r="N633" s="58">
        <v>15136.95</v>
      </c>
      <c r="O633" s="58">
        <v>14600</v>
      </c>
      <c r="P633" s="58" t="s">
        <v>38</v>
      </c>
      <c r="Q633" s="58">
        <v>0</v>
      </c>
      <c r="R633" s="58">
        <v>0</v>
      </c>
      <c r="S633" s="58">
        <v>0</v>
      </c>
      <c r="T633" s="58">
        <v>0</v>
      </c>
      <c r="U633" s="58">
        <v>0</v>
      </c>
      <c r="V633" s="58">
        <v>0</v>
      </c>
      <c r="W633" s="58">
        <v>0</v>
      </c>
      <c r="X633" s="58">
        <v>0</v>
      </c>
      <c r="Y633" s="58">
        <v>4875</v>
      </c>
      <c r="Z633" s="58">
        <v>4875</v>
      </c>
      <c r="AA633" s="58">
        <v>15136.95</v>
      </c>
      <c r="AE633" s="57"/>
    </row>
    <row r="634" spans="1:31" x14ac:dyDescent="0.35">
      <c r="A634" s="56" t="s">
        <v>702</v>
      </c>
      <c r="B634" s="58">
        <v>14600</v>
      </c>
      <c r="C634" s="58" t="s">
        <v>26</v>
      </c>
      <c r="D634" s="58">
        <v>754</v>
      </c>
      <c r="E634" s="58">
        <v>12</v>
      </c>
      <c r="F634" s="58">
        <v>1.6172506738544474</v>
      </c>
      <c r="G634" s="58">
        <v>133</v>
      </c>
      <c r="H634" s="58">
        <v>25.95</v>
      </c>
      <c r="I634" s="58">
        <v>238.9</v>
      </c>
      <c r="J634" s="58">
        <v>-19.249999999999972</v>
      </c>
      <c r="K634" s="58">
        <v>-7.4569049002517822</v>
      </c>
      <c r="L634" s="58">
        <v>4425</v>
      </c>
      <c r="M634" s="58">
        <v>9375</v>
      </c>
      <c r="N634" s="58">
        <v>15136.95</v>
      </c>
      <c r="O634" s="58">
        <v>14600</v>
      </c>
      <c r="P634" s="58" t="s">
        <v>26</v>
      </c>
      <c r="Q634" s="58">
        <v>337</v>
      </c>
      <c r="R634" s="58">
        <v>0</v>
      </c>
      <c r="S634" s="58">
        <v>0</v>
      </c>
      <c r="T634" s="58">
        <v>7</v>
      </c>
      <c r="U634" s="58">
        <v>18.420000000000002</v>
      </c>
      <c r="V634" s="58">
        <v>829</v>
      </c>
      <c r="W634" s="58">
        <v>41.700000000000045</v>
      </c>
      <c r="X634" s="58">
        <v>5.2965832592404487</v>
      </c>
      <c r="Y634" s="58">
        <v>11775</v>
      </c>
      <c r="Z634" s="58">
        <v>10725</v>
      </c>
      <c r="AA634" s="58">
        <v>15136.95</v>
      </c>
      <c r="AE634" s="57"/>
    </row>
    <row r="635" spans="1:31" x14ac:dyDescent="0.35">
      <c r="A635" s="56" t="s">
        <v>703</v>
      </c>
      <c r="B635" s="58">
        <v>14600</v>
      </c>
      <c r="C635" s="58" t="s">
        <v>67</v>
      </c>
      <c r="D635" s="58">
        <v>660</v>
      </c>
      <c r="E635" s="58">
        <v>0</v>
      </c>
      <c r="F635" s="58">
        <v>0</v>
      </c>
      <c r="G635" s="58">
        <v>0</v>
      </c>
      <c r="H635" s="58">
        <v>0</v>
      </c>
      <c r="I635" s="58">
        <v>0</v>
      </c>
      <c r="J635" s="58">
        <v>0</v>
      </c>
      <c r="K635" s="58">
        <v>0</v>
      </c>
      <c r="L635" s="58">
        <v>0</v>
      </c>
      <c r="M635" s="58">
        <v>0</v>
      </c>
      <c r="N635" s="58">
        <v>15136.95</v>
      </c>
      <c r="O635" s="58">
        <v>14600</v>
      </c>
      <c r="P635" s="58" t="s">
        <v>67</v>
      </c>
      <c r="Q635" s="58">
        <v>661</v>
      </c>
      <c r="R635" s="58">
        <v>0</v>
      </c>
      <c r="S635" s="58">
        <v>0</v>
      </c>
      <c r="T635" s="58">
        <v>0</v>
      </c>
      <c r="U635" s="58">
        <v>0</v>
      </c>
      <c r="V635" s="58">
        <v>0</v>
      </c>
      <c r="W635" s="58">
        <v>0</v>
      </c>
      <c r="X635" s="58">
        <v>0</v>
      </c>
      <c r="Y635" s="58">
        <v>0</v>
      </c>
      <c r="Z635" s="58">
        <v>4875</v>
      </c>
      <c r="AA635" s="58">
        <v>15136.95</v>
      </c>
      <c r="AE635" s="57"/>
    </row>
    <row r="636" spans="1:31" x14ac:dyDescent="0.35">
      <c r="A636" s="56" t="s">
        <v>704</v>
      </c>
      <c r="B636" s="58">
        <v>14600</v>
      </c>
      <c r="C636" s="58" t="s">
        <v>2074</v>
      </c>
      <c r="D636" s="58">
        <v>0</v>
      </c>
      <c r="E636" s="58">
        <v>0</v>
      </c>
      <c r="F636" s="58">
        <v>0</v>
      </c>
      <c r="G636" s="58">
        <v>0</v>
      </c>
      <c r="H636" s="58">
        <v>0</v>
      </c>
      <c r="I636" s="58">
        <v>0</v>
      </c>
      <c r="J636" s="58">
        <v>0</v>
      </c>
      <c r="K636" s="58">
        <v>0</v>
      </c>
      <c r="L636" s="58">
        <v>0</v>
      </c>
      <c r="M636" s="58">
        <v>4875</v>
      </c>
      <c r="N636" s="58">
        <v>15136.95</v>
      </c>
      <c r="O636" s="58">
        <v>14600</v>
      </c>
      <c r="P636" s="58" t="s">
        <v>2074</v>
      </c>
      <c r="Q636" s="58">
        <v>0</v>
      </c>
      <c r="R636" s="58">
        <v>0</v>
      </c>
      <c r="S636" s="58">
        <v>0</v>
      </c>
      <c r="T636" s="58">
        <v>0</v>
      </c>
      <c r="U636" s="58">
        <v>0</v>
      </c>
      <c r="V636" s="58">
        <v>0</v>
      </c>
      <c r="W636" s="58">
        <v>0</v>
      </c>
      <c r="X636" s="58">
        <v>0</v>
      </c>
      <c r="Y636" s="58">
        <v>0</v>
      </c>
      <c r="Z636" s="58">
        <v>4875</v>
      </c>
      <c r="AA636" s="58">
        <v>15136.95</v>
      </c>
      <c r="AE636" s="57"/>
    </row>
    <row r="637" spans="1:31" x14ac:dyDescent="0.35">
      <c r="A637" s="56" t="s">
        <v>705</v>
      </c>
      <c r="B637" s="58">
        <v>14600</v>
      </c>
      <c r="C637" s="58" t="s">
        <v>2071</v>
      </c>
      <c r="D637" s="58">
        <v>37</v>
      </c>
      <c r="E637" s="58">
        <v>0</v>
      </c>
      <c r="F637" s="58">
        <v>0</v>
      </c>
      <c r="G637" s="58">
        <v>2</v>
      </c>
      <c r="H637" s="58">
        <v>24.8</v>
      </c>
      <c r="I637" s="58">
        <v>327.64999999999998</v>
      </c>
      <c r="J637" s="58">
        <v>-12.300000000000011</v>
      </c>
      <c r="K637" s="58">
        <v>-3.618179143991767</v>
      </c>
      <c r="L637" s="58">
        <v>21600</v>
      </c>
      <c r="M637" s="58">
        <v>5550</v>
      </c>
      <c r="N637" s="58">
        <v>15136.95</v>
      </c>
      <c r="O637" s="58">
        <v>14600</v>
      </c>
      <c r="P637" s="58" t="s">
        <v>2071</v>
      </c>
      <c r="Q637" s="58">
        <v>0</v>
      </c>
      <c r="R637" s="58">
        <v>0</v>
      </c>
      <c r="S637" s="58">
        <v>0</v>
      </c>
      <c r="T637" s="58">
        <v>0</v>
      </c>
      <c r="U637" s="58">
        <v>0</v>
      </c>
      <c r="V637" s="58">
        <v>0</v>
      </c>
      <c r="W637" s="58">
        <v>0</v>
      </c>
      <c r="X637" s="58">
        <v>0</v>
      </c>
      <c r="Y637" s="58">
        <v>0</v>
      </c>
      <c r="Z637" s="58">
        <v>4950</v>
      </c>
      <c r="AA637" s="58">
        <v>15136.95</v>
      </c>
      <c r="AE637" s="57"/>
    </row>
    <row r="638" spans="1:31" x14ac:dyDescent="0.35">
      <c r="A638" s="56" t="s">
        <v>706</v>
      </c>
      <c r="B638" s="58">
        <v>14600</v>
      </c>
      <c r="C638" s="58" t="s">
        <v>35</v>
      </c>
      <c r="D638" s="58">
        <v>29355</v>
      </c>
      <c r="E638" s="58">
        <v>11023</v>
      </c>
      <c r="F638" s="58">
        <v>60.12982762382719</v>
      </c>
      <c r="G638" s="58">
        <v>77796</v>
      </c>
      <c r="H638" s="58">
        <v>30.79</v>
      </c>
      <c r="I638" s="58">
        <v>0.85</v>
      </c>
      <c r="J638" s="58">
        <v>-1.9</v>
      </c>
      <c r="K638" s="58">
        <v>-69.090909090909093</v>
      </c>
      <c r="L638" s="58">
        <v>2155875</v>
      </c>
      <c r="M638" s="58">
        <v>275325</v>
      </c>
      <c r="N638" s="58">
        <v>15136.95</v>
      </c>
      <c r="O638" s="58">
        <v>14600</v>
      </c>
      <c r="P638" s="58" t="s">
        <v>35</v>
      </c>
      <c r="Q638" s="58">
        <v>883</v>
      </c>
      <c r="R638" s="58">
        <v>-184</v>
      </c>
      <c r="S638" s="58">
        <v>-17.24461105904405</v>
      </c>
      <c r="T638" s="58">
        <v>551</v>
      </c>
      <c r="U638" s="58">
        <v>0</v>
      </c>
      <c r="V638" s="58">
        <v>525.35</v>
      </c>
      <c r="W638" s="58">
        <v>14.25</v>
      </c>
      <c r="X638" s="58">
        <v>2.7881040892193307</v>
      </c>
      <c r="Y638" s="58">
        <v>27525</v>
      </c>
      <c r="Z638" s="58">
        <v>25950</v>
      </c>
      <c r="AA638" s="58">
        <v>15136.95</v>
      </c>
      <c r="AE638" s="57"/>
    </row>
    <row r="639" spans="1:31" x14ac:dyDescent="0.35">
      <c r="A639" s="56" t="s">
        <v>707</v>
      </c>
      <c r="B639" s="58">
        <v>14600</v>
      </c>
      <c r="C639" s="58" t="s">
        <v>36</v>
      </c>
      <c r="D639" s="58">
        <v>1</v>
      </c>
      <c r="E639" s="58">
        <v>0</v>
      </c>
      <c r="F639" s="58">
        <v>0</v>
      </c>
      <c r="G639" s="58">
        <v>0</v>
      </c>
      <c r="H639" s="58">
        <v>0</v>
      </c>
      <c r="I639" s="58">
        <v>0</v>
      </c>
      <c r="J639" s="58">
        <v>0</v>
      </c>
      <c r="K639" s="58">
        <v>0</v>
      </c>
      <c r="L639" s="58">
        <v>1350</v>
      </c>
      <c r="M639" s="58">
        <v>6525</v>
      </c>
      <c r="N639" s="58">
        <v>15136.95</v>
      </c>
      <c r="O639" s="58">
        <v>14600</v>
      </c>
      <c r="P639" s="58" t="s">
        <v>36</v>
      </c>
      <c r="Q639" s="58">
        <v>0</v>
      </c>
      <c r="R639" s="58">
        <v>0</v>
      </c>
      <c r="S639" s="58">
        <v>0</v>
      </c>
      <c r="T639" s="58">
        <v>0</v>
      </c>
      <c r="U639" s="58">
        <v>0</v>
      </c>
      <c r="V639" s="58">
        <v>0</v>
      </c>
      <c r="W639" s="58">
        <v>0</v>
      </c>
      <c r="X639" s="58">
        <v>0</v>
      </c>
      <c r="Y639" s="58">
        <v>4875</v>
      </c>
      <c r="Z639" s="58">
        <v>5475</v>
      </c>
      <c r="AA639" s="58">
        <v>15136.95</v>
      </c>
      <c r="AE639" s="57"/>
    </row>
    <row r="640" spans="1:31" x14ac:dyDescent="0.35">
      <c r="A640" s="56" t="s">
        <v>708</v>
      </c>
      <c r="B640" s="58">
        <v>14650</v>
      </c>
      <c r="C640" s="58" t="s">
        <v>33</v>
      </c>
      <c r="D640" s="58">
        <v>415</v>
      </c>
      <c r="E640" s="58">
        <v>5</v>
      </c>
      <c r="F640" s="58">
        <v>1.2195121951219512</v>
      </c>
      <c r="G640" s="58">
        <v>196</v>
      </c>
      <c r="H640" s="58">
        <v>24.04</v>
      </c>
      <c r="I640" s="58">
        <v>89.35</v>
      </c>
      <c r="J640" s="58">
        <v>-15.200000000000005</v>
      </c>
      <c r="K640" s="58">
        <v>-14.538498326159734</v>
      </c>
      <c r="L640" s="58">
        <v>14550</v>
      </c>
      <c r="M640" s="58">
        <v>20175</v>
      </c>
      <c r="N640" s="58">
        <v>15136.95</v>
      </c>
      <c r="O640" s="58">
        <v>14650</v>
      </c>
      <c r="P640" s="58" t="s">
        <v>33</v>
      </c>
      <c r="Q640" s="58">
        <v>274</v>
      </c>
      <c r="R640" s="58">
        <v>0</v>
      </c>
      <c r="S640" s="58">
        <v>0</v>
      </c>
      <c r="T640" s="58">
        <v>1</v>
      </c>
      <c r="U640" s="58">
        <v>0</v>
      </c>
      <c r="V640" s="58">
        <v>550</v>
      </c>
      <c r="W640" s="58">
        <v>-33.350000000000023</v>
      </c>
      <c r="X640" s="58">
        <v>-5.7169795148710074</v>
      </c>
      <c r="Y640" s="58">
        <v>24225</v>
      </c>
      <c r="Z640" s="58">
        <v>18750</v>
      </c>
      <c r="AA640" s="58">
        <v>15136.95</v>
      </c>
      <c r="AE640" s="57"/>
    </row>
    <row r="641" spans="1:31" x14ac:dyDescent="0.35">
      <c r="A641" s="56" t="s">
        <v>709</v>
      </c>
      <c r="B641" s="58">
        <v>14650</v>
      </c>
      <c r="C641" s="58" t="s">
        <v>36</v>
      </c>
      <c r="D641" s="58">
        <v>0</v>
      </c>
      <c r="E641" s="58">
        <v>0</v>
      </c>
      <c r="F641" s="58">
        <v>0</v>
      </c>
      <c r="G641" s="58">
        <v>0</v>
      </c>
      <c r="H641" s="58">
        <v>0</v>
      </c>
      <c r="I641" s="58">
        <v>0</v>
      </c>
      <c r="J641" s="58">
        <v>0</v>
      </c>
      <c r="K641" s="58">
        <v>0</v>
      </c>
      <c r="L641" s="58">
        <v>975</v>
      </c>
      <c r="M641" s="58">
        <v>6300</v>
      </c>
      <c r="N641" s="58">
        <v>15136.95</v>
      </c>
      <c r="O641" s="58">
        <v>14650</v>
      </c>
      <c r="P641" s="58" t="s">
        <v>36</v>
      </c>
      <c r="Q641" s="58">
        <v>0</v>
      </c>
      <c r="R641" s="58">
        <v>0</v>
      </c>
      <c r="S641" s="58">
        <v>0</v>
      </c>
      <c r="T641" s="58">
        <v>0</v>
      </c>
      <c r="U641" s="58">
        <v>0</v>
      </c>
      <c r="V641" s="58">
        <v>0</v>
      </c>
      <c r="W641" s="58">
        <v>0</v>
      </c>
      <c r="X641" s="58">
        <v>0</v>
      </c>
      <c r="Y641" s="58">
        <v>4875</v>
      </c>
      <c r="Z641" s="58">
        <v>5475</v>
      </c>
      <c r="AA641" s="58">
        <v>15136.95</v>
      </c>
      <c r="AE641" s="57"/>
    </row>
    <row r="642" spans="1:31" x14ac:dyDescent="0.35">
      <c r="A642" s="56" t="s">
        <v>710</v>
      </c>
      <c r="B642" s="58">
        <v>14650</v>
      </c>
      <c r="C642" s="58" t="s">
        <v>38</v>
      </c>
      <c r="D642" s="58">
        <v>0</v>
      </c>
      <c r="E642" s="58">
        <v>0</v>
      </c>
      <c r="F642" s="58">
        <v>0</v>
      </c>
      <c r="G642" s="58">
        <v>0</v>
      </c>
      <c r="H642" s="58">
        <v>0</v>
      </c>
      <c r="I642" s="58">
        <v>0</v>
      </c>
      <c r="J642" s="58">
        <v>0</v>
      </c>
      <c r="K642" s="58">
        <v>0</v>
      </c>
      <c r="L642" s="58">
        <v>0</v>
      </c>
      <c r="M642" s="58">
        <v>4875</v>
      </c>
      <c r="N642" s="58">
        <v>15136.95</v>
      </c>
      <c r="O642" s="58">
        <v>14650</v>
      </c>
      <c r="P642" s="58" t="s">
        <v>38</v>
      </c>
      <c r="Q642" s="58">
        <v>0</v>
      </c>
      <c r="R642" s="58">
        <v>0</v>
      </c>
      <c r="S642" s="58">
        <v>0</v>
      </c>
      <c r="T642" s="58">
        <v>0</v>
      </c>
      <c r="U642" s="58">
        <v>0</v>
      </c>
      <c r="V642" s="58">
        <v>0</v>
      </c>
      <c r="W642" s="58">
        <v>0</v>
      </c>
      <c r="X642" s="58">
        <v>0</v>
      </c>
      <c r="Y642" s="58">
        <v>0</v>
      </c>
      <c r="Z642" s="58">
        <v>4875</v>
      </c>
      <c r="AA642" s="58">
        <v>15136.95</v>
      </c>
      <c r="AE642" s="57"/>
    </row>
    <row r="643" spans="1:31" x14ac:dyDescent="0.35">
      <c r="A643" s="56" t="s">
        <v>711</v>
      </c>
      <c r="B643" s="58">
        <v>14650</v>
      </c>
      <c r="C643" s="58" t="s">
        <v>26</v>
      </c>
      <c r="D643" s="58">
        <v>29</v>
      </c>
      <c r="E643" s="58">
        <v>0</v>
      </c>
      <c r="F643" s="58">
        <v>0</v>
      </c>
      <c r="G643" s="58">
        <v>3</v>
      </c>
      <c r="H643" s="58">
        <v>25.7</v>
      </c>
      <c r="I643" s="58">
        <v>250</v>
      </c>
      <c r="J643" s="58">
        <v>-10.75</v>
      </c>
      <c r="K643" s="58">
        <v>-4.1227229146692235</v>
      </c>
      <c r="L643" s="58">
        <v>2925</v>
      </c>
      <c r="M643" s="58">
        <v>2850</v>
      </c>
      <c r="N643" s="58">
        <v>15136.95</v>
      </c>
      <c r="O643" s="58">
        <v>14650</v>
      </c>
      <c r="P643" s="58" t="s">
        <v>26</v>
      </c>
      <c r="Q643" s="58">
        <v>6</v>
      </c>
      <c r="R643" s="58">
        <v>0</v>
      </c>
      <c r="S643" s="58">
        <v>0</v>
      </c>
      <c r="T643" s="58">
        <v>0</v>
      </c>
      <c r="U643" s="58">
        <v>0</v>
      </c>
      <c r="V643" s="58">
        <v>0</v>
      </c>
      <c r="W643" s="58">
        <v>0</v>
      </c>
      <c r="X643" s="58">
        <v>0</v>
      </c>
      <c r="Y643" s="58">
        <v>2850</v>
      </c>
      <c r="Z643" s="58">
        <v>12675</v>
      </c>
      <c r="AA643" s="58">
        <v>15136.95</v>
      </c>
      <c r="AE643" s="57"/>
    </row>
    <row r="644" spans="1:31" x14ac:dyDescent="0.35">
      <c r="A644" s="56" t="s">
        <v>712</v>
      </c>
      <c r="B644" s="58">
        <v>0</v>
      </c>
      <c r="C644" s="58">
        <v>0</v>
      </c>
      <c r="D644" s="58">
        <v>0</v>
      </c>
      <c r="E644" s="58">
        <v>0</v>
      </c>
      <c r="F644" s="58">
        <v>0</v>
      </c>
      <c r="G644" s="58">
        <v>0</v>
      </c>
      <c r="H644" s="58">
        <v>0</v>
      </c>
      <c r="I644" s="58">
        <v>0</v>
      </c>
      <c r="J644" s="58">
        <v>0</v>
      </c>
      <c r="K644" s="58">
        <v>0</v>
      </c>
      <c r="L644" s="58">
        <v>0</v>
      </c>
      <c r="M644" s="58">
        <v>0</v>
      </c>
      <c r="N644" s="58">
        <v>0</v>
      </c>
      <c r="O644" s="58">
        <v>14650</v>
      </c>
      <c r="P644" s="58" t="s">
        <v>67</v>
      </c>
      <c r="Q644" s="58">
        <v>0</v>
      </c>
      <c r="R644" s="58">
        <v>0</v>
      </c>
      <c r="S644" s="58">
        <v>0</v>
      </c>
      <c r="T644" s="58">
        <v>0</v>
      </c>
      <c r="U644" s="58">
        <v>0</v>
      </c>
      <c r="V644" s="58">
        <v>0</v>
      </c>
      <c r="W644" s="58">
        <v>0</v>
      </c>
      <c r="X644" s="58">
        <v>0</v>
      </c>
      <c r="Y644" s="58">
        <v>0</v>
      </c>
      <c r="Z644" s="58">
        <v>4875</v>
      </c>
      <c r="AA644" s="58">
        <v>15136.95</v>
      </c>
      <c r="AE644" s="57"/>
    </row>
    <row r="645" spans="1:31" x14ac:dyDescent="0.35">
      <c r="A645" s="56" t="s">
        <v>713</v>
      </c>
      <c r="B645" s="58">
        <v>14650</v>
      </c>
      <c r="C645" s="58" t="s">
        <v>2074</v>
      </c>
      <c r="D645" s="58">
        <v>0</v>
      </c>
      <c r="E645" s="58">
        <v>0</v>
      </c>
      <c r="F645" s="58">
        <v>0</v>
      </c>
      <c r="G645" s="58">
        <v>0</v>
      </c>
      <c r="H645" s="58">
        <v>0</v>
      </c>
      <c r="I645" s="58">
        <v>0</v>
      </c>
      <c r="J645" s="58">
        <v>0</v>
      </c>
      <c r="K645" s="58">
        <v>0</v>
      </c>
      <c r="L645" s="58">
        <v>0</v>
      </c>
      <c r="M645" s="58">
        <v>4875</v>
      </c>
      <c r="N645" s="58">
        <v>15136.95</v>
      </c>
      <c r="O645" s="58">
        <v>14650</v>
      </c>
      <c r="P645" s="58" t="s">
        <v>2074</v>
      </c>
      <c r="Q645" s="58">
        <v>0</v>
      </c>
      <c r="R645" s="58">
        <v>0</v>
      </c>
      <c r="S645" s="58">
        <v>0</v>
      </c>
      <c r="T645" s="58">
        <v>0</v>
      </c>
      <c r="U645" s="58">
        <v>0</v>
      </c>
      <c r="V645" s="58">
        <v>0</v>
      </c>
      <c r="W645" s="58">
        <v>0</v>
      </c>
      <c r="X645" s="58">
        <v>0</v>
      </c>
      <c r="Y645" s="58">
        <v>0</v>
      </c>
      <c r="Z645" s="58">
        <v>4875</v>
      </c>
      <c r="AA645" s="58">
        <v>15136.95</v>
      </c>
      <c r="AE645" s="57"/>
    </row>
    <row r="646" spans="1:31" x14ac:dyDescent="0.35">
      <c r="A646" s="56" t="s">
        <v>714</v>
      </c>
      <c r="B646" s="58">
        <v>14650</v>
      </c>
      <c r="C646" s="58" t="s">
        <v>2071</v>
      </c>
      <c r="D646" s="58">
        <v>0</v>
      </c>
      <c r="E646" s="58">
        <v>0</v>
      </c>
      <c r="F646" s="58">
        <v>0</v>
      </c>
      <c r="G646" s="58">
        <v>0</v>
      </c>
      <c r="H646" s="58">
        <v>0</v>
      </c>
      <c r="I646" s="58">
        <v>0</v>
      </c>
      <c r="J646" s="58">
        <v>0</v>
      </c>
      <c r="K646" s="58">
        <v>0</v>
      </c>
      <c r="L646" s="58">
        <v>0</v>
      </c>
      <c r="M646" s="58">
        <v>0</v>
      </c>
      <c r="N646" s="58">
        <v>15136.95</v>
      </c>
      <c r="O646" s="58">
        <v>14650</v>
      </c>
      <c r="P646" s="58" t="s">
        <v>2071</v>
      </c>
      <c r="Q646" s="58">
        <v>0</v>
      </c>
      <c r="R646" s="58">
        <v>0</v>
      </c>
      <c r="S646" s="58">
        <v>0</v>
      </c>
      <c r="T646" s="58">
        <v>0</v>
      </c>
      <c r="U646" s="58">
        <v>0</v>
      </c>
      <c r="V646" s="58">
        <v>0</v>
      </c>
      <c r="W646" s="58">
        <v>0</v>
      </c>
      <c r="X646" s="58">
        <v>0</v>
      </c>
      <c r="Y646" s="58">
        <v>0</v>
      </c>
      <c r="Z646" s="58">
        <v>4875</v>
      </c>
      <c r="AA646" s="58">
        <v>15136.95</v>
      </c>
      <c r="AE646" s="57"/>
    </row>
    <row r="647" spans="1:31" x14ac:dyDescent="0.35">
      <c r="A647" s="56" t="s">
        <v>715</v>
      </c>
      <c r="B647" s="58">
        <v>14650</v>
      </c>
      <c r="C647" s="58" t="s">
        <v>35</v>
      </c>
      <c r="D647" s="58">
        <v>13181</v>
      </c>
      <c r="E647" s="58">
        <v>2758</v>
      </c>
      <c r="F647" s="58">
        <v>26.4607118871726</v>
      </c>
      <c r="G647" s="58">
        <v>37972</v>
      </c>
      <c r="H647" s="58">
        <v>28.89</v>
      </c>
      <c r="I647" s="58">
        <v>0.95</v>
      </c>
      <c r="J647" s="58">
        <v>-2.3499999999999996</v>
      </c>
      <c r="K647" s="58">
        <v>-71.212121212121204</v>
      </c>
      <c r="L647" s="58">
        <v>1375125</v>
      </c>
      <c r="M647" s="58">
        <v>205575</v>
      </c>
      <c r="N647" s="58">
        <v>15136.95</v>
      </c>
      <c r="O647" s="58">
        <v>14650</v>
      </c>
      <c r="P647" s="58" t="s">
        <v>35</v>
      </c>
      <c r="Q647" s="58">
        <v>203</v>
      </c>
      <c r="R647" s="58">
        <v>5</v>
      </c>
      <c r="S647" s="58">
        <v>2.5252525252525251</v>
      </c>
      <c r="T647" s="58">
        <v>49</v>
      </c>
      <c r="U647" s="58">
        <v>0</v>
      </c>
      <c r="V647" s="58">
        <v>490</v>
      </c>
      <c r="W647" s="58">
        <v>46</v>
      </c>
      <c r="X647" s="58">
        <v>10.36036036036036</v>
      </c>
      <c r="Y647" s="58">
        <v>26175</v>
      </c>
      <c r="Z647" s="58">
        <v>25800</v>
      </c>
      <c r="AA647" s="58">
        <v>15136.95</v>
      </c>
      <c r="AE647" s="57"/>
    </row>
    <row r="648" spans="1:31" x14ac:dyDescent="0.35">
      <c r="A648" s="56" t="s">
        <v>716</v>
      </c>
      <c r="B648" s="58">
        <v>14650</v>
      </c>
      <c r="C648" s="58" t="s">
        <v>34</v>
      </c>
      <c r="D648" s="58">
        <v>429</v>
      </c>
      <c r="E648" s="58">
        <v>49</v>
      </c>
      <c r="F648" s="58">
        <v>12.894736842105264</v>
      </c>
      <c r="G648" s="58">
        <v>640</v>
      </c>
      <c r="H648" s="58">
        <v>23.56</v>
      </c>
      <c r="I648" s="58">
        <v>37.299999999999997</v>
      </c>
      <c r="J648" s="58">
        <v>-8.5</v>
      </c>
      <c r="K648" s="58">
        <v>-18.558951965065503</v>
      </c>
      <c r="L648" s="58">
        <v>22125</v>
      </c>
      <c r="M648" s="58">
        <v>24600</v>
      </c>
      <c r="N648" s="58">
        <v>15136.95</v>
      </c>
      <c r="O648" s="58">
        <v>14650</v>
      </c>
      <c r="P648" s="58" t="s">
        <v>34</v>
      </c>
      <c r="Q648" s="58">
        <v>17</v>
      </c>
      <c r="R648" s="58">
        <v>0</v>
      </c>
      <c r="S648" s="58">
        <v>0</v>
      </c>
      <c r="T648" s="58">
        <v>4</v>
      </c>
      <c r="U648" s="58">
        <v>16.95</v>
      </c>
      <c r="V648" s="58">
        <v>533.5</v>
      </c>
      <c r="W648" s="58">
        <v>74.699999999999989</v>
      </c>
      <c r="X648" s="58">
        <v>16.281604184829991</v>
      </c>
      <c r="Y648" s="58">
        <v>16125</v>
      </c>
      <c r="Z648" s="58">
        <v>12750</v>
      </c>
      <c r="AA648" s="58">
        <v>15136.95</v>
      </c>
      <c r="AE648" s="57"/>
    </row>
    <row r="649" spans="1:31" x14ac:dyDescent="0.35">
      <c r="A649" s="56" t="s">
        <v>717</v>
      </c>
      <c r="B649" s="58">
        <v>14650</v>
      </c>
      <c r="C649" s="58" t="s">
        <v>37</v>
      </c>
      <c r="D649" s="58">
        <v>0</v>
      </c>
      <c r="E649" s="58">
        <v>0</v>
      </c>
      <c r="F649" s="58">
        <v>0</v>
      </c>
      <c r="G649" s="58">
        <v>0</v>
      </c>
      <c r="H649" s="58">
        <v>0</v>
      </c>
      <c r="I649" s="58">
        <v>0</v>
      </c>
      <c r="J649" s="58">
        <v>0</v>
      </c>
      <c r="K649" s="58">
        <v>0</v>
      </c>
      <c r="L649" s="58">
        <v>0</v>
      </c>
      <c r="M649" s="58">
        <v>4875</v>
      </c>
      <c r="N649" s="58">
        <v>15136.95</v>
      </c>
      <c r="O649" s="58">
        <v>14650</v>
      </c>
      <c r="P649" s="58" t="s">
        <v>37</v>
      </c>
      <c r="Q649" s="58">
        <v>0</v>
      </c>
      <c r="R649" s="58">
        <v>0</v>
      </c>
      <c r="S649" s="58">
        <v>0</v>
      </c>
      <c r="T649" s="58">
        <v>0</v>
      </c>
      <c r="U649" s="58">
        <v>0</v>
      </c>
      <c r="V649" s="58">
        <v>0</v>
      </c>
      <c r="W649" s="58">
        <v>0</v>
      </c>
      <c r="X649" s="58">
        <v>0</v>
      </c>
      <c r="Y649" s="58">
        <v>4875</v>
      </c>
      <c r="Z649" s="58">
        <v>4875</v>
      </c>
      <c r="AA649" s="58">
        <v>15136.95</v>
      </c>
      <c r="AE649" s="57"/>
    </row>
    <row r="650" spans="1:31" x14ac:dyDescent="0.35">
      <c r="A650" s="56" t="s">
        <v>718</v>
      </c>
      <c r="B650" s="58">
        <v>14700</v>
      </c>
      <c r="C650" s="58" t="s">
        <v>36</v>
      </c>
      <c r="D650" s="58">
        <v>0</v>
      </c>
      <c r="E650" s="58">
        <v>0</v>
      </c>
      <c r="F650" s="58">
        <v>0</v>
      </c>
      <c r="G650" s="58">
        <v>0</v>
      </c>
      <c r="H650" s="58">
        <v>0</v>
      </c>
      <c r="I650" s="58">
        <v>0</v>
      </c>
      <c r="J650" s="58">
        <v>0</v>
      </c>
      <c r="K650" s="58">
        <v>0</v>
      </c>
      <c r="L650" s="58">
        <v>1725</v>
      </c>
      <c r="M650" s="58">
        <v>6075</v>
      </c>
      <c r="N650" s="58">
        <v>15136.95</v>
      </c>
      <c r="O650" s="58">
        <v>14700</v>
      </c>
      <c r="P650" s="58" t="s">
        <v>36</v>
      </c>
      <c r="Q650" s="58">
        <v>0</v>
      </c>
      <c r="R650" s="58">
        <v>0</v>
      </c>
      <c r="S650" s="58">
        <v>0</v>
      </c>
      <c r="T650" s="58">
        <v>0</v>
      </c>
      <c r="U650" s="58">
        <v>0</v>
      </c>
      <c r="V650" s="58">
        <v>0</v>
      </c>
      <c r="W650" s="58">
        <v>0</v>
      </c>
      <c r="X650" s="58">
        <v>0</v>
      </c>
      <c r="Y650" s="58">
        <v>4875</v>
      </c>
      <c r="Z650" s="58">
        <v>5400</v>
      </c>
      <c r="AA650" s="58">
        <v>15136.95</v>
      </c>
      <c r="AE650" s="57"/>
    </row>
    <row r="651" spans="1:31" x14ac:dyDescent="0.35">
      <c r="A651" s="56" t="s">
        <v>719</v>
      </c>
      <c r="B651" s="58">
        <v>14700</v>
      </c>
      <c r="C651" s="58" t="s">
        <v>2074</v>
      </c>
      <c r="D651" s="58">
        <v>0</v>
      </c>
      <c r="E651" s="58">
        <v>0</v>
      </c>
      <c r="F651" s="58">
        <v>0</v>
      </c>
      <c r="G651" s="58">
        <v>0</v>
      </c>
      <c r="H651" s="58">
        <v>0</v>
      </c>
      <c r="I651" s="58">
        <v>0</v>
      </c>
      <c r="J651" s="58">
        <v>0</v>
      </c>
      <c r="K651" s="58">
        <v>0</v>
      </c>
      <c r="L651" s="58">
        <v>0</v>
      </c>
      <c r="M651" s="58">
        <v>4875</v>
      </c>
      <c r="N651" s="58">
        <v>15136.95</v>
      </c>
      <c r="O651" s="58">
        <v>14700</v>
      </c>
      <c r="P651" s="58" t="s">
        <v>2074</v>
      </c>
      <c r="Q651" s="58">
        <v>0</v>
      </c>
      <c r="R651" s="58">
        <v>0</v>
      </c>
      <c r="S651" s="58">
        <v>0</v>
      </c>
      <c r="T651" s="58">
        <v>0</v>
      </c>
      <c r="U651" s="58">
        <v>0</v>
      </c>
      <c r="V651" s="58">
        <v>0</v>
      </c>
      <c r="W651" s="58">
        <v>0</v>
      </c>
      <c r="X651" s="58">
        <v>0</v>
      </c>
      <c r="Y651" s="58">
        <v>0</v>
      </c>
      <c r="Z651" s="58">
        <v>4875</v>
      </c>
      <c r="AA651" s="58">
        <v>15136.95</v>
      </c>
      <c r="AE651" s="57"/>
    </row>
    <row r="652" spans="1:31" x14ac:dyDescent="0.35">
      <c r="A652" s="56" t="s">
        <v>720</v>
      </c>
      <c r="B652" s="58">
        <v>14700</v>
      </c>
      <c r="C652" s="58" t="s">
        <v>38</v>
      </c>
      <c r="D652" s="58">
        <v>0</v>
      </c>
      <c r="E652" s="58">
        <v>0</v>
      </c>
      <c r="F652" s="58">
        <v>0</v>
      </c>
      <c r="G652" s="58">
        <v>0</v>
      </c>
      <c r="H652" s="58">
        <v>0</v>
      </c>
      <c r="I652" s="58">
        <v>0</v>
      </c>
      <c r="J652" s="58">
        <v>0</v>
      </c>
      <c r="K652" s="58">
        <v>0</v>
      </c>
      <c r="L652" s="58">
        <v>0</v>
      </c>
      <c r="M652" s="58">
        <v>4875</v>
      </c>
      <c r="N652" s="58">
        <v>15136.95</v>
      </c>
      <c r="O652" s="58">
        <v>14700</v>
      </c>
      <c r="P652" s="58" t="s">
        <v>38</v>
      </c>
      <c r="Q652" s="58">
        <v>0</v>
      </c>
      <c r="R652" s="58">
        <v>0</v>
      </c>
      <c r="S652" s="58">
        <v>0</v>
      </c>
      <c r="T652" s="58">
        <v>0</v>
      </c>
      <c r="U652" s="58">
        <v>0</v>
      </c>
      <c r="V652" s="58">
        <v>0</v>
      </c>
      <c r="W652" s="58">
        <v>0</v>
      </c>
      <c r="X652" s="58">
        <v>0</v>
      </c>
      <c r="Y652" s="58">
        <v>0</v>
      </c>
      <c r="Z652" s="58">
        <v>4875</v>
      </c>
      <c r="AA652" s="58">
        <v>15136.95</v>
      </c>
      <c r="AE652" s="57"/>
    </row>
    <row r="653" spans="1:31" x14ac:dyDescent="0.35">
      <c r="A653" s="56" t="s">
        <v>721</v>
      </c>
      <c r="B653" s="58">
        <v>14700</v>
      </c>
      <c r="C653" s="58" t="s">
        <v>26</v>
      </c>
      <c r="D653" s="58">
        <v>14067</v>
      </c>
      <c r="E653" s="58">
        <v>45</v>
      </c>
      <c r="F653" s="58">
        <v>0.3209242618741977</v>
      </c>
      <c r="G653" s="58">
        <v>194</v>
      </c>
      <c r="H653" s="58">
        <v>25.53</v>
      </c>
      <c r="I653" s="58">
        <v>263.10000000000002</v>
      </c>
      <c r="J653" s="58">
        <v>-20.149999999999977</v>
      </c>
      <c r="K653" s="58">
        <v>-7.1138570167696296</v>
      </c>
      <c r="L653" s="58">
        <v>5025</v>
      </c>
      <c r="M653" s="58">
        <v>7800</v>
      </c>
      <c r="N653" s="58">
        <v>15136.95</v>
      </c>
      <c r="O653" s="58">
        <v>14700</v>
      </c>
      <c r="P653" s="58" t="s">
        <v>26</v>
      </c>
      <c r="Q653" s="58">
        <v>380</v>
      </c>
      <c r="R653" s="58">
        <v>1</v>
      </c>
      <c r="S653" s="58">
        <v>0.26385224274406333</v>
      </c>
      <c r="T653" s="58">
        <v>5</v>
      </c>
      <c r="U653" s="58">
        <v>18.010000000000002</v>
      </c>
      <c r="V653" s="58">
        <v>748</v>
      </c>
      <c r="W653" s="58">
        <v>-12.850000000000025</v>
      </c>
      <c r="X653" s="58">
        <v>-1.6889005717289902</v>
      </c>
      <c r="Y653" s="58">
        <v>6975</v>
      </c>
      <c r="Z653" s="58">
        <v>12150</v>
      </c>
      <c r="AA653" s="58">
        <v>15136.95</v>
      </c>
      <c r="AE653" s="57"/>
    </row>
    <row r="654" spans="1:31" x14ac:dyDescent="0.35">
      <c r="A654" s="56" t="s">
        <v>722</v>
      </c>
      <c r="B654" s="58">
        <v>14700</v>
      </c>
      <c r="C654" s="58" t="s">
        <v>67</v>
      </c>
      <c r="D654" s="58">
        <v>0</v>
      </c>
      <c r="E654" s="58">
        <v>0</v>
      </c>
      <c r="F654" s="58">
        <v>0</v>
      </c>
      <c r="G654" s="58">
        <v>0</v>
      </c>
      <c r="H654" s="58">
        <v>0</v>
      </c>
      <c r="I654" s="58">
        <v>0</v>
      </c>
      <c r="J654" s="58">
        <v>0</v>
      </c>
      <c r="K654" s="58">
        <v>0</v>
      </c>
      <c r="L654" s="58">
        <v>0</v>
      </c>
      <c r="M654" s="58">
        <v>0</v>
      </c>
      <c r="N654" s="58">
        <v>15136.95</v>
      </c>
      <c r="O654" s="58">
        <v>14700</v>
      </c>
      <c r="P654" s="58" t="s">
        <v>67</v>
      </c>
      <c r="Q654" s="58">
        <v>0</v>
      </c>
      <c r="R654" s="58">
        <v>0</v>
      </c>
      <c r="S654" s="58">
        <v>0</v>
      </c>
      <c r="T654" s="58">
        <v>0</v>
      </c>
      <c r="U654" s="58">
        <v>0</v>
      </c>
      <c r="V654" s="58">
        <v>0</v>
      </c>
      <c r="W654" s="58">
        <v>0</v>
      </c>
      <c r="X654" s="58">
        <v>0</v>
      </c>
      <c r="Y654" s="58">
        <v>0</v>
      </c>
      <c r="Z654" s="58">
        <v>4875</v>
      </c>
      <c r="AA654" s="58">
        <v>15136.95</v>
      </c>
      <c r="AE654" s="57"/>
    </row>
    <row r="655" spans="1:31" x14ac:dyDescent="0.35">
      <c r="A655" s="56" t="s">
        <v>723</v>
      </c>
      <c r="B655" s="58">
        <v>14700</v>
      </c>
      <c r="C655" s="58" t="s">
        <v>33</v>
      </c>
      <c r="D655" s="58">
        <v>8672</v>
      </c>
      <c r="E655" s="58">
        <v>-29</v>
      </c>
      <c r="F655" s="58">
        <v>-0.33329502356051027</v>
      </c>
      <c r="G655" s="58">
        <v>3364</v>
      </c>
      <c r="H655" s="58">
        <v>23.72</v>
      </c>
      <c r="I655" s="58">
        <v>98.55</v>
      </c>
      <c r="J655" s="58">
        <v>-11.25</v>
      </c>
      <c r="K655" s="58">
        <v>-10.245901639344265</v>
      </c>
      <c r="L655" s="58">
        <v>46650</v>
      </c>
      <c r="M655" s="58">
        <v>69525</v>
      </c>
      <c r="N655" s="58">
        <v>15136.95</v>
      </c>
      <c r="O655" s="58">
        <v>14700</v>
      </c>
      <c r="P655" s="58" t="s">
        <v>33</v>
      </c>
      <c r="Q655" s="58">
        <v>5591</v>
      </c>
      <c r="R655" s="58">
        <v>-73</v>
      </c>
      <c r="S655" s="58">
        <v>-1.2888418079096045</v>
      </c>
      <c r="T655" s="58">
        <v>187</v>
      </c>
      <c r="U655" s="58">
        <v>17.18</v>
      </c>
      <c r="V655" s="58">
        <v>536.04999999999995</v>
      </c>
      <c r="W655" s="58">
        <v>15.25</v>
      </c>
      <c r="X655" s="58">
        <v>2.928187403993856</v>
      </c>
      <c r="Y655" s="58">
        <v>31200</v>
      </c>
      <c r="Z655" s="58">
        <v>32475</v>
      </c>
      <c r="AA655" s="58">
        <v>15136.95</v>
      </c>
      <c r="AE655" s="57"/>
    </row>
    <row r="656" spans="1:31" x14ac:dyDescent="0.35">
      <c r="A656" s="56" t="s">
        <v>724</v>
      </c>
      <c r="B656" s="58">
        <v>14700</v>
      </c>
      <c r="C656" s="58" t="s">
        <v>2071</v>
      </c>
      <c r="D656" s="58">
        <v>4</v>
      </c>
      <c r="E656" s="58">
        <v>0</v>
      </c>
      <c r="F656" s="58">
        <v>0</v>
      </c>
      <c r="G656" s="58">
        <v>1</v>
      </c>
      <c r="H656" s="58">
        <v>25.86</v>
      </c>
      <c r="I656" s="58">
        <v>386.75</v>
      </c>
      <c r="J656" s="58">
        <v>-38.25</v>
      </c>
      <c r="K656" s="58">
        <v>-9</v>
      </c>
      <c r="L656" s="58">
        <v>2550</v>
      </c>
      <c r="M656" s="58">
        <v>1275</v>
      </c>
      <c r="N656" s="58">
        <v>15136.95</v>
      </c>
      <c r="O656" s="58">
        <v>14700</v>
      </c>
      <c r="P656" s="58" t="s">
        <v>2071</v>
      </c>
      <c r="Q656" s="58">
        <v>0</v>
      </c>
      <c r="R656" s="58">
        <v>0</v>
      </c>
      <c r="S656" s="58">
        <v>0</v>
      </c>
      <c r="T656" s="58">
        <v>0</v>
      </c>
      <c r="U656" s="58">
        <v>0</v>
      </c>
      <c r="V656" s="58">
        <v>0</v>
      </c>
      <c r="W656" s="58">
        <v>0</v>
      </c>
      <c r="X656" s="58">
        <v>0</v>
      </c>
      <c r="Y656" s="58">
        <v>5100</v>
      </c>
      <c r="Z656" s="58">
        <v>5775</v>
      </c>
      <c r="AA656" s="58">
        <v>15136.95</v>
      </c>
      <c r="AE656" s="57"/>
    </row>
    <row r="657" spans="1:31" x14ac:dyDescent="0.35">
      <c r="A657" s="56" t="s">
        <v>725</v>
      </c>
      <c r="B657" s="58">
        <v>14700</v>
      </c>
      <c r="C657" s="58" t="s">
        <v>35</v>
      </c>
      <c r="D657" s="58">
        <v>56076</v>
      </c>
      <c r="E657" s="58">
        <v>26500</v>
      </c>
      <c r="F657" s="58">
        <v>89.599675412496623</v>
      </c>
      <c r="G657" s="58">
        <v>141812</v>
      </c>
      <c r="H657" s="58">
        <v>27.14</v>
      </c>
      <c r="I657" s="58">
        <v>1.3</v>
      </c>
      <c r="J657" s="58">
        <v>-3</v>
      </c>
      <c r="K657" s="58">
        <v>-69.767441860465112</v>
      </c>
      <c r="L657" s="58">
        <v>3329025</v>
      </c>
      <c r="M657" s="58">
        <v>384600</v>
      </c>
      <c r="N657" s="58">
        <v>15136.95</v>
      </c>
      <c r="O657" s="58">
        <v>14700</v>
      </c>
      <c r="P657" s="58" t="s">
        <v>35</v>
      </c>
      <c r="Q657" s="58">
        <v>1542</v>
      </c>
      <c r="R657" s="58">
        <v>-125</v>
      </c>
      <c r="S657" s="58">
        <v>-7.4985002999400123</v>
      </c>
      <c r="T657" s="58">
        <v>996</v>
      </c>
      <c r="U657" s="58">
        <v>0</v>
      </c>
      <c r="V657" s="58">
        <v>426</v>
      </c>
      <c r="W657" s="58">
        <v>4.3000000000000114</v>
      </c>
      <c r="X657" s="58">
        <v>1.0196822385582194</v>
      </c>
      <c r="Y657" s="58">
        <v>152400</v>
      </c>
      <c r="Z657" s="58">
        <v>41550</v>
      </c>
      <c r="AA657" s="58">
        <v>15136.95</v>
      </c>
      <c r="AE657" s="57"/>
    </row>
    <row r="658" spans="1:31" x14ac:dyDescent="0.35">
      <c r="A658" s="56" t="s">
        <v>726</v>
      </c>
      <c r="B658" s="58">
        <v>14700</v>
      </c>
      <c r="C658" s="58" t="s">
        <v>34</v>
      </c>
      <c r="D658" s="58">
        <v>4831</v>
      </c>
      <c r="E658" s="58">
        <v>683</v>
      </c>
      <c r="F658" s="58">
        <v>16.465766634522662</v>
      </c>
      <c r="G658" s="58">
        <v>8415</v>
      </c>
      <c r="H658" s="58">
        <v>23.09</v>
      </c>
      <c r="I658" s="58">
        <v>42.95</v>
      </c>
      <c r="J658" s="58">
        <v>-8.25</v>
      </c>
      <c r="K658" s="58">
        <v>-16.11328125</v>
      </c>
      <c r="L658" s="58">
        <v>46050</v>
      </c>
      <c r="M658" s="58">
        <v>64575</v>
      </c>
      <c r="N658" s="58">
        <v>15136.95</v>
      </c>
      <c r="O658" s="58">
        <v>14700</v>
      </c>
      <c r="P658" s="58" t="s">
        <v>34</v>
      </c>
      <c r="Q658" s="58">
        <v>241</v>
      </c>
      <c r="R658" s="58">
        <v>52</v>
      </c>
      <c r="S658" s="58">
        <v>27.513227513227513</v>
      </c>
      <c r="T658" s="58">
        <v>191</v>
      </c>
      <c r="U658" s="58">
        <v>15.5</v>
      </c>
      <c r="V658" s="58">
        <v>468.65</v>
      </c>
      <c r="W658" s="58">
        <v>7.5999999999999659</v>
      </c>
      <c r="X658" s="58">
        <v>1.648411235223938</v>
      </c>
      <c r="Y658" s="58">
        <v>22050</v>
      </c>
      <c r="Z658" s="58">
        <v>16125</v>
      </c>
      <c r="AA658" s="58">
        <v>15136.95</v>
      </c>
      <c r="AE658" s="57"/>
    </row>
    <row r="659" spans="1:31" x14ac:dyDescent="0.35">
      <c r="A659" s="56" t="s">
        <v>727</v>
      </c>
      <c r="B659" s="58">
        <v>14700</v>
      </c>
      <c r="C659" s="58" t="s">
        <v>37</v>
      </c>
      <c r="D659" s="58">
        <v>0</v>
      </c>
      <c r="E659" s="58">
        <v>0</v>
      </c>
      <c r="F659" s="58">
        <v>0</v>
      </c>
      <c r="G659" s="58">
        <v>0</v>
      </c>
      <c r="H659" s="58">
        <v>0</v>
      </c>
      <c r="I659" s="58">
        <v>0</v>
      </c>
      <c r="J659" s="58">
        <v>0</v>
      </c>
      <c r="K659" s="58">
        <v>0</v>
      </c>
      <c r="L659" s="58">
        <v>1350</v>
      </c>
      <c r="M659" s="58">
        <v>6225</v>
      </c>
      <c r="N659" s="58">
        <v>15136.95</v>
      </c>
      <c r="O659" s="58">
        <v>14700</v>
      </c>
      <c r="P659" s="58" t="s">
        <v>37</v>
      </c>
      <c r="Q659" s="58">
        <v>0</v>
      </c>
      <c r="R659" s="58">
        <v>0</v>
      </c>
      <c r="S659" s="58">
        <v>0</v>
      </c>
      <c r="T659" s="58">
        <v>0</v>
      </c>
      <c r="U659" s="58">
        <v>0</v>
      </c>
      <c r="V659" s="58">
        <v>0</v>
      </c>
      <c r="W659" s="58">
        <v>0</v>
      </c>
      <c r="X659" s="58">
        <v>0</v>
      </c>
      <c r="Y659" s="58">
        <v>600</v>
      </c>
      <c r="Z659" s="58">
        <v>4875</v>
      </c>
      <c r="AA659" s="58">
        <v>15136.95</v>
      </c>
      <c r="AE659" s="57"/>
    </row>
    <row r="660" spans="1:31" x14ac:dyDescent="0.35">
      <c r="A660" s="56" t="s">
        <v>728</v>
      </c>
      <c r="B660" s="58">
        <v>14750</v>
      </c>
      <c r="C660" s="58" t="s">
        <v>33</v>
      </c>
      <c r="D660" s="58">
        <v>792</v>
      </c>
      <c r="E660" s="58">
        <v>11</v>
      </c>
      <c r="F660" s="58">
        <v>1.408450704225352</v>
      </c>
      <c r="G660" s="58">
        <v>177</v>
      </c>
      <c r="H660" s="58">
        <v>23.35</v>
      </c>
      <c r="I660" s="58">
        <v>108.85</v>
      </c>
      <c r="J660" s="58">
        <v>-17.050000000000011</v>
      </c>
      <c r="K660" s="58">
        <v>-13.542494042891192</v>
      </c>
      <c r="L660" s="58">
        <v>17175</v>
      </c>
      <c r="M660" s="58">
        <v>18075</v>
      </c>
      <c r="N660" s="58">
        <v>15136.95</v>
      </c>
      <c r="O660" s="58">
        <v>14750</v>
      </c>
      <c r="P660" s="58" t="s">
        <v>33</v>
      </c>
      <c r="Q660" s="58">
        <v>450</v>
      </c>
      <c r="R660" s="58">
        <v>0</v>
      </c>
      <c r="S660" s="58">
        <v>0</v>
      </c>
      <c r="T660" s="58">
        <v>8</v>
      </c>
      <c r="U660" s="58">
        <v>16.7</v>
      </c>
      <c r="V660" s="58">
        <v>498.35</v>
      </c>
      <c r="W660" s="58">
        <v>27.300000000000011</v>
      </c>
      <c r="X660" s="58">
        <v>5.7955631037044926</v>
      </c>
      <c r="Y660" s="58">
        <v>24075</v>
      </c>
      <c r="Z660" s="58">
        <v>18375</v>
      </c>
      <c r="AA660" s="58">
        <v>15136.95</v>
      </c>
      <c r="AE660" s="57"/>
    </row>
    <row r="661" spans="1:31" x14ac:dyDescent="0.35">
      <c r="A661" s="56" t="s">
        <v>729</v>
      </c>
      <c r="B661" s="58">
        <v>14750</v>
      </c>
      <c r="C661" s="58" t="s">
        <v>37</v>
      </c>
      <c r="D661" s="58">
        <v>0</v>
      </c>
      <c r="E661" s="58">
        <v>0</v>
      </c>
      <c r="F661" s="58">
        <v>0</v>
      </c>
      <c r="G661" s="58">
        <v>0</v>
      </c>
      <c r="H661" s="58">
        <v>0</v>
      </c>
      <c r="I661" s="58">
        <v>0</v>
      </c>
      <c r="J661" s="58">
        <v>0</v>
      </c>
      <c r="K661" s="58">
        <v>0</v>
      </c>
      <c r="L661" s="58">
        <v>0</v>
      </c>
      <c r="M661" s="58">
        <v>4875</v>
      </c>
      <c r="N661" s="58">
        <v>15136.95</v>
      </c>
      <c r="O661" s="58">
        <v>14750</v>
      </c>
      <c r="P661" s="58" t="s">
        <v>37</v>
      </c>
      <c r="Q661" s="58">
        <v>0</v>
      </c>
      <c r="R661" s="58">
        <v>0</v>
      </c>
      <c r="S661" s="58">
        <v>0</v>
      </c>
      <c r="T661" s="58">
        <v>0</v>
      </c>
      <c r="U661" s="58">
        <v>0</v>
      </c>
      <c r="V661" s="58">
        <v>0</v>
      </c>
      <c r="W661" s="58">
        <v>0</v>
      </c>
      <c r="X661" s="58">
        <v>0</v>
      </c>
      <c r="Y661" s="58">
        <v>0</v>
      </c>
      <c r="Z661" s="58">
        <v>4875</v>
      </c>
      <c r="AA661" s="58">
        <v>15136.95</v>
      </c>
      <c r="AE661" s="57"/>
    </row>
    <row r="662" spans="1:31" x14ac:dyDescent="0.35">
      <c r="A662" s="56" t="s">
        <v>730</v>
      </c>
      <c r="B662" s="58">
        <v>14750</v>
      </c>
      <c r="C662" s="58" t="s">
        <v>38</v>
      </c>
      <c r="D662" s="58">
        <v>0</v>
      </c>
      <c r="E662" s="58">
        <v>0</v>
      </c>
      <c r="F662" s="58">
        <v>0</v>
      </c>
      <c r="G662" s="58">
        <v>0</v>
      </c>
      <c r="H662" s="58">
        <v>0</v>
      </c>
      <c r="I662" s="58">
        <v>0</v>
      </c>
      <c r="J662" s="58">
        <v>0</v>
      </c>
      <c r="K662" s="58">
        <v>0</v>
      </c>
      <c r="L662" s="58">
        <v>0</v>
      </c>
      <c r="M662" s="58">
        <v>4875</v>
      </c>
      <c r="N662" s="58">
        <v>15136.95</v>
      </c>
      <c r="O662" s="58">
        <v>14750</v>
      </c>
      <c r="P662" s="58" t="s">
        <v>38</v>
      </c>
      <c r="Q662" s="58">
        <v>0</v>
      </c>
      <c r="R662" s="58">
        <v>0</v>
      </c>
      <c r="S662" s="58">
        <v>0</v>
      </c>
      <c r="T662" s="58">
        <v>0</v>
      </c>
      <c r="U662" s="58">
        <v>0</v>
      </c>
      <c r="V662" s="58">
        <v>0</v>
      </c>
      <c r="W662" s="58">
        <v>0</v>
      </c>
      <c r="X662" s="58">
        <v>0</v>
      </c>
      <c r="Y662" s="58">
        <v>0</v>
      </c>
      <c r="Z662" s="58">
        <v>4875</v>
      </c>
      <c r="AA662" s="58">
        <v>15136.95</v>
      </c>
      <c r="AE662" s="57"/>
    </row>
    <row r="663" spans="1:31" x14ac:dyDescent="0.35">
      <c r="A663" s="56" t="s">
        <v>731</v>
      </c>
      <c r="B663" s="58">
        <v>14750</v>
      </c>
      <c r="C663" s="58" t="s">
        <v>26</v>
      </c>
      <c r="D663" s="58">
        <v>85</v>
      </c>
      <c r="E663" s="58">
        <v>3</v>
      </c>
      <c r="F663" s="58">
        <v>3.6585365853658538</v>
      </c>
      <c r="G663" s="58">
        <v>17</v>
      </c>
      <c r="H663" s="58">
        <v>25.32</v>
      </c>
      <c r="I663" s="58">
        <v>276</v>
      </c>
      <c r="J663" s="58">
        <v>-29.449999999999989</v>
      </c>
      <c r="K663" s="58">
        <v>-9.6415125225077727</v>
      </c>
      <c r="L663" s="58">
        <v>3000</v>
      </c>
      <c r="M663" s="58">
        <v>7725</v>
      </c>
      <c r="N663" s="58">
        <v>15136.95</v>
      </c>
      <c r="O663" s="58">
        <v>14750</v>
      </c>
      <c r="P663" s="58" t="s">
        <v>26</v>
      </c>
      <c r="Q663" s="58">
        <v>5</v>
      </c>
      <c r="R663" s="58">
        <v>0</v>
      </c>
      <c r="S663" s="58">
        <v>0</v>
      </c>
      <c r="T663" s="58">
        <v>0</v>
      </c>
      <c r="U663" s="58">
        <v>0</v>
      </c>
      <c r="V663" s="58">
        <v>0</v>
      </c>
      <c r="W663" s="58">
        <v>0</v>
      </c>
      <c r="X663" s="58">
        <v>0</v>
      </c>
      <c r="Y663" s="58">
        <v>8625</v>
      </c>
      <c r="Z663" s="58">
        <v>10725</v>
      </c>
      <c r="AA663" s="58">
        <v>15136.95</v>
      </c>
      <c r="AE663" s="57"/>
    </row>
    <row r="664" spans="1:31" x14ac:dyDescent="0.35">
      <c r="A664" s="56" t="s">
        <v>732</v>
      </c>
      <c r="B664" s="58">
        <v>14750</v>
      </c>
      <c r="C664" s="58" t="s">
        <v>67</v>
      </c>
      <c r="D664" s="58">
        <v>0</v>
      </c>
      <c r="E664" s="58">
        <v>0</v>
      </c>
      <c r="F664" s="58">
        <v>0</v>
      </c>
      <c r="G664" s="58">
        <v>0</v>
      </c>
      <c r="H664" s="58">
        <v>0</v>
      </c>
      <c r="I664" s="58">
        <v>0</v>
      </c>
      <c r="J664" s="58">
        <v>0</v>
      </c>
      <c r="K664" s="58">
        <v>0</v>
      </c>
      <c r="L664" s="58">
        <v>0</v>
      </c>
      <c r="M664" s="58">
        <v>4875</v>
      </c>
      <c r="N664" s="58">
        <v>15136.95</v>
      </c>
      <c r="O664" s="58">
        <v>14750</v>
      </c>
      <c r="P664" s="58" t="s">
        <v>67</v>
      </c>
      <c r="Q664" s="58">
        <v>0</v>
      </c>
      <c r="R664" s="58">
        <v>0</v>
      </c>
      <c r="S664" s="58">
        <v>0</v>
      </c>
      <c r="T664" s="58">
        <v>0</v>
      </c>
      <c r="U664" s="58">
        <v>0</v>
      </c>
      <c r="V664" s="58">
        <v>0</v>
      </c>
      <c r="W664" s="58">
        <v>0</v>
      </c>
      <c r="X664" s="58">
        <v>0</v>
      </c>
      <c r="Y664" s="58">
        <v>0</v>
      </c>
      <c r="Z664" s="58">
        <v>4875</v>
      </c>
      <c r="AA664" s="58">
        <v>15136.95</v>
      </c>
      <c r="AE664" s="57"/>
    </row>
    <row r="665" spans="1:31" x14ac:dyDescent="0.35">
      <c r="A665" s="56" t="s">
        <v>733</v>
      </c>
      <c r="B665" s="58">
        <v>14750</v>
      </c>
      <c r="C665" s="58" t="s">
        <v>2074</v>
      </c>
      <c r="D665" s="58">
        <v>0</v>
      </c>
      <c r="E665" s="58">
        <v>0</v>
      </c>
      <c r="F665" s="58">
        <v>0</v>
      </c>
      <c r="G665" s="58">
        <v>0</v>
      </c>
      <c r="H665" s="58">
        <v>0</v>
      </c>
      <c r="I665" s="58">
        <v>0</v>
      </c>
      <c r="J665" s="58">
        <v>0</v>
      </c>
      <c r="K665" s="58">
        <v>0</v>
      </c>
      <c r="L665" s="58">
        <v>0</v>
      </c>
      <c r="M665" s="58">
        <v>4875</v>
      </c>
      <c r="N665" s="58">
        <v>15136.95</v>
      </c>
      <c r="O665" s="58">
        <v>14750</v>
      </c>
      <c r="P665" s="58" t="s">
        <v>2074</v>
      </c>
      <c r="Q665" s="58">
        <v>0</v>
      </c>
      <c r="R665" s="58">
        <v>0</v>
      </c>
      <c r="S665" s="58">
        <v>0</v>
      </c>
      <c r="T665" s="58">
        <v>0</v>
      </c>
      <c r="U665" s="58">
        <v>0</v>
      </c>
      <c r="V665" s="58">
        <v>0</v>
      </c>
      <c r="W665" s="58">
        <v>0</v>
      </c>
      <c r="X665" s="58">
        <v>0</v>
      </c>
      <c r="Y665" s="58">
        <v>0</v>
      </c>
      <c r="Z665" s="58">
        <v>4875</v>
      </c>
      <c r="AA665" s="58">
        <v>15136.95</v>
      </c>
      <c r="AE665" s="57"/>
    </row>
    <row r="666" spans="1:31" x14ac:dyDescent="0.35">
      <c r="A666" s="56" t="s">
        <v>734</v>
      </c>
      <c r="B666" s="58">
        <v>14750</v>
      </c>
      <c r="C666" s="58" t="s">
        <v>2071</v>
      </c>
      <c r="D666" s="58">
        <v>0</v>
      </c>
      <c r="E666" s="58">
        <v>0</v>
      </c>
      <c r="F666" s="58">
        <v>0</v>
      </c>
      <c r="G666" s="58">
        <v>0</v>
      </c>
      <c r="H666" s="58">
        <v>0</v>
      </c>
      <c r="I666" s="58">
        <v>0</v>
      </c>
      <c r="J666" s="58">
        <v>0</v>
      </c>
      <c r="K666" s="58">
        <v>0</v>
      </c>
      <c r="L666" s="58">
        <v>0</v>
      </c>
      <c r="M666" s="58">
        <v>0</v>
      </c>
      <c r="N666" s="58">
        <v>15136.95</v>
      </c>
      <c r="O666" s="58">
        <v>14750</v>
      </c>
      <c r="P666" s="58" t="s">
        <v>2071</v>
      </c>
      <c r="Q666" s="58">
        <v>0</v>
      </c>
      <c r="R666" s="58">
        <v>0</v>
      </c>
      <c r="S666" s="58">
        <v>0</v>
      </c>
      <c r="T666" s="58">
        <v>0</v>
      </c>
      <c r="U666" s="58">
        <v>0</v>
      </c>
      <c r="V666" s="58">
        <v>0</v>
      </c>
      <c r="W666" s="58">
        <v>0</v>
      </c>
      <c r="X666" s="58">
        <v>0</v>
      </c>
      <c r="Y666" s="58">
        <v>0</v>
      </c>
      <c r="Z666" s="58">
        <v>4875</v>
      </c>
      <c r="AA666" s="58">
        <v>15136.95</v>
      </c>
      <c r="AE666" s="57"/>
    </row>
    <row r="667" spans="1:31" x14ac:dyDescent="0.35">
      <c r="A667" s="56" t="s">
        <v>735</v>
      </c>
      <c r="B667" s="58">
        <v>14750</v>
      </c>
      <c r="C667" s="58" t="s">
        <v>34</v>
      </c>
      <c r="D667" s="58">
        <v>541</v>
      </c>
      <c r="E667" s="58">
        <v>163</v>
      </c>
      <c r="F667" s="58">
        <v>43.12169312169312</v>
      </c>
      <c r="G667" s="58">
        <v>1573</v>
      </c>
      <c r="H667" s="58">
        <v>22.61</v>
      </c>
      <c r="I667" s="58">
        <v>50</v>
      </c>
      <c r="J667" s="58">
        <v>-9.7999999999999954</v>
      </c>
      <c r="K667" s="58">
        <v>-16.387959866220733</v>
      </c>
      <c r="L667" s="58">
        <v>22575</v>
      </c>
      <c r="M667" s="58">
        <v>25800</v>
      </c>
      <c r="N667" s="58">
        <v>15136.95</v>
      </c>
      <c r="O667" s="58">
        <v>14750</v>
      </c>
      <c r="P667" s="58" t="s">
        <v>34</v>
      </c>
      <c r="Q667" s="58">
        <v>44</v>
      </c>
      <c r="R667" s="58">
        <v>16</v>
      </c>
      <c r="S667" s="58">
        <v>57.142857142857146</v>
      </c>
      <c r="T667" s="58">
        <v>172</v>
      </c>
      <c r="U667" s="58">
        <v>17.37</v>
      </c>
      <c r="V667" s="58">
        <v>433.25</v>
      </c>
      <c r="W667" s="58">
        <v>13.75</v>
      </c>
      <c r="X667" s="58">
        <v>3.2777115613825987</v>
      </c>
      <c r="Y667" s="58">
        <v>20100</v>
      </c>
      <c r="Z667" s="58">
        <v>15075</v>
      </c>
      <c r="AA667" s="58">
        <v>15136.95</v>
      </c>
      <c r="AE667" s="57"/>
    </row>
    <row r="668" spans="1:31" x14ac:dyDescent="0.35">
      <c r="A668" s="56" t="s">
        <v>736</v>
      </c>
      <c r="B668" s="58">
        <v>14750</v>
      </c>
      <c r="C668" s="58" t="s">
        <v>35</v>
      </c>
      <c r="D668" s="58">
        <v>14559</v>
      </c>
      <c r="E668" s="58">
        <v>3482</v>
      </c>
      <c r="F668" s="58">
        <v>31.434503927056063</v>
      </c>
      <c r="G668" s="58">
        <v>65805</v>
      </c>
      <c r="H668" s="58">
        <v>25.41</v>
      </c>
      <c r="I668" s="58">
        <v>1.85</v>
      </c>
      <c r="J668" s="58">
        <v>-4.1999999999999993</v>
      </c>
      <c r="K668" s="58">
        <v>-69.421487603305778</v>
      </c>
      <c r="L668" s="58">
        <v>2323200</v>
      </c>
      <c r="M668" s="58">
        <v>280200</v>
      </c>
      <c r="N668" s="58">
        <v>15136.95</v>
      </c>
      <c r="O668" s="58">
        <v>14750</v>
      </c>
      <c r="P668" s="58" t="s">
        <v>35</v>
      </c>
      <c r="Q668" s="58">
        <v>302</v>
      </c>
      <c r="R668" s="58">
        <v>-5</v>
      </c>
      <c r="S668" s="58">
        <v>-1.6286644951140066</v>
      </c>
      <c r="T668" s="58">
        <v>142</v>
      </c>
      <c r="U668" s="58">
        <v>34.03</v>
      </c>
      <c r="V668" s="58">
        <v>384.8</v>
      </c>
      <c r="W668" s="58">
        <v>34.75</v>
      </c>
      <c r="X668" s="58">
        <v>9.927153263819454</v>
      </c>
      <c r="Y668" s="58">
        <v>141075</v>
      </c>
      <c r="Z668" s="58">
        <v>28950</v>
      </c>
      <c r="AA668" s="58">
        <v>15136.95</v>
      </c>
      <c r="AE668" s="57"/>
    </row>
    <row r="669" spans="1:31" x14ac:dyDescent="0.35">
      <c r="A669" s="56" t="s">
        <v>737</v>
      </c>
      <c r="B669" s="58">
        <v>14750</v>
      </c>
      <c r="C669" s="58" t="s">
        <v>36</v>
      </c>
      <c r="D669" s="58">
        <v>0</v>
      </c>
      <c r="E669" s="58">
        <v>0</v>
      </c>
      <c r="F669" s="58">
        <v>0</v>
      </c>
      <c r="G669" s="58">
        <v>0</v>
      </c>
      <c r="H669" s="58">
        <v>0</v>
      </c>
      <c r="I669" s="58">
        <v>0</v>
      </c>
      <c r="J669" s="58">
        <v>0</v>
      </c>
      <c r="K669" s="58">
        <v>0</v>
      </c>
      <c r="L669" s="58">
        <v>1875</v>
      </c>
      <c r="M669" s="58">
        <v>1425</v>
      </c>
      <c r="N669" s="58">
        <v>15136.95</v>
      </c>
      <c r="O669" s="58">
        <v>14750</v>
      </c>
      <c r="P669" s="58" t="s">
        <v>36</v>
      </c>
      <c r="Q669" s="58">
        <v>1</v>
      </c>
      <c r="R669" s="58">
        <v>0</v>
      </c>
      <c r="S669" s="58">
        <v>0</v>
      </c>
      <c r="T669" s="58">
        <v>0</v>
      </c>
      <c r="U669" s="58">
        <v>0</v>
      </c>
      <c r="V669" s="58">
        <v>0</v>
      </c>
      <c r="W669" s="58">
        <v>0</v>
      </c>
      <c r="X669" s="58">
        <v>0</v>
      </c>
      <c r="Y669" s="58">
        <v>0</v>
      </c>
      <c r="Z669" s="58">
        <v>5550</v>
      </c>
      <c r="AA669" s="58">
        <v>15136.95</v>
      </c>
      <c r="AE669" s="57"/>
    </row>
    <row r="670" spans="1:31" x14ac:dyDescent="0.35">
      <c r="A670" s="56" t="s">
        <v>738</v>
      </c>
      <c r="B670" s="58">
        <v>14800</v>
      </c>
      <c r="C670" s="58" t="s">
        <v>33</v>
      </c>
      <c r="D670" s="58">
        <v>12662</v>
      </c>
      <c r="E670" s="58">
        <v>377</v>
      </c>
      <c r="F670" s="58">
        <v>3.0687830687830688</v>
      </c>
      <c r="G670" s="58">
        <v>4655</v>
      </c>
      <c r="H670" s="58">
        <v>23.09</v>
      </c>
      <c r="I670" s="58">
        <v>119.8</v>
      </c>
      <c r="J670" s="58">
        <v>-15.700000000000005</v>
      </c>
      <c r="K670" s="58">
        <v>-11.586715867158674</v>
      </c>
      <c r="L670" s="58">
        <v>30375</v>
      </c>
      <c r="M670" s="58">
        <v>100875</v>
      </c>
      <c r="N670" s="58">
        <v>15136.95</v>
      </c>
      <c r="O670" s="58">
        <v>14800</v>
      </c>
      <c r="P670" s="58" t="s">
        <v>33</v>
      </c>
      <c r="Q670" s="58">
        <v>7540</v>
      </c>
      <c r="R670" s="58">
        <v>-83</v>
      </c>
      <c r="S670" s="58">
        <v>-1.0888101797192706</v>
      </c>
      <c r="T670" s="58">
        <v>596</v>
      </c>
      <c r="U670" s="58">
        <v>17.61</v>
      </c>
      <c r="V670" s="58">
        <v>452.4</v>
      </c>
      <c r="W670" s="58">
        <v>5.1999999999999886</v>
      </c>
      <c r="X670" s="58">
        <v>1.1627906976744162</v>
      </c>
      <c r="Y670" s="58">
        <v>42450</v>
      </c>
      <c r="Z670" s="58">
        <v>30525</v>
      </c>
      <c r="AA670" s="58">
        <v>15136.95</v>
      </c>
      <c r="AE670" s="57"/>
    </row>
    <row r="671" spans="1:31" x14ac:dyDescent="0.35">
      <c r="A671" s="56" t="s">
        <v>739</v>
      </c>
      <c r="B671" s="58">
        <v>14800</v>
      </c>
      <c r="C671" s="58" t="s">
        <v>36</v>
      </c>
      <c r="D671" s="58">
        <v>4</v>
      </c>
      <c r="E671" s="58">
        <v>0</v>
      </c>
      <c r="F671" s="58">
        <v>0</v>
      </c>
      <c r="G671" s="58">
        <v>3</v>
      </c>
      <c r="H671" s="58">
        <v>24.01</v>
      </c>
      <c r="I671" s="58">
        <v>170</v>
      </c>
      <c r="J671" s="58">
        <v>-27</v>
      </c>
      <c r="K671" s="58">
        <v>-13.705583756345176</v>
      </c>
      <c r="L671" s="58">
        <v>1725</v>
      </c>
      <c r="M671" s="58">
        <v>2100</v>
      </c>
      <c r="N671" s="58">
        <v>15136.95</v>
      </c>
      <c r="O671" s="58">
        <v>14800</v>
      </c>
      <c r="P671" s="58" t="s">
        <v>36</v>
      </c>
      <c r="Q671" s="58">
        <v>0</v>
      </c>
      <c r="R671" s="58">
        <v>0</v>
      </c>
      <c r="S671" s="58">
        <v>0</v>
      </c>
      <c r="T671" s="58">
        <v>0</v>
      </c>
      <c r="U671" s="58">
        <v>0</v>
      </c>
      <c r="V671" s="58">
        <v>0</v>
      </c>
      <c r="W671" s="58">
        <v>0</v>
      </c>
      <c r="X671" s="58">
        <v>0</v>
      </c>
      <c r="Y671" s="58">
        <v>0</v>
      </c>
      <c r="Z671" s="58">
        <v>5400</v>
      </c>
      <c r="AA671" s="58">
        <v>15136.95</v>
      </c>
      <c r="AE671" s="57"/>
    </row>
    <row r="672" spans="1:31" x14ac:dyDescent="0.35">
      <c r="A672" s="56" t="s">
        <v>740</v>
      </c>
      <c r="B672" s="58">
        <v>14800</v>
      </c>
      <c r="C672" s="58" t="s">
        <v>37</v>
      </c>
      <c r="D672" s="58">
        <v>0</v>
      </c>
      <c r="E672" s="58">
        <v>0</v>
      </c>
      <c r="F672" s="58">
        <v>0</v>
      </c>
      <c r="G672" s="58">
        <v>0</v>
      </c>
      <c r="H672" s="58">
        <v>0</v>
      </c>
      <c r="I672" s="58">
        <v>0</v>
      </c>
      <c r="J672" s="58">
        <v>0</v>
      </c>
      <c r="K672" s="58">
        <v>0</v>
      </c>
      <c r="L672" s="58">
        <v>6150</v>
      </c>
      <c r="M672" s="58">
        <v>5625</v>
      </c>
      <c r="N672" s="58">
        <v>15136.95</v>
      </c>
      <c r="O672" s="58">
        <v>14800</v>
      </c>
      <c r="P672" s="58" t="s">
        <v>37</v>
      </c>
      <c r="Q672" s="58">
        <v>0</v>
      </c>
      <c r="R672" s="58">
        <v>0</v>
      </c>
      <c r="S672" s="58">
        <v>0</v>
      </c>
      <c r="T672" s="58">
        <v>0</v>
      </c>
      <c r="U672" s="58">
        <v>0</v>
      </c>
      <c r="V672" s="58">
        <v>0</v>
      </c>
      <c r="W672" s="58">
        <v>0</v>
      </c>
      <c r="X672" s="58">
        <v>0</v>
      </c>
      <c r="Y672" s="58">
        <v>600</v>
      </c>
      <c r="Z672" s="58">
        <v>4875</v>
      </c>
      <c r="AA672" s="58">
        <v>15136.95</v>
      </c>
      <c r="AE672" s="57"/>
    </row>
    <row r="673" spans="1:31" x14ac:dyDescent="0.35">
      <c r="A673" s="56" t="s">
        <v>741</v>
      </c>
      <c r="B673" s="58">
        <v>14800</v>
      </c>
      <c r="C673" s="58" t="s">
        <v>38</v>
      </c>
      <c r="D673" s="58">
        <v>0</v>
      </c>
      <c r="E673" s="58">
        <v>0</v>
      </c>
      <c r="F673" s="58">
        <v>0</v>
      </c>
      <c r="G673" s="58">
        <v>0</v>
      </c>
      <c r="H673" s="58">
        <v>0</v>
      </c>
      <c r="I673" s="58">
        <v>0</v>
      </c>
      <c r="J673" s="58">
        <v>0</v>
      </c>
      <c r="K673" s="58">
        <v>0</v>
      </c>
      <c r="L673" s="58">
        <v>0</v>
      </c>
      <c r="M673" s="58">
        <v>4875</v>
      </c>
      <c r="N673" s="58">
        <v>15136.95</v>
      </c>
      <c r="O673" s="58">
        <v>14800</v>
      </c>
      <c r="P673" s="58" t="s">
        <v>38</v>
      </c>
      <c r="Q673" s="58">
        <v>0</v>
      </c>
      <c r="R673" s="58">
        <v>0</v>
      </c>
      <c r="S673" s="58">
        <v>0</v>
      </c>
      <c r="T673" s="58">
        <v>0</v>
      </c>
      <c r="U673" s="58">
        <v>0</v>
      </c>
      <c r="V673" s="58">
        <v>0</v>
      </c>
      <c r="W673" s="58">
        <v>0</v>
      </c>
      <c r="X673" s="58">
        <v>0</v>
      </c>
      <c r="Y673" s="58">
        <v>0</v>
      </c>
      <c r="Z673" s="58">
        <v>4875</v>
      </c>
      <c r="AA673" s="58">
        <v>15136.95</v>
      </c>
      <c r="AE673" s="57"/>
    </row>
    <row r="674" spans="1:31" x14ac:dyDescent="0.35">
      <c r="A674" s="56" t="s">
        <v>742</v>
      </c>
      <c r="B674" s="58">
        <v>14800</v>
      </c>
      <c r="C674" s="58" t="s">
        <v>26</v>
      </c>
      <c r="D674" s="58">
        <v>5646</v>
      </c>
      <c r="E674" s="58">
        <v>39</v>
      </c>
      <c r="F674" s="58">
        <v>0.69555912252541463</v>
      </c>
      <c r="G674" s="58">
        <v>177</v>
      </c>
      <c r="H674" s="58">
        <v>25.41</v>
      </c>
      <c r="I674" s="58">
        <v>299.55</v>
      </c>
      <c r="J674" s="58">
        <v>-21.300000000000011</v>
      </c>
      <c r="K674" s="58">
        <v>-6.6386161757830795</v>
      </c>
      <c r="L674" s="58">
        <v>5775</v>
      </c>
      <c r="M674" s="58">
        <v>6975</v>
      </c>
      <c r="N674" s="58">
        <v>15136.95</v>
      </c>
      <c r="O674" s="58">
        <v>14800</v>
      </c>
      <c r="P674" s="58" t="s">
        <v>26</v>
      </c>
      <c r="Q674" s="58">
        <v>559</v>
      </c>
      <c r="R674" s="58">
        <v>0</v>
      </c>
      <c r="S674" s="58">
        <v>0</v>
      </c>
      <c r="T674" s="58">
        <v>3</v>
      </c>
      <c r="U674" s="58">
        <v>18.899999999999999</v>
      </c>
      <c r="V674" s="58">
        <v>692</v>
      </c>
      <c r="W674" s="58">
        <v>19.25</v>
      </c>
      <c r="X674" s="58">
        <v>2.8613898179115571</v>
      </c>
      <c r="Y674" s="58">
        <v>7050</v>
      </c>
      <c r="Z674" s="58">
        <v>11175</v>
      </c>
      <c r="AA674" s="58">
        <v>15136.95</v>
      </c>
      <c r="AE674" s="57"/>
    </row>
    <row r="675" spans="1:31" x14ac:dyDescent="0.35">
      <c r="A675" s="56" t="s">
        <v>743</v>
      </c>
      <c r="B675" s="58">
        <v>14800</v>
      </c>
      <c r="C675" s="58" t="s">
        <v>67</v>
      </c>
      <c r="D675" s="58">
        <v>660</v>
      </c>
      <c r="E675" s="58">
        <v>0</v>
      </c>
      <c r="F675" s="58">
        <v>0</v>
      </c>
      <c r="G675" s="58">
        <v>0</v>
      </c>
      <c r="H675" s="58">
        <v>0</v>
      </c>
      <c r="I675" s="58">
        <v>0</v>
      </c>
      <c r="J675" s="58">
        <v>0</v>
      </c>
      <c r="K675" s="58">
        <v>0</v>
      </c>
      <c r="L675" s="58">
        <v>0</v>
      </c>
      <c r="M675" s="58">
        <v>4875</v>
      </c>
      <c r="N675" s="58">
        <v>15136.95</v>
      </c>
      <c r="O675" s="58">
        <v>14800</v>
      </c>
      <c r="P675" s="58" t="s">
        <v>67</v>
      </c>
      <c r="Q675" s="58">
        <v>668</v>
      </c>
      <c r="R675" s="58">
        <v>0</v>
      </c>
      <c r="S675" s="58">
        <v>0</v>
      </c>
      <c r="T675" s="58">
        <v>0</v>
      </c>
      <c r="U675" s="58">
        <v>0</v>
      </c>
      <c r="V675" s="58">
        <v>0</v>
      </c>
      <c r="W675" s="58">
        <v>0</v>
      </c>
      <c r="X675" s="58">
        <v>0</v>
      </c>
      <c r="Y675" s="58">
        <v>0</v>
      </c>
      <c r="Z675" s="58">
        <v>4875</v>
      </c>
      <c r="AA675" s="58">
        <v>15136.95</v>
      </c>
      <c r="AE675" s="57"/>
    </row>
    <row r="676" spans="1:31" x14ac:dyDescent="0.35">
      <c r="A676" s="56" t="s">
        <v>744</v>
      </c>
      <c r="B676" s="58">
        <v>14800</v>
      </c>
      <c r="C676" s="58" t="s">
        <v>2074</v>
      </c>
      <c r="D676" s="58">
        <v>0</v>
      </c>
      <c r="E676" s="58">
        <v>0</v>
      </c>
      <c r="F676" s="58">
        <v>0</v>
      </c>
      <c r="G676" s="58">
        <v>0</v>
      </c>
      <c r="H676" s="58">
        <v>0</v>
      </c>
      <c r="I676" s="58">
        <v>0</v>
      </c>
      <c r="J676" s="58">
        <v>0</v>
      </c>
      <c r="K676" s="58">
        <v>0</v>
      </c>
      <c r="L676" s="58">
        <v>0</v>
      </c>
      <c r="M676" s="58">
        <v>4875</v>
      </c>
      <c r="N676" s="58">
        <v>15136.95</v>
      </c>
      <c r="O676" s="58">
        <v>14800</v>
      </c>
      <c r="P676" s="58" t="s">
        <v>2074</v>
      </c>
      <c r="Q676" s="58">
        <v>0</v>
      </c>
      <c r="R676" s="58">
        <v>0</v>
      </c>
      <c r="S676" s="58">
        <v>0</v>
      </c>
      <c r="T676" s="58">
        <v>0</v>
      </c>
      <c r="U676" s="58">
        <v>0</v>
      </c>
      <c r="V676" s="58">
        <v>0</v>
      </c>
      <c r="W676" s="58">
        <v>0</v>
      </c>
      <c r="X676" s="58">
        <v>0</v>
      </c>
      <c r="Y676" s="58">
        <v>0</v>
      </c>
      <c r="Z676" s="58">
        <v>4875</v>
      </c>
      <c r="AA676" s="58">
        <v>15136.95</v>
      </c>
      <c r="AE676" s="57"/>
    </row>
    <row r="677" spans="1:31" x14ac:dyDescent="0.35">
      <c r="A677" s="56" t="s">
        <v>745</v>
      </c>
      <c r="B677" s="58">
        <v>14800</v>
      </c>
      <c r="C677" s="58" t="s">
        <v>2071</v>
      </c>
      <c r="D677" s="58">
        <v>27</v>
      </c>
      <c r="E677" s="58">
        <v>1</v>
      </c>
      <c r="F677" s="58">
        <v>3.8461538461538463</v>
      </c>
      <c r="G677" s="58">
        <v>7</v>
      </c>
      <c r="H677" s="58">
        <v>24.82</v>
      </c>
      <c r="I677" s="58">
        <v>396.4</v>
      </c>
      <c r="J677" s="58">
        <v>-44.600000000000023</v>
      </c>
      <c r="K677" s="58">
        <v>-10.113378684807262</v>
      </c>
      <c r="L677" s="58">
        <v>2625</v>
      </c>
      <c r="M677" s="58">
        <v>2775</v>
      </c>
      <c r="N677" s="58">
        <v>15136.95</v>
      </c>
      <c r="O677" s="58">
        <v>14800</v>
      </c>
      <c r="P677" s="58" t="s">
        <v>2071</v>
      </c>
      <c r="Q677" s="58">
        <v>15</v>
      </c>
      <c r="R677" s="58">
        <v>0</v>
      </c>
      <c r="S677" s="58">
        <v>0</v>
      </c>
      <c r="T677" s="58">
        <v>0</v>
      </c>
      <c r="U677" s="58">
        <v>0</v>
      </c>
      <c r="V677" s="58">
        <v>0</v>
      </c>
      <c r="W677" s="58">
        <v>0</v>
      </c>
      <c r="X677" s="58">
        <v>0</v>
      </c>
      <c r="Y677" s="58">
        <v>7125</v>
      </c>
      <c r="Z677" s="58">
        <v>12150</v>
      </c>
      <c r="AA677" s="58">
        <v>15136.95</v>
      </c>
      <c r="AE677" s="57"/>
    </row>
    <row r="678" spans="1:31" x14ac:dyDescent="0.35">
      <c r="A678" s="56" t="s">
        <v>746</v>
      </c>
      <c r="B678" s="58">
        <v>14800</v>
      </c>
      <c r="C678" s="58" t="s">
        <v>35</v>
      </c>
      <c r="D678" s="58">
        <v>55553</v>
      </c>
      <c r="E678" s="58">
        <v>25077</v>
      </c>
      <c r="F678" s="58">
        <v>82.284420527628299</v>
      </c>
      <c r="G678" s="58">
        <v>208122</v>
      </c>
      <c r="H678" s="58">
        <v>23.59</v>
      </c>
      <c r="I678" s="58">
        <v>2.5499999999999998</v>
      </c>
      <c r="J678" s="58">
        <v>-6.2</v>
      </c>
      <c r="K678" s="58">
        <v>-70.857142857142861</v>
      </c>
      <c r="L678" s="58">
        <v>5301750</v>
      </c>
      <c r="M678" s="58">
        <v>750300</v>
      </c>
      <c r="N678" s="58">
        <v>15136.95</v>
      </c>
      <c r="O678" s="58">
        <v>14800</v>
      </c>
      <c r="P678" s="58" t="s">
        <v>35</v>
      </c>
      <c r="Q678" s="58">
        <v>2883</v>
      </c>
      <c r="R678" s="58">
        <v>-112</v>
      </c>
      <c r="S678" s="58">
        <v>-3.7395659432387314</v>
      </c>
      <c r="T678" s="58">
        <v>2504</v>
      </c>
      <c r="U678" s="58">
        <v>0</v>
      </c>
      <c r="V678" s="58">
        <v>328.45</v>
      </c>
      <c r="W678" s="58">
        <v>16.699999999999989</v>
      </c>
      <c r="X678" s="58">
        <v>5.3568564554931797</v>
      </c>
      <c r="Y678" s="58">
        <v>260925</v>
      </c>
      <c r="Z678" s="58">
        <v>56925</v>
      </c>
      <c r="AA678" s="58">
        <v>15136.95</v>
      </c>
      <c r="AE678" s="57"/>
    </row>
    <row r="679" spans="1:31" x14ac:dyDescent="0.35">
      <c r="A679" s="56" t="s">
        <v>747</v>
      </c>
      <c r="B679" s="58">
        <v>14800</v>
      </c>
      <c r="C679" s="58" t="s">
        <v>34</v>
      </c>
      <c r="D679" s="58">
        <v>6331</v>
      </c>
      <c r="E679" s="58">
        <v>1516</v>
      </c>
      <c r="F679" s="58">
        <v>31.484942886812046</v>
      </c>
      <c r="G679" s="58">
        <v>13048</v>
      </c>
      <c r="H679" s="58">
        <v>22.36</v>
      </c>
      <c r="I679" s="58">
        <v>58.15</v>
      </c>
      <c r="J679" s="58">
        <v>-10.85</v>
      </c>
      <c r="K679" s="58">
        <v>-15.724637681159424</v>
      </c>
      <c r="L679" s="58">
        <v>54525</v>
      </c>
      <c r="M679" s="58">
        <v>152625</v>
      </c>
      <c r="N679" s="58">
        <v>15136.95</v>
      </c>
      <c r="O679" s="58">
        <v>14800</v>
      </c>
      <c r="P679" s="58" t="s">
        <v>34</v>
      </c>
      <c r="Q679" s="58">
        <v>1037</v>
      </c>
      <c r="R679" s="58">
        <v>154</v>
      </c>
      <c r="S679" s="58">
        <v>17.440543601359003</v>
      </c>
      <c r="T679" s="58">
        <v>466</v>
      </c>
      <c r="U679" s="58">
        <v>16.22</v>
      </c>
      <c r="V679" s="58">
        <v>384.75</v>
      </c>
      <c r="W679" s="58">
        <v>7.9499999999999886</v>
      </c>
      <c r="X679" s="58">
        <v>2.1098726114649651</v>
      </c>
      <c r="Y679" s="58">
        <v>21000</v>
      </c>
      <c r="Z679" s="58">
        <v>16575</v>
      </c>
      <c r="AA679" s="58">
        <v>15136.95</v>
      </c>
      <c r="AE679" s="57"/>
    </row>
    <row r="680" spans="1:31" x14ac:dyDescent="0.35">
      <c r="A680" s="56" t="s">
        <v>748</v>
      </c>
      <c r="B680" s="58">
        <v>14850</v>
      </c>
      <c r="C680" s="58" t="s">
        <v>33</v>
      </c>
      <c r="D680" s="58">
        <v>605</v>
      </c>
      <c r="E680" s="58">
        <v>102</v>
      </c>
      <c r="F680" s="58">
        <v>20.278330019880716</v>
      </c>
      <c r="G680" s="58">
        <v>364</v>
      </c>
      <c r="H680" s="58">
        <v>23</v>
      </c>
      <c r="I680" s="58">
        <v>132.30000000000001</v>
      </c>
      <c r="J680" s="58">
        <v>-18</v>
      </c>
      <c r="K680" s="58">
        <v>-11.976047904191615</v>
      </c>
      <c r="L680" s="58">
        <v>16950</v>
      </c>
      <c r="M680" s="58">
        <v>19500</v>
      </c>
      <c r="N680" s="58">
        <v>15136.95</v>
      </c>
      <c r="O680" s="58">
        <v>14850</v>
      </c>
      <c r="P680" s="58" t="s">
        <v>33</v>
      </c>
      <c r="Q680" s="58">
        <v>286</v>
      </c>
      <c r="R680" s="58">
        <v>1</v>
      </c>
      <c r="S680" s="58">
        <v>0.35087719298245612</v>
      </c>
      <c r="T680" s="58">
        <v>32</v>
      </c>
      <c r="U680" s="58">
        <v>17.72</v>
      </c>
      <c r="V680" s="58">
        <v>415</v>
      </c>
      <c r="W680" s="58">
        <v>0.69999999999998863</v>
      </c>
      <c r="X680" s="58">
        <v>0.16895969104513364</v>
      </c>
      <c r="Y680" s="58">
        <v>29775</v>
      </c>
      <c r="Z680" s="58">
        <v>25725</v>
      </c>
      <c r="AA680" s="58">
        <v>15136.95</v>
      </c>
      <c r="AE680" s="57"/>
    </row>
    <row r="681" spans="1:31" x14ac:dyDescent="0.35">
      <c r="A681" s="56" t="s">
        <v>749</v>
      </c>
      <c r="B681" s="58">
        <v>14850</v>
      </c>
      <c r="C681" s="58" t="s">
        <v>37</v>
      </c>
      <c r="D681" s="58">
        <v>0</v>
      </c>
      <c r="E681" s="58">
        <v>0</v>
      </c>
      <c r="F681" s="58">
        <v>0</v>
      </c>
      <c r="G681" s="58">
        <v>0</v>
      </c>
      <c r="H681" s="58">
        <v>0</v>
      </c>
      <c r="I681" s="58">
        <v>0</v>
      </c>
      <c r="J681" s="58">
        <v>0</v>
      </c>
      <c r="K681" s="58">
        <v>0</v>
      </c>
      <c r="L681" s="58">
        <v>0</v>
      </c>
      <c r="M681" s="58">
        <v>4875</v>
      </c>
      <c r="N681" s="58">
        <v>15136.95</v>
      </c>
      <c r="O681" s="58">
        <v>14850</v>
      </c>
      <c r="P681" s="58" t="s">
        <v>37</v>
      </c>
      <c r="Q681" s="58">
        <v>0</v>
      </c>
      <c r="R681" s="58">
        <v>0</v>
      </c>
      <c r="S681" s="58">
        <v>0</v>
      </c>
      <c r="T681" s="58">
        <v>0</v>
      </c>
      <c r="U681" s="58">
        <v>0</v>
      </c>
      <c r="V681" s="58">
        <v>0</v>
      </c>
      <c r="W681" s="58">
        <v>0</v>
      </c>
      <c r="X681" s="58">
        <v>0</v>
      </c>
      <c r="Y681" s="58">
        <v>0</v>
      </c>
      <c r="Z681" s="58">
        <v>4875</v>
      </c>
      <c r="AA681" s="58">
        <v>15136.95</v>
      </c>
      <c r="AE681" s="57"/>
    </row>
    <row r="682" spans="1:31" x14ac:dyDescent="0.35">
      <c r="A682" s="56" t="s">
        <v>750</v>
      </c>
      <c r="B682" s="58">
        <v>14850</v>
      </c>
      <c r="C682" s="58" t="s">
        <v>34</v>
      </c>
      <c r="D682" s="58">
        <v>664</v>
      </c>
      <c r="E682" s="58">
        <v>250</v>
      </c>
      <c r="F682" s="58">
        <v>60.386473429951693</v>
      </c>
      <c r="G682" s="58">
        <v>1281</v>
      </c>
      <c r="H682" s="58">
        <v>21.84</v>
      </c>
      <c r="I682" s="58">
        <v>68.05</v>
      </c>
      <c r="J682" s="58">
        <v>-12.25</v>
      </c>
      <c r="K682" s="58">
        <v>-15.255292652552926</v>
      </c>
      <c r="L682" s="58">
        <v>20100</v>
      </c>
      <c r="M682" s="58">
        <v>23550</v>
      </c>
      <c r="N682" s="58">
        <v>15136.95</v>
      </c>
      <c r="O682" s="58">
        <v>14850</v>
      </c>
      <c r="P682" s="58" t="s">
        <v>34</v>
      </c>
      <c r="Q682" s="58">
        <v>66</v>
      </c>
      <c r="R682" s="58">
        <v>17</v>
      </c>
      <c r="S682" s="58">
        <v>34.693877551020407</v>
      </c>
      <c r="T682" s="58">
        <v>169</v>
      </c>
      <c r="U682" s="58">
        <v>17.13</v>
      </c>
      <c r="V682" s="58">
        <v>344.45</v>
      </c>
      <c r="W682" s="58">
        <v>6.5</v>
      </c>
      <c r="X682" s="58">
        <v>1.9233614440005919</v>
      </c>
      <c r="Y682" s="58">
        <v>18600</v>
      </c>
      <c r="Z682" s="58">
        <v>13875</v>
      </c>
      <c r="AA682" s="58">
        <v>15136.95</v>
      </c>
      <c r="AE682" s="57"/>
    </row>
    <row r="683" spans="1:31" x14ac:dyDescent="0.35">
      <c r="A683" s="56" t="s">
        <v>751</v>
      </c>
      <c r="B683" s="58">
        <v>14850</v>
      </c>
      <c r="C683" s="58" t="s">
        <v>38</v>
      </c>
      <c r="D683" s="58">
        <v>0</v>
      </c>
      <c r="E683" s="58">
        <v>0</v>
      </c>
      <c r="F683" s="58">
        <v>0</v>
      </c>
      <c r="G683" s="58">
        <v>0</v>
      </c>
      <c r="H683" s="58">
        <v>0</v>
      </c>
      <c r="I683" s="58">
        <v>0</v>
      </c>
      <c r="J683" s="58">
        <v>0</v>
      </c>
      <c r="K683" s="58">
        <v>0</v>
      </c>
      <c r="L683" s="58">
        <v>0</v>
      </c>
      <c r="M683" s="58">
        <v>75</v>
      </c>
      <c r="N683" s="58">
        <v>15136.95</v>
      </c>
      <c r="O683" s="58">
        <v>14850</v>
      </c>
      <c r="P683" s="58" t="s">
        <v>38</v>
      </c>
      <c r="Q683" s="58">
        <v>0</v>
      </c>
      <c r="R683" s="58">
        <v>0</v>
      </c>
      <c r="S683" s="58">
        <v>0</v>
      </c>
      <c r="T683" s="58">
        <v>0</v>
      </c>
      <c r="U683" s="58">
        <v>0</v>
      </c>
      <c r="V683" s="58">
        <v>0</v>
      </c>
      <c r="W683" s="58">
        <v>0</v>
      </c>
      <c r="X683" s="58">
        <v>0</v>
      </c>
      <c r="Y683" s="58">
        <v>0</v>
      </c>
      <c r="Z683" s="58">
        <v>4875</v>
      </c>
      <c r="AA683" s="58">
        <v>15136.95</v>
      </c>
      <c r="AE683" s="57"/>
    </row>
    <row r="684" spans="1:31" x14ac:dyDescent="0.35">
      <c r="A684" s="56" t="s">
        <v>752</v>
      </c>
      <c r="B684" s="58">
        <v>14850</v>
      </c>
      <c r="C684" s="58" t="s">
        <v>26</v>
      </c>
      <c r="D684" s="58">
        <v>30</v>
      </c>
      <c r="E684" s="58">
        <v>0</v>
      </c>
      <c r="F684" s="58">
        <v>0</v>
      </c>
      <c r="G684" s="58">
        <v>0</v>
      </c>
      <c r="H684" s="58">
        <v>0</v>
      </c>
      <c r="I684" s="58">
        <v>0</v>
      </c>
      <c r="J684" s="58">
        <v>0</v>
      </c>
      <c r="K684" s="58">
        <v>0</v>
      </c>
      <c r="L684" s="58">
        <v>3375</v>
      </c>
      <c r="M684" s="58">
        <v>7725</v>
      </c>
      <c r="N684" s="58">
        <v>15136.95</v>
      </c>
      <c r="O684" s="58">
        <v>14850</v>
      </c>
      <c r="P684" s="58" t="s">
        <v>26</v>
      </c>
      <c r="Q684" s="58">
        <v>6</v>
      </c>
      <c r="R684" s="58">
        <v>0</v>
      </c>
      <c r="S684" s="58">
        <v>0</v>
      </c>
      <c r="T684" s="58">
        <v>0</v>
      </c>
      <c r="U684" s="58">
        <v>0</v>
      </c>
      <c r="V684" s="58">
        <v>0</v>
      </c>
      <c r="W684" s="58">
        <v>0</v>
      </c>
      <c r="X684" s="58">
        <v>0</v>
      </c>
      <c r="Y684" s="58">
        <v>8325</v>
      </c>
      <c r="Z684" s="58">
        <v>8700</v>
      </c>
      <c r="AA684" s="58">
        <v>15136.95</v>
      </c>
      <c r="AE684" s="57"/>
    </row>
    <row r="685" spans="1:31" x14ac:dyDescent="0.35">
      <c r="A685" s="56" t="s">
        <v>753</v>
      </c>
      <c r="B685" s="58">
        <v>14850</v>
      </c>
      <c r="C685" s="58" t="s">
        <v>67</v>
      </c>
      <c r="D685" s="58">
        <v>0</v>
      </c>
      <c r="E685" s="58">
        <v>0</v>
      </c>
      <c r="F685" s="58">
        <v>0</v>
      </c>
      <c r="G685" s="58">
        <v>0</v>
      </c>
      <c r="H685" s="58">
        <v>0</v>
      </c>
      <c r="I685" s="58">
        <v>0</v>
      </c>
      <c r="J685" s="58">
        <v>0</v>
      </c>
      <c r="K685" s="58">
        <v>0</v>
      </c>
      <c r="L685" s="58">
        <v>0</v>
      </c>
      <c r="M685" s="58">
        <v>4875</v>
      </c>
      <c r="N685" s="58">
        <v>15136.95</v>
      </c>
      <c r="O685" s="58">
        <v>14850</v>
      </c>
      <c r="P685" s="58" t="s">
        <v>67</v>
      </c>
      <c r="Q685" s="58">
        <v>0</v>
      </c>
      <c r="R685" s="58">
        <v>0</v>
      </c>
      <c r="S685" s="58">
        <v>0</v>
      </c>
      <c r="T685" s="58">
        <v>0</v>
      </c>
      <c r="U685" s="58">
        <v>0</v>
      </c>
      <c r="V685" s="58">
        <v>0</v>
      </c>
      <c r="W685" s="58">
        <v>0</v>
      </c>
      <c r="X685" s="58">
        <v>0</v>
      </c>
      <c r="Y685" s="58">
        <v>0</v>
      </c>
      <c r="Z685" s="58">
        <v>4875</v>
      </c>
      <c r="AA685" s="58">
        <v>15136.95</v>
      </c>
      <c r="AE685" s="57"/>
    </row>
    <row r="686" spans="1:31" x14ac:dyDescent="0.35">
      <c r="A686" s="56" t="s">
        <v>754</v>
      </c>
      <c r="B686" s="58">
        <v>14850</v>
      </c>
      <c r="C686" s="58" t="s">
        <v>2074</v>
      </c>
      <c r="D686" s="58">
        <v>0</v>
      </c>
      <c r="E686" s="58">
        <v>0</v>
      </c>
      <c r="F686" s="58">
        <v>0</v>
      </c>
      <c r="G686" s="58">
        <v>0</v>
      </c>
      <c r="H686" s="58">
        <v>0</v>
      </c>
      <c r="I686" s="58">
        <v>0</v>
      </c>
      <c r="J686" s="58">
        <v>0</v>
      </c>
      <c r="K686" s="58">
        <v>0</v>
      </c>
      <c r="L686" s="58">
        <v>0</v>
      </c>
      <c r="M686" s="58">
        <v>4875</v>
      </c>
      <c r="N686" s="58">
        <v>15136.95</v>
      </c>
      <c r="O686" s="58">
        <v>14850</v>
      </c>
      <c r="P686" s="58" t="s">
        <v>2074</v>
      </c>
      <c r="Q686" s="58">
        <v>0</v>
      </c>
      <c r="R686" s="58">
        <v>0</v>
      </c>
      <c r="S686" s="58">
        <v>0</v>
      </c>
      <c r="T686" s="58">
        <v>0</v>
      </c>
      <c r="U686" s="58">
        <v>0</v>
      </c>
      <c r="V686" s="58">
        <v>0</v>
      </c>
      <c r="W686" s="58">
        <v>0</v>
      </c>
      <c r="X686" s="58">
        <v>0</v>
      </c>
      <c r="Y686" s="58">
        <v>0</v>
      </c>
      <c r="Z686" s="58">
        <v>4875</v>
      </c>
      <c r="AA686" s="58">
        <v>15136.95</v>
      </c>
      <c r="AE686" s="57"/>
    </row>
    <row r="687" spans="1:31" x14ac:dyDescent="0.35">
      <c r="A687" s="56" t="s">
        <v>755</v>
      </c>
      <c r="B687" s="58">
        <v>14850</v>
      </c>
      <c r="C687" s="58" t="s">
        <v>2071</v>
      </c>
      <c r="D687" s="58">
        <v>0</v>
      </c>
      <c r="E687" s="58">
        <v>0</v>
      </c>
      <c r="F687" s="58">
        <v>0</v>
      </c>
      <c r="G687" s="58">
        <v>0</v>
      </c>
      <c r="H687" s="58">
        <v>0</v>
      </c>
      <c r="I687" s="58">
        <v>0</v>
      </c>
      <c r="J687" s="58">
        <v>0</v>
      </c>
      <c r="K687" s="58">
        <v>0</v>
      </c>
      <c r="L687" s="58">
        <v>0</v>
      </c>
      <c r="M687" s="58">
        <v>0</v>
      </c>
      <c r="N687" s="58">
        <v>15136.95</v>
      </c>
      <c r="O687" s="58">
        <v>14850</v>
      </c>
      <c r="P687" s="58" t="s">
        <v>2071</v>
      </c>
      <c r="Q687" s="58">
        <v>0</v>
      </c>
      <c r="R687" s="58">
        <v>0</v>
      </c>
      <c r="S687" s="58">
        <v>0</v>
      </c>
      <c r="T687" s="58">
        <v>0</v>
      </c>
      <c r="U687" s="58">
        <v>0</v>
      </c>
      <c r="V687" s="58">
        <v>0</v>
      </c>
      <c r="W687" s="58">
        <v>0</v>
      </c>
      <c r="X687" s="58">
        <v>0</v>
      </c>
      <c r="Y687" s="58">
        <v>0</v>
      </c>
      <c r="Z687" s="58">
        <v>4875</v>
      </c>
      <c r="AA687" s="58">
        <v>15136.95</v>
      </c>
      <c r="AE687" s="57"/>
    </row>
    <row r="688" spans="1:31" x14ac:dyDescent="0.35">
      <c r="A688" s="56" t="s">
        <v>756</v>
      </c>
      <c r="B688" s="58">
        <v>14850</v>
      </c>
      <c r="C688" s="58" t="s">
        <v>35</v>
      </c>
      <c r="D688" s="58">
        <v>19411</v>
      </c>
      <c r="E688" s="58">
        <v>7093</v>
      </c>
      <c r="F688" s="58">
        <v>57.582399740217568</v>
      </c>
      <c r="G688" s="58">
        <v>145254</v>
      </c>
      <c r="H688" s="58">
        <v>22.05</v>
      </c>
      <c r="I688" s="58">
        <v>3.65</v>
      </c>
      <c r="J688" s="58">
        <v>-8.7999999999999989</v>
      </c>
      <c r="K688" s="58">
        <v>-70.682730923694777</v>
      </c>
      <c r="L688" s="58">
        <v>3650775</v>
      </c>
      <c r="M688" s="58">
        <v>308025</v>
      </c>
      <c r="N688" s="58">
        <v>15136.95</v>
      </c>
      <c r="O688" s="58">
        <v>14850</v>
      </c>
      <c r="P688" s="58" t="s">
        <v>35</v>
      </c>
      <c r="Q688" s="58">
        <v>804</v>
      </c>
      <c r="R688" s="58">
        <v>-28</v>
      </c>
      <c r="S688" s="58">
        <v>-3.3653846153846154</v>
      </c>
      <c r="T688" s="58">
        <v>759</v>
      </c>
      <c r="U688" s="58">
        <v>0</v>
      </c>
      <c r="V688" s="58">
        <v>278.5</v>
      </c>
      <c r="W688" s="58">
        <v>21.300000000000011</v>
      </c>
      <c r="X688" s="58">
        <v>8.2814930015552157</v>
      </c>
      <c r="Y688" s="58">
        <v>210075</v>
      </c>
      <c r="Z688" s="58">
        <v>29625</v>
      </c>
      <c r="AA688" s="58">
        <v>15136.95</v>
      </c>
      <c r="AE688" s="57"/>
    </row>
    <row r="689" spans="1:31" x14ac:dyDescent="0.35">
      <c r="A689" s="56" t="s">
        <v>757</v>
      </c>
      <c r="B689" s="58">
        <v>14850</v>
      </c>
      <c r="C689" s="58" t="s">
        <v>36</v>
      </c>
      <c r="D689" s="58">
        <v>0</v>
      </c>
      <c r="E689" s="58">
        <v>0</v>
      </c>
      <c r="F689" s="58">
        <v>0</v>
      </c>
      <c r="G689" s="58">
        <v>0</v>
      </c>
      <c r="H689" s="58">
        <v>0</v>
      </c>
      <c r="I689" s="58">
        <v>0</v>
      </c>
      <c r="J689" s="58">
        <v>0</v>
      </c>
      <c r="K689" s="58">
        <v>0</v>
      </c>
      <c r="L689" s="58">
        <v>2325</v>
      </c>
      <c r="M689" s="58">
        <v>6975</v>
      </c>
      <c r="N689" s="58">
        <v>15136.95</v>
      </c>
      <c r="O689" s="58">
        <v>14850</v>
      </c>
      <c r="P689" s="58" t="s">
        <v>36</v>
      </c>
      <c r="Q689" s="58">
        <v>0</v>
      </c>
      <c r="R689" s="58">
        <v>0</v>
      </c>
      <c r="S689" s="58">
        <v>0</v>
      </c>
      <c r="T689" s="58">
        <v>0</v>
      </c>
      <c r="U689" s="58">
        <v>0</v>
      </c>
      <c r="V689" s="58">
        <v>0</v>
      </c>
      <c r="W689" s="58">
        <v>0</v>
      </c>
      <c r="X689" s="58">
        <v>0</v>
      </c>
      <c r="Y689" s="58">
        <v>75</v>
      </c>
      <c r="Z689" s="58">
        <v>6075</v>
      </c>
      <c r="AA689" s="58">
        <v>15136.95</v>
      </c>
      <c r="AE689" s="57"/>
    </row>
    <row r="690" spans="1:31" x14ac:dyDescent="0.35">
      <c r="A690" s="56" t="s">
        <v>758</v>
      </c>
      <c r="B690" s="58">
        <v>14900</v>
      </c>
      <c r="C690" s="58" t="s">
        <v>33</v>
      </c>
      <c r="D690" s="58">
        <v>8872</v>
      </c>
      <c r="E690" s="58">
        <v>702</v>
      </c>
      <c r="F690" s="58">
        <v>8.5924112607099143</v>
      </c>
      <c r="G690" s="58">
        <v>4816</v>
      </c>
      <c r="H690" s="58">
        <v>22.54</v>
      </c>
      <c r="I690" s="58">
        <v>146</v>
      </c>
      <c r="J690" s="58">
        <v>-18.150000000000009</v>
      </c>
      <c r="K690" s="58">
        <v>-11.056960097471828</v>
      </c>
      <c r="L690" s="58">
        <v>42300</v>
      </c>
      <c r="M690" s="58">
        <v>62925</v>
      </c>
      <c r="N690" s="58">
        <v>15136.95</v>
      </c>
      <c r="O690" s="58">
        <v>14900</v>
      </c>
      <c r="P690" s="58" t="s">
        <v>33</v>
      </c>
      <c r="Q690" s="58">
        <v>5624</v>
      </c>
      <c r="R690" s="58">
        <v>47</v>
      </c>
      <c r="S690" s="58">
        <v>0.84274699659315044</v>
      </c>
      <c r="T690" s="58">
        <v>904</v>
      </c>
      <c r="U690" s="58">
        <v>17.64</v>
      </c>
      <c r="V690" s="58">
        <v>376.95</v>
      </c>
      <c r="W690" s="58">
        <v>0.5</v>
      </c>
      <c r="X690" s="58">
        <v>0.13281976358082084</v>
      </c>
      <c r="Y690" s="58">
        <v>32625</v>
      </c>
      <c r="Z690" s="58">
        <v>41925</v>
      </c>
      <c r="AA690" s="58">
        <v>15136.95</v>
      </c>
      <c r="AE690" s="57"/>
    </row>
    <row r="691" spans="1:31" x14ac:dyDescent="0.35">
      <c r="A691" s="56" t="s">
        <v>759</v>
      </c>
      <c r="B691" s="58">
        <v>14900</v>
      </c>
      <c r="C691" s="58" t="s">
        <v>37</v>
      </c>
      <c r="D691" s="58">
        <v>0</v>
      </c>
      <c r="E691" s="58">
        <v>0</v>
      </c>
      <c r="F691" s="58">
        <v>0</v>
      </c>
      <c r="G691" s="58">
        <v>0</v>
      </c>
      <c r="H691" s="58">
        <v>0</v>
      </c>
      <c r="I691" s="58">
        <v>0</v>
      </c>
      <c r="J691" s="58">
        <v>0</v>
      </c>
      <c r="K691" s="58">
        <v>0</v>
      </c>
      <c r="L691" s="58">
        <v>1275</v>
      </c>
      <c r="M691" s="58">
        <v>6225</v>
      </c>
      <c r="N691" s="58">
        <v>15136.95</v>
      </c>
      <c r="O691" s="58">
        <v>14900</v>
      </c>
      <c r="P691" s="58" t="s">
        <v>37</v>
      </c>
      <c r="Q691" s="58">
        <v>0</v>
      </c>
      <c r="R691" s="58">
        <v>0</v>
      </c>
      <c r="S691" s="58">
        <v>0</v>
      </c>
      <c r="T691" s="58">
        <v>0</v>
      </c>
      <c r="U691" s="58">
        <v>0</v>
      </c>
      <c r="V691" s="58">
        <v>0</v>
      </c>
      <c r="W691" s="58">
        <v>0</v>
      </c>
      <c r="X691" s="58">
        <v>0</v>
      </c>
      <c r="Y691" s="58">
        <v>1200</v>
      </c>
      <c r="Z691" s="58">
        <v>4875</v>
      </c>
      <c r="AA691" s="58">
        <v>15136.95</v>
      </c>
      <c r="AE691" s="57"/>
    </row>
    <row r="692" spans="1:31" x14ac:dyDescent="0.35">
      <c r="A692" s="56" t="s">
        <v>760</v>
      </c>
      <c r="B692" s="58">
        <v>14900</v>
      </c>
      <c r="C692" s="58" t="s">
        <v>38</v>
      </c>
      <c r="D692" s="58">
        <v>0</v>
      </c>
      <c r="E692" s="58">
        <v>0</v>
      </c>
      <c r="F692" s="58">
        <v>0</v>
      </c>
      <c r="G692" s="58">
        <v>0</v>
      </c>
      <c r="H692" s="58">
        <v>0</v>
      </c>
      <c r="I692" s="58">
        <v>0</v>
      </c>
      <c r="J692" s="58">
        <v>0</v>
      </c>
      <c r="K692" s="58">
        <v>0</v>
      </c>
      <c r="L692" s="58">
        <v>0</v>
      </c>
      <c r="M692" s="58">
        <v>4875</v>
      </c>
      <c r="N692" s="58">
        <v>15136.95</v>
      </c>
      <c r="O692" s="58">
        <v>14900</v>
      </c>
      <c r="P692" s="58" t="s">
        <v>38</v>
      </c>
      <c r="Q692" s="58">
        <v>0</v>
      </c>
      <c r="R692" s="58">
        <v>0</v>
      </c>
      <c r="S692" s="58">
        <v>0</v>
      </c>
      <c r="T692" s="58">
        <v>0</v>
      </c>
      <c r="U692" s="58">
        <v>0</v>
      </c>
      <c r="V692" s="58">
        <v>0</v>
      </c>
      <c r="W692" s="58">
        <v>0</v>
      </c>
      <c r="X692" s="58">
        <v>0</v>
      </c>
      <c r="Y692" s="58">
        <v>0</v>
      </c>
      <c r="Z692" s="58">
        <v>4875</v>
      </c>
      <c r="AA692" s="58">
        <v>15136.95</v>
      </c>
      <c r="AE692" s="57"/>
    </row>
    <row r="693" spans="1:31" x14ac:dyDescent="0.35">
      <c r="A693" s="56" t="s">
        <v>761</v>
      </c>
      <c r="B693" s="58">
        <v>14900</v>
      </c>
      <c r="C693" s="58" t="s">
        <v>26</v>
      </c>
      <c r="D693" s="58">
        <v>691</v>
      </c>
      <c r="E693" s="58">
        <v>37</v>
      </c>
      <c r="F693" s="58">
        <v>5.6574923547400608</v>
      </c>
      <c r="G693" s="58">
        <v>189</v>
      </c>
      <c r="H693" s="58">
        <v>25.03</v>
      </c>
      <c r="I693" s="58">
        <v>331.25</v>
      </c>
      <c r="J693" s="58">
        <v>-18.350000000000023</v>
      </c>
      <c r="K693" s="58">
        <v>-5.2488558352402803</v>
      </c>
      <c r="L693" s="58">
        <v>7875</v>
      </c>
      <c r="M693" s="58">
        <v>5250</v>
      </c>
      <c r="N693" s="58">
        <v>15136.95</v>
      </c>
      <c r="O693" s="58">
        <v>14900</v>
      </c>
      <c r="P693" s="58" t="s">
        <v>26</v>
      </c>
      <c r="Q693" s="58">
        <v>358</v>
      </c>
      <c r="R693" s="58">
        <v>2</v>
      </c>
      <c r="S693" s="58">
        <v>0.5617977528089888</v>
      </c>
      <c r="T693" s="58">
        <v>9</v>
      </c>
      <c r="U693" s="58">
        <v>18.010000000000002</v>
      </c>
      <c r="V693" s="58">
        <v>600</v>
      </c>
      <c r="W693" s="58">
        <v>60.299999999999955</v>
      </c>
      <c r="X693" s="58">
        <v>11.172873818788206</v>
      </c>
      <c r="Y693" s="58">
        <v>7425</v>
      </c>
      <c r="Z693" s="58">
        <v>12225</v>
      </c>
      <c r="AA693" s="58">
        <v>15136.95</v>
      </c>
      <c r="AE693" s="57"/>
    </row>
    <row r="694" spans="1:31" x14ac:dyDescent="0.35">
      <c r="A694" s="56" t="s">
        <v>762</v>
      </c>
      <c r="B694" s="58">
        <v>14900</v>
      </c>
      <c r="C694" s="58" t="s">
        <v>67</v>
      </c>
      <c r="D694" s="58">
        <v>660</v>
      </c>
      <c r="E694" s="58">
        <v>0</v>
      </c>
      <c r="F694" s="58">
        <v>0</v>
      </c>
      <c r="G694" s="58">
        <v>0</v>
      </c>
      <c r="H694" s="58">
        <v>0</v>
      </c>
      <c r="I694" s="58">
        <v>0</v>
      </c>
      <c r="J694" s="58">
        <v>0</v>
      </c>
      <c r="K694" s="58">
        <v>0</v>
      </c>
      <c r="L694" s="58">
        <v>0</v>
      </c>
      <c r="M694" s="58">
        <v>4875</v>
      </c>
      <c r="N694" s="58">
        <v>15136.95</v>
      </c>
      <c r="O694" s="58">
        <v>14900</v>
      </c>
      <c r="P694" s="58" t="s">
        <v>67</v>
      </c>
      <c r="Q694" s="58">
        <v>660</v>
      </c>
      <c r="R694" s="58">
        <v>0</v>
      </c>
      <c r="S694" s="58">
        <v>0</v>
      </c>
      <c r="T694" s="58">
        <v>0</v>
      </c>
      <c r="U694" s="58">
        <v>0</v>
      </c>
      <c r="V694" s="58">
        <v>0</v>
      </c>
      <c r="W694" s="58">
        <v>0</v>
      </c>
      <c r="X694" s="58">
        <v>0</v>
      </c>
      <c r="Y694" s="58">
        <v>0</v>
      </c>
      <c r="Z694" s="58">
        <v>4875</v>
      </c>
      <c r="AA694" s="58">
        <v>15136.95</v>
      </c>
      <c r="AE694" s="57"/>
    </row>
    <row r="695" spans="1:31" x14ac:dyDescent="0.35">
      <c r="A695" s="56" t="s">
        <v>763</v>
      </c>
      <c r="B695" s="58">
        <v>14900</v>
      </c>
      <c r="C695" s="58" t="s">
        <v>2074</v>
      </c>
      <c r="D695" s="58">
        <v>0</v>
      </c>
      <c r="E695" s="58">
        <v>0</v>
      </c>
      <c r="F695" s="58">
        <v>0</v>
      </c>
      <c r="G695" s="58">
        <v>0</v>
      </c>
      <c r="H695" s="58">
        <v>0</v>
      </c>
      <c r="I695" s="58">
        <v>0</v>
      </c>
      <c r="J695" s="58">
        <v>0</v>
      </c>
      <c r="K695" s="58">
        <v>0</v>
      </c>
      <c r="L695" s="58">
        <v>0</v>
      </c>
      <c r="M695" s="58">
        <v>4875</v>
      </c>
      <c r="N695" s="58">
        <v>15136.95</v>
      </c>
      <c r="O695" s="58">
        <v>14900</v>
      </c>
      <c r="P695" s="58" t="s">
        <v>2074</v>
      </c>
      <c r="Q695" s="58">
        <v>0</v>
      </c>
      <c r="R695" s="58">
        <v>0</v>
      </c>
      <c r="S695" s="58">
        <v>0</v>
      </c>
      <c r="T695" s="58">
        <v>0</v>
      </c>
      <c r="U695" s="58">
        <v>0</v>
      </c>
      <c r="V695" s="58">
        <v>0</v>
      </c>
      <c r="W695" s="58">
        <v>0</v>
      </c>
      <c r="X695" s="58">
        <v>0</v>
      </c>
      <c r="Y695" s="58">
        <v>0</v>
      </c>
      <c r="Z695" s="58">
        <v>4875</v>
      </c>
      <c r="AA695" s="58">
        <v>15136.95</v>
      </c>
      <c r="AE695" s="57"/>
    </row>
    <row r="696" spans="1:31" x14ac:dyDescent="0.35">
      <c r="A696" s="56" t="s">
        <v>764</v>
      </c>
      <c r="B696" s="58">
        <v>14900</v>
      </c>
      <c r="C696" s="58" t="s">
        <v>2071</v>
      </c>
      <c r="D696" s="58">
        <v>0</v>
      </c>
      <c r="E696" s="58">
        <v>0</v>
      </c>
      <c r="F696" s="58">
        <v>0</v>
      </c>
      <c r="G696" s="58">
        <v>0</v>
      </c>
      <c r="H696" s="58">
        <v>0</v>
      </c>
      <c r="I696" s="58">
        <v>0</v>
      </c>
      <c r="J696" s="58">
        <v>0</v>
      </c>
      <c r="K696" s="58">
        <v>0</v>
      </c>
      <c r="L696" s="58">
        <v>1425</v>
      </c>
      <c r="M696" s="58">
        <v>1650</v>
      </c>
      <c r="N696" s="58">
        <v>15136.95</v>
      </c>
      <c r="O696" s="58">
        <v>14900</v>
      </c>
      <c r="P696" s="58" t="s">
        <v>2071</v>
      </c>
      <c r="Q696" s="58">
        <v>0</v>
      </c>
      <c r="R696" s="58">
        <v>0</v>
      </c>
      <c r="S696" s="58">
        <v>0</v>
      </c>
      <c r="T696" s="58">
        <v>0</v>
      </c>
      <c r="U696" s="58">
        <v>0</v>
      </c>
      <c r="V696" s="58">
        <v>0</v>
      </c>
      <c r="W696" s="58">
        <v>0</v>
      </c>
      <c r="X696" s="58">
        <v>0</v>
      </c>
      <c r="Y696" s="58">
        <v>300</v>
      </c>
      <c r="Z696" s="58">
        <v>11250</v>
      </c>
      <c r="AA696" s="58">
        <v>15136.95</v>
      </c>
      <c r="AE696" s="57"/>
    </row>
    <row r="697" spans="1:31" x14ac:dyDescent="0.35">
      <c r="A697" s="56" t="s">
        <v>765</v>
      </c>
      <c r="B697" s="58">
        <v>14900</v>
      </c>
      <c r="C697" s="58" t="s">
        <v>34</v>
      </c>
      <c r="D697" s="58">
        <v>4883</v>
      </c>
      <c r="E697" s="58">
        <v>1987</v>
      </c>
      <c r="F697" s="58">
        <v>68.611878453038671</v>
      </c>
      <c r="G697" s="58">
        <v>11418</v>
      </c>
      <c r="H697" s="58">
        <v>21.54</v>
      </c>
      <c r="I697" s="58">
        <v>78.900000000000006</v>
      </c>
      <c r="J697" s="58">
        <v>-11.799999999999995</v>
      </c>
      <c r="K697" s="58">
        <v>-13.009922822491726</v>
      </c>
      <c r="L697" s="58">
        <v>58875</v>
      </c>
      <c r="M697" s="58">
        <v>81825</v>
      </c>
      <c r="N697" s="58">
        <v>15136.95</v>
      </c>
      <c r="O697" s="58">
        <v>14900</v>
      </c>
      <c r="P697" s="58" t="s">
        <v>34</v>
      </c>
      <c r="Q697" s="58">
        <v>531</v>
      </c>
      <c r="R697" s="58">
        <v>5</v>
      </c>
      <c r="S697" s="58">
        <v>0.95057034220532322</v>
      </c>
      <c r="T697" s="58">
        <v>1331</v>
      </c>
      <c r="U697" s="58">
        <v>17.21</v>
      </c>
      <c r="V697" s="58">
        <v>304.95</v>
      </c>
      <c r="W697" s="58">
        <v>-2.6000000000000227</v>
      </c>
      <c r="X697" s="58">
        <v>-0.84539099333442447</v>
      </c>
      <c r="Y697" s="58">
        <v>23775</v>
      </c>
      <c r="Z697" s="58">
        <v>17700</v>
      </c>
      <c r="AA697" s="58">
        <v>15136.95</v>
      </c>
      <c r="AE697" s="57"/>
    </row>
    <row r="698" spans="1:31" x14ac:dyDescent="0.35">
      <c r="A698" s="56" t="s">
        <v>766</v>
      </c>
      <c r="B698" s="58">
        <v>14900</v>
      </c>
      <c r="C698" s="58" t="s">
        <v>36</v>
      </c>
      <c r="D698" s="58">
        <v>4</v>
      </c>
      <c r="E698" s="58">
        <v>0</v>
      </c>
      <c r="F698" s="58">
        <v>0</v>
      </c>
      <c r="G698" s="58">
        <v>4</v>
      </c>
      <c r="H698" s="58">
        <v>23.2</v>
      </c>
      <c r="I698" s="58">
        <v>193</v>
      </c>
      <c r="J698" s="58">
        <v>-26.199999999999989</v>
      </c>
      <c r="K698" s="58">
        <v>-11.952554744525544</v>
      </c>
      <c r="L698" s="58">
        <v>2625</v>
      </c>
      <c r="M698" s="58">
        <v>6675</v>
      </c>
      <c r="N698" s="58">
        <v>15136.95</v>
      </c>
      <c r="O698" s="58">
        <v>14900</v>
      </c>
      <c r="P698" s="58" t="s">
        <v>36</v>
      </c>
      <c r="Q698" s="58">
        <v>2</v>
      </c>
      <c r="R698" s="58">
        <v>0</v>
      </c>
      <c r="S698" s="58">
        <v>0</v>
      </c>
      <c r="T698" s="58">
        <v>0</v>
      </c>
      <c r="U698" s="58">
        <v>0</v>
      </c>
      <c r="V698" s="58">
        <v>0</v>
      </c>
      <c r="W698" s="58">
        <v>0</v>
      </c>
      <c r="X698" s="58">
        <v>0</v>
      </c>
      <c r="Y698" s="58">
        <v>450</v>
      </c>
      <c r="Z698" s="58">
        <v>5775</v>
      </c>
      <c r="AA698" s="58">
        <v>15136.95</v>
      </c>
      <c r="AE698" s="57"/>
    </row>
    <row r="699" spans="1:31" x14ac:dyDescent="0.35">
      <c r="A699" s="56" t="s">
        <v>767</v>
      </c>
      <c r="B699" s="58">
        <v>14900</v>
      </c>
      <c r="C699" s="58" t="s">
        <v>35</v>
      </c>
      <c r="D699" s="58">
        <v>48740</v>
      </c>
      <c r="E699" s="58">
        <v>21252</v>
      </c>
      <c r="F699" s="58">
        <v>77.313736903376025</v>
      </c>
      <c r="G699" s="58">
        <v>289875</v>
      </c>
      <c r="H699" s="58">
        <v>20.87</v>
      </c>
      <c r="I699" s="58">
        <v>5.65</v>
      </c>
      <c r="J699" s="58">
        <v>-12.45</v>
      </c>
      <c r="K699" s="58">
        <v>-68.784530386740329</v>
      </c>
      <c r="L699" s="58">
        <v>5057250</v>
      </c>
      <c r="M699" s="58">
        <v>764550</v>
      </c>
      <c r="N699" s="58">
        <v>15136.95</v>
      </c>
      <c r="O699" s="58">
        <v>14900</v>
      </c>
      <c r="P699" s="58" t="s">
        <v>35</v>
      </c>
      <c r="Q699" s="58">
        <v>6270</v>
      </c>
      <c r="R699" s="58">
        <v>-17</v>
      </c>
      <c r="S699" s="58">
        <v>-0.27039923651980274</v>
      </c>
      <c r="T699" s="58">
        <v>15044</v>
      </c>
      <c r="U699" s="58">
        <v>0</v>
      </c>
      <c r="V699" s="58">
        <v>230.6</v>
      </c>
      <c r="W699" s="58">
        <v>13.25</v>
      </c>
      <c r="X699" s="58">
        <v>6.0961582700713137</v>
      </c>
      <c r="Y699" s="58">
        <v>514800</v>
      </c>
      <c r="Z699" s="58">
        <v>97875</v>
      </c>
      <c r="AA699" s="58">
        <v>15136.95</v>
      </c>
      <c r="AE699" s="57"/>
    </row>
    <row r="700" spans="1:31" x14ac:dyDescent="0.35">
      <c r="A700" s="56" t="s">
        <v>768</v>
      </c>
      <c r="B700" s="58">
        <v>14950</v>
      </c>
      <c r="C700" s="58" t="s">
        <v>33</v>
      </c>
      <c r="D700" s="58">
        <v>748</v>
      </c>
      <c r="E700" s="58">
        <v>248</v>
      </c>
      <c r="F700" s="58">
        <v>49.6</v>
      </c>
      <c r="G700" s="58">
        <v>1049</v>
      </c>
      <c r="H700" s="58">
        <v>22.4</v>
      </c>
      <c r="I700" s="58">
        <v>161.1</v>
      </c>
      <c r="J700" s="58">
        <v>-19.099999999999991</v>
      </c>
      <c r="K700" s="58">
        <v>-10.59933407325194</v>
      </c>
      <c r="L700" s="58">
        <v>18075</v>
      </c>
      <c r="M700" s="58">
        <v>21675</v>
      </c>
      <c r="N700" s="58">
        <v>15136.95</v>
      </c>
      <c r="O700" s="58">
        <v>14950</v>
      </c>
      <c r="P700" s="58" t="s">
        <v>33</v>
      </c>
      <c r="Q700" s="58">
        <v>275</v>
      </c>
      <c r="R700" s="58">
        <v>0</v>
      </c>
      <c r="S700" s="58">
        <v>0</v>
      </c>
      <c r="T700" s="58">
        <v>79</v>
      </c>
      <c r="U700" s="58">
        <v>17.62</v>
      </c>
      <c r="V700" s="58">
        <v>345</v>
      </c>
      <c r="W700" s="58">
        <v>8.6000000000000227</v>
      </c>
      <c r="X700" s="58">
        <v>2.5564803804994125</v>
      </c>
      <c r="Y700" s="58">
        <v>24900</v>
      </c>
      <c r="Z700" s="58">
        <v>25650</v>
      </c>
      <c r="AA700" s="58">
        <v>15136.95</v>
      </c>
      <c r="AE700" s="57"/>
    </row>
    <row r="701" spans="1:31" x14ac:dyDescent="0.35">
      <c r="A701" s="56" t="s">
        <v>769</v>
      </c>
      <c r="B701" s="58">
        <v>14950</v>
      </c>
      <c r="C701" s="58" t="s">
        <v>36</v>
      </c>
      <c r="D701" s="58">
        <v>9</v>
      </c>
      <c r="E701" s="58">
        <v>0</v>
      </c>
      <c r="F701" s="58">
        <v>0</v>
      </c>
      <c r="G701" s="58">
        <v>0</v>
      </c>
      <c r="H701" s="58">
        <v>0</v>
      </c>
      <c r="I701" s="58">
        <v>0</v>
      </c>
      <c r="J701" s="58">
        <v>0</v>
      </c>
      <c r="K701" s="58">
        <v>0</v>
      </c>
      <c r="L701" s="58">
        <v>8550</v>
      </c>
      <c r="M701" s="58">
        <v>2250</v>
      </c>
      <c r="N701" s="58">
        <v>15136.95</v>
      </c>
      <c r="O701" s="58">
        <v>14950</v>
      </c>
      <c r="P701" s="58" t="s">
        <v>36</v>
      </c>
      <c r="Q701" s="58">
        <v>0</v>
      </c>
      <c r="R701" s="58">
        <v>0</v>
      </c>
      <c r="S701" s="58">
        <v>0</v>
      </c>
      <c r="T701" s="58">
        <v>0</v>
      </c>
      <c r="U701" s="58">
        <v>0</v>
      </c>
      <c r="V701" s="58">
        <v>0</v>
      </c>
      <c r="W701" s="58">
        <v>0</v>
      </c>
      <c r="X701" s="58">
        <v>0</v>
      </c>
      <c r="Y701" s="58">
        <v>600</v>
      </c>
      <c r="Z701" s="58">
        <v>5925</v>
      </c>
      <c r="AA701" s="58">
        <v>15136.95</v>
      </c>
      <c r="AE701" s="57"/>
    </row>
    <row r="702" spans="1:31" x14ac:dyDescent="0.35">
      <c r="A702" s="56" t="s">
        <v>770</v>
      </c>
      <c r="B702" s="58">
        <v>14950</v>
      </c>
      <c r="C702" s="58" t="s">
        <v>37</v>
      </c>
      <c r="D702" s="58">
        <v>0</v>
      </c>
      <c r="E702" s="58">
        <v>0</v>
      </c>
      <c r="F702" s="58">
        <v>0</v>
      </c>
      <c r="G702" s="58">
        <v>0</v>
      </c>
      <c r="H702" s="58">
        <v>0</v>
      </c>
      <c r="I702" s="58">
        <v>0</v>
      </c>
      <c r="J702" s="58">
        <v>0</v>
      </c>
      <c r="K702" s="58">
        <v>0</v>
      </c>
      <c r="L702" s="58">
        <v>4875</v>
      </c>
      <c r="M702" s="58">
        <v>4875</v>
      </c>
      <c r="N702" s="58">
        <v>15136.95</v>
      </c>
      <c r="O702" s="58">
        <v>14950</v>
      </c>
      <c r="P702" s="58" t="s">
        <v>37</v>
      </c>
      <c r="Q702" s="58">
        <v>0</v>
      </c>
      <c r="R702" s="58">
        <v>0</v>
      </c>
      <c r="S702" s="58">
        <v>0</v>
      </c>
      <c r="T702" s="58">
        <v>0</v>
      </c>
      <c r="U702" s="58">
        <v>0</v>
      </c>
      <c r="V702" s="58">
        <v>0</v>
      </c>
      <c r="W702" s="58">
        <v>0</v>
      </c>
      <c r="X702" s="58">
        <v>0</v>
      </c>
      <c r="Y702" s="58">
        <v>0</v>
      </c>
      <c r="Z702" s="58">
        <v>4875</v>
      </c>
      <c r="AA702" s="58">
        <v>15136.95</v>
      </c>
      <c r="AE702" s="57"/>
    </row>
    <row r="703" spans="1:31" x14ac:dyDescent="0.35">
      <c r="A703" s="56" t="s">
        <v>771</v>
      </c>
      <c r="B703" s="58">
        <v>14950</v>
      </c>
      <c r="C703" s="58" t="s">
        <v>38</v>
      </c>
      <c r="D703" s="58">
        <v>0</v>
      </c>
      <c r="E703" s="58">
        <v>0</v>
      </c>
      <c r="F703" s="58">
        <v>0</v>
      </c>
      <c r="G703" s="58">
        <v>0</v>
      </c>
      <c r="H703" s="58">
        <v>0</v>
      </c>
      <c r="I703" s="58">
        <v>0</v>
      </c>
      <c r="J703" s="58">
        <v>0</v>
      </c>
      <c r="K703" s="58">
        <v>0</v>
      </c>
      <c r="L703" s="58">
        <v>0</v>
      </c>
      <c r="M703" s="58">
        <v>4875</v>
      </c>
      <c r="N703" s="58">
        <v>15136.95</v>
      </c>
      <c r="O703" s="58">
        <v>14950</v>
      </c>
      <c r="P703" s="58" t="s">
        <v>38</v>
      </c>
      <c r="Q703" s="58">
        <v>0</v>
      </c>
      <c r="R703" s="58">
        <v>0</v>
      </c>
      <c r="S703" s="58">
        <v>0</v>
      </c>
      <c r="T703" s="58">
        <v>0</v>
      </c>
      <c r="U703" s="58">
        <v>0</v>
      </c>
      <c r="V703" s="58">
        <v>0</v>
      </c>
      <c r="W703" s="58">
        <v>0</v>
      </c>
      <c r="X703" s="58">
        <v>0</v>
      </c>
      <c r="Y703" s="58">
        <v>0</v>
      </c>
      <c r="Z703" s="58">
        <v>4875</v>
      </c>
      <c r="AA703" s="58">
        <v>15136.95</v>
      </c>
      <c r="AE703" s="57"/>
    </row>
    <row r="704" spans="1:31" x14ac:dyDescent="0.35">
      <c r="A704" s="56" t="s">
        <v>772</v>
      </c>
      <c r="B704" s="58">
        <v>14950</v>
      </c>
      <c r="C704" s="58" t="s">
        <v>26</v>
      </c>
      <c r="D704" s="58">
        <v>14</v>
      </c>
      <c r="E704" s="58">
        <v>1</v>
      </c>
      <c r="F704" s="58">
        <v>7.6923076923076925</v>
      </c>
      <c r="G704" s="58">
        <v>4</v>
      </c>
      <c r="H704" s="58">
        <v>25.22</v>
      </c>
      <c r="I704" s="58">
        <v>348.2</v>
      </c>
      <c r="J704" s="58">
        <v>-24.800000000000011</v>
      </c>
      <c r="K704" s="58">
        <v>-6.6487935656836488</v>
      </c>
      <c r="L704" s="58">
        <v>3450</v>
      </c>
      <c r="M704" s="58">
        <v>3600</v>
      </c>
      <c r="N704" s="58">
        <v>15136.95</v>
      </c>
      <c r="O704" s="58">
        <v>14950</v>
      </c>
      <c r="P704" s="58" t="s">
        <v>26</v>
      </c>
      <c r="Q704" s="58">
        <v>13</v>
      </c>
      <c r="R704" s="58">
        <v>4</v>
      </c>
      <c r="S704" s="58">
        <v>44.444444444444443</v>
      </c>
      <c r="T704" s="58">
        <v>5</v>
      </c>
      <c r="U704" s="58">
        <v>17.98</v>
      </c>
      <c r="V704" s="58">
        <v>576</v>
      </c>
      <c r="W704" s="58">
        <v>33.399999999999977</v>
      </c>
      <c r="X704" s="58">
        <v>6.1555473645410936</v>
      </c>
      <c r="Y704" s="58">
        <v>6450</v>
      </c>
      <c r="Z704" s="58">
        <v>11100</v>
      </c>
      <c r="AA704" s="58">
        <v>15136.95</v>
      </c>
      <c r="AE704" s="57"/>
    </row>
    <row r="705" spans="1:31" x14ac:dyDescent="0.35">
      <c r="A705" s="56" t="s">
        <v>773</v>
      </c>
      <c r="B705" s="58">
        <v>14950</v>
      </c>
      <c r="C705" s="58" t="s">
        <v>67</v>
      </c>
      <c r="D705" s="58">
        <v>0</v>
      </c>
      <c r="E705" s="58">
        <v>0</v>
      </c>
      <c r="F705" s="58">
        <v>0</v>
      </c>
      <c r="G705" s="58">
        <v>0</v>
      </c>
      <c r="H705" s="58">
        <v>0</v>
      </c>
      <c r="I705" s="58">
        <v>0</v>
      </c>
      <c r="J705" s="58">
        <v>0</v>
      </c>
      <c r="K705" s="58">
        <v>0</v>
      </c>
      <c r="L705" s="58">
        <v>0</v>
      </c>
      <c r="M705" s="58">
        <v>4875</v>
      </c>
      <c r="N705" s="58">
        <v>15136.95</v>
      </c>
      <c r="O705" s="58">
        <v>14950</v>
      </c>
      <c r="P705" s="58" t="s">
        <v>67</v>
      </c>
      <c r="Q705" s="58">
        <v>0</v>
      </c>
      <c r="R705" s="58">
        <v>0</v>
      </c>
      <c r="S705" s="58">
        <v>0</v>
      </c>
      <c r="T705" s="58">
        <v>0</v>
      </c>
      <c r="U705" s="58">
        <v>0</v>
      </c>
      <c r="V705" s="58">
        <v>0</v>
      </c>
      <c r="W705" s="58">
        <v>0</v>
      </c>
      <c r="X705" s="58">
        <v>0</v>
      </c>
      <c r="Y705" s="58">
        <v>0</v>
      </c>
      <c r="Z705" s="58">
        <v>4875</v>
      </c>
      <c r="AA705" s="58">
        <v>15136.95</v>
      </c>
      <c r="AE705" s="57"/>
    </row>
    <row r="706" spans="1:31" x14ac:dyDescent="0.35">
      <c r="A706" s="56" t="s">
        <v>774</v>
      </c>
      <c r="B706" s="58">
        <v>14950</v>
      </c>
      <c r="C706" s="58" t="s">
        <v>2074</v>
      </c>
      <c r="D706" s="58">
        <v>0</v>
      </c>
      <c r="E706" s="58">
        <v>0</v>
      </c>
      <c r="F706" s="58">
        <v>0</v>
      </c>
      <c r="G706" s="58">
        <v>0</v>
      </c>
      <c r="H706" s="58">
        <v>0</v>
      </c>
      <c r="I706" s="58">
        <v>0</v>
      </c>
      <c r="J706" s="58">
        <v>0</v>
      </c>
      <c r="K706" s="58">
        <v>0</v>
      </c>
      <c r="L706" s="58">
        <v>4500</v>
      </c>
      <c r="M706" s="58">
        <v>4875</v>
      </c>
      <c r="N706" s="58">
        <v>15136.95</v>
      </c>
      <c r="O706" s="58">
        <v>14950</v>
      </c>
      <c r="P706" s="58" t="s">
        <v>2074</v>
      </c>
      <c r="Q706" s="58">
        <v>0</v>
      </c>
      <c r="R706" s="58">
        <v>0</v>
      </c>
      <c r="S706" s="58">
        <v>0</v>
      </c>
      <c r="T706" s="58">
        <v>0</v>
      </c>
      <c r="U706" s="58">
        <v>0</v>
      </c>
      <c r="V706" s="58">
        <v>0</v>
      </c>
      <c r="W706" s="58">
        <v>0</v>
      </c>
      <c r="X706" s="58">
        <v>0</v>
      </c>
      <c r="Y706" s="58">
        <v>0</v>
      </c>
      <c r="Z706" s="58">
        <v>4875</v>
      </c>
      <c r="AA706" s="58">
        <v>15136.95</v>
      </c>
      <c r="AE706" s="57"/>
    </row>
    <row r="707" spans="1:31" x14ac:dyDescent="0.35">
      <c r="A707" s="56" t="s">
        <v>775</v>
      </c>
      <c r="B707" s="58">
        <v>14950</v>
      </c>
      <c r="C707" s="58" t="s">
        <v>35</v>
      </c>
      <c r="D707" s="58">
        <v>25275</v>
      </c>
      <c r="E707" s="58">
        <v>13105</v>
      </c>
      <c r="F707" s="58">
        <v>107.68282662284304</v>
      </c>
      <c r="G707" s="58">
        <v>177079</v>
      </c>
      <c r="H707" s="58">
        <v>19.88</v>
      </c>
      <c r="I707" s="58">
        <v>8.85</v>
      </c>
      <c r="J707" s="58">
        <v>-16.549999999999997</v>
      </c>
      <c r="K707" s="58">
        <v>-65.157480314960623</v>
      </c>
      <c r="L707" s="58">
        <v>3471750</v>
      </c>
      <c r="M707" s="58">
        <v>349275</v>
      </c>
      <c r="N707" s="58">
        <v>15136.95</v>
      </c>
      <c r="O707" s="58">
        <v>14950</v>
      </c>
      <c r="P707" s="58" t="s">
        <v>35</v>
      </c>
      <c r="Q707" s="58">
        <v>1805</v>
      </c>
      <c r="R707" s="58">
        <v>-28</v>
      </c>
      <c r="S707" s="58">
        <v>-1.5275504637206765</v>
      </c>
      <c r="T707" s="58">
        <v>5030</v>
      </c>
      <c r="U707" s="58">
        <v>15.59</v>
      </c>
      <c r="V707" s="58">
        <v>184.8</v>
      </c>
      <c r="W707" s="58">
        <v>15.150000000000006</v>
      </c>
      <c r="X707" s="58">
        <v>8.9301503094606574</v>
      </c>
      <c r="Y707" s="58">
        <v>579675</v>
      </c>
      <c r="Z707" s="58">
        <v>55275</v>
      </c>
      <c r="AA707" s="58">
        <v>15136.95</v>
      </c>
      <c r="AE707" s="57"/>
    </row>
    <row r="708" spans="1:31" x14ac:dyDescent="0.35">
      <c r="A708" s="56" t="s">
        <v>776</v>
      </c>
      <c r="B708" s="58">
        <v>14950</v>
      </c>
      <c r="C708" s="58" t="s">
        <v>34</v>
      </c>
      <c r="D708" s="58">
        <v>768</v>
      </c>
      <c r="E708" s="58">
        <v>296</v>
      </c>
      <c r="F708" s="58">
        <v>62.711864406779661</v>
      </c>
      <c r="G708" s="58">
        <v>2918</v>
      </c>
      <c r="H708" s="58">
        <v>21.15</v>
      </c>
      <c r="I708" s="58">
        <v>92.5</v>
      </c>
      <c r="J708" s="58">
        <v>-13.099999999999994</v>
      </c>
      <c r="K708" s="58">
        <v>-12.405303030303026</v>
      </c>
      <c r="L708" s="58">
        <v>22800</v>
      </c>
      <c r="M708" s="58">
        <v>32625</v>
      </c>
      <c r="N708" s="58">
        <v>15136.95</v>
      </c>
      <c r="O708" s="58">
        <v>14950</v>
      </c>
      <c r="P708" s="58" t="s">
        <v>34</v>
      </c>
      <c r="Q708" s="58">
        <v>110</v>
      </c>
      <c r="R708" s="58">
        <v>4</v>
      </c>
      <c r="S708" s="58">
        <v>3.7735849056603774</v>
      </c>
      <c r="T708" s="58">
        <v>157</v>
      </c>
      <c r="U708" s="58">
        <v>17.52</v>
      </c>
      <c r="V708" s="58">
        <v>269.5</v>
      </c>
      <c r="W708" s="58">
        <v>1.4499999999999886</v>
      </c>
      <c r="X708" s="58">
        <v>0.54094385375862286</v>
      </c>
      <c r="Y708" s="58">
        <v>16575</v>
      </c>
      <c r="Z708" s="58">
        <v>17175</v>
      </c>
      <c r="AA708" s="58">
        <v>15136.95</v>
      </c>
      <c r="AE708" s="57"/>
    </row>
    <row r="709" spans="1:31" x14ac:dyDescent="0.35">
      <c r="A709" s="56" t="s">
        <v>777</v>
      </c>
      <c r="B709" s="58">
        <v>0</v>
      </c>
      <c r="C709" s="58">
        <v>0</v>
      </c>
      <c r="D709" s="58">
        <v>0</v>
      </c>
      <c r="E709" s="58">
        <v>0</v>
      </c>
      <c r="F709" s="58">
        <v>0</v>
      </c>
      <c r="G709" s="58">
        <v>0</v>
      </c>
      <c r="H709" s="58">
        <v>0</v>
      </c>
      <c r="I709" s="58">
        <v>0</v>
      </c>
      <c r="J709" s="58">
        <v>0</v>
      </c>
      <c r="K709" s="58">
        <v>0</v>
      </c>
      <c r="L709" s="58">
        <v>0</v>
      </c>
      <c r="M709" s="58">
        <v>0</v>
      </c>
      <c r="N709" s="58">
        <v>0</v>
      </c>
      <c r="O709" s="58">
        <v>14950</v>
      </c>
      <c r="P709" s="58" t="s">
        <v>2071</v>
      </c>
      <c r="Q709" s="58">
        <v>0</v>
      </c>
      <c r="R709" s="58">
        <v>0</v>
      </c>
      <c r="S709" s="58">
        <v>0</v>
      </c>
      <c r="T709" s="58">
        <v>0</v>
      </c>
      <c r="U709" s="58">
        <v>0</v>
      </c>
      <c r="V709" s="58">
        <v>0</v>
      </c>
      <c r="W709" s="58">
        <v>0</v>
      </c>
      <c r="X709" s="58">
        <v>0</v>
      </c>
      <c r="Y709" s="58">
        <v>0</v>
      </c>
      <c r="Z709" s="58">
        <v>4875</v>
      </c>
      <c r="AA709" s="58">
        <v>15136.95</v>
      </c>
      <c r="AE709" s="57"/>
    </row>
    <row r="710" spans="1:31" x14ac:dyDescent="0.35">
      <c r="A710" s="56" t="s">
        <v>778</v>
      </c>
      <c r="B710" s="58">
        <v>15000</v>
      </c>
      <c r="C710" s="58" t="s">
        <v>34</v>
      </c>
      <c r="D710" s="58">
        <v>11446</v>
      </c>
      <c r="E710" s="58">
        <v>3067</v>
      </c>
      <c r="F710" s="58">
        <v>36.603413295142616</v>
      </c>
      <c r="G710" s="58">
        <v>24019</v>
      </c>
      <c r="H710" s="58">
        <v>21.03</v>
      </c>
      <c r="I710" s="58">
        <v>106.85</v>
      </c>
      <c r="J710" s="58">
        <v>-15.150000000000006</v>
      </c>
      <c r="K710" s="58">
        <v>-12.41803278688525</v>
      </c>
      <c r="L710" s="58">
        <v>99450</v>
      </c>
      <c r="M710" s="58">
        <v>167325</v>
      </c>
      <c r="N710" s="58">
        <v>15136.95</v>
      </c>
      <c r="O710" s="58">
        <v>15000</v>
      </c>
      <c r="P710" s="58" t="s">
        <v>34</v>
      </c>
      <c r="Q710" s="58">
        <v>3982</v>
      </c>
      <c r="R710" s="58">
        <v>-145</v>
      </c>
      <c r="S710" s="58">
        <v>-3.513448025199903</v>
      </c>
      <c r="T710" s="58">
        <v>9033</v>
      </c>
      <c r="U710" s="58">
        <v>16.8</v>
      </c>
      <c r="V710" s="58">
        <v>234.15</v>
      </c>
      <c r="W710" s="58">
        <v>-0.59999999999999432</v>
      </c>
      <c r="X710" s="58">
        <v>-0.25559105431309664</v>
      </c>
      <c r="Y710" s="58">
        <v>55350</v>
      </c>
      <c r="Z710" s="58">
        <v>47475</v>
      </c>
      <c r="AA710" s="58">
        <v>15136.95</v>
      </c>
      <c r="AE710" s="57"/>
    </row>
    <row r="711" spans="1:31" x14ac:dyDescent="0.35">
      <c r="A711" s="56" t="s">
        <v>779</v>
      </c>
      <c r="B711" s="58">
        <v>15000</v>
      </c>
      <c r="C711" s="58" t="s">
        <v>36</v>
      </c>
      <c r="D711" s="58">
        <v>64</v>
      </c>
      <c r="E711" s="58">
        <v>7</v>
      </c>
      <c r="F711" s="58">
        <v>12.280701754385966</v>
      </c>
      <c r="G711" s="58">
        <v>22</v>
      </c>
      <c r="H711" s="58">
        <v>23.11</v>
      </c>
      <c r="I711" s="58">
        <v>228.3</v>
      </c>
      <c r="J711" s="58">
        <v>-28.550000000000011</v>
      </c>
      <c r="K711" s="58">
        <v>-11.115437025501269</v>
      </c>
      <c r="L711" s="58">
        <v>8250</v>
      </c>
      <c r="M711" s="58">
        <v>4725</v>
      </c>
      <c r="N711" s="58">
        <v>15136.95</v>
      </c>
      <c r="O711" s="58">
        <v>15000</v>
      </c>
      <c r="P711" s="58" t="s">
        <v>36</v>
      </c>
      <c r="Q711" s="58">
        <v>34</v>
      </c>
      <c r="R711" s="58">
        <v>-2</v>
      </c>
      <c r="S711" s="58">
        <v>-5.5555555555555554</v>
      </c>
      <c r="T711" s="58">
        <v>23</v>
      </c>
      <c r="U711" s="58">
        <v>17.43</v>
      </c>
      <c r="V711" s="58">
        <v>383</v>
      </c>
      <c r="W711" s="58">
        <v>3.6000000000000227</v>
      </c>
      <c r="X711" s="58">
        <v>0.94886663152346418</v>
      </c>
      <c r="Y711" s="58">
        <v>2700</v>
      </c>
      <c r="Z711" s="58">
        <v>6375</v>
      </c>
      <c r="AA711" s="58">
        <v>15136.95</v>
      </c>
      <c r="AE711" s="57"/>
    </row>
    <row r="712" spans="1:31" x14ac:dyDescent="0.35">
      <c r="A712" s="56" t="s">
        <v>780</v>
      </c>
      <c r="B712" s="58">
        <v>15000</v>
      </c>
      <c r="C712" s="58" t="s">
        <v>37</v>
      </c>
      <c r="D712" s="58">
        <v>0</v>
      </c>
      <c r="E712" s="58">
        <v>0</v>
      </c>
      <c r="F712" s="58">
        <v>0</v>
      </c>
      <c r="G712" s="58">
        <v>0</v>
      </c>
      <c r="H712" s="58">
        <v>0</v>
      </c>
      <c r="I712" s="58">
        <v>0</v>
      </c>
      <c r="J712" s="58">
        <v>0</v>
      </c>
      <c r="K712" s="58">
        <v>0</v>
      </c>
      <c r="L712" s="58">
        <v>2925</v>
      </c>
      <c r="M712" s="58">
        <v>7350</v>
      </c>
      <c r="N712" s="58">
        <v>15136.95</v>
      </c>
      <c r="O712" s="58">
        <v>15000</v>
      </c>
      <c r="P712" s="58" t="s">
        <v>37</v>
      </c>
      <c r="Q712" s="58">
        <v>0</v>
      </c>
      <c r="R712" s="58">
        <v>0</v>
      </c>
      <c r="S712" s="58">
        <v>0</v>
      </c>
      <c r="T712" s="58">
        <v>0</v>
      </c>
      <c r="U712" s="58">
        <v>0</v>
      </c>
      <c r="V712" s="58">
        <v>0</v>
      </c>
      <c r="W712" s="58">
        <v>0</v>
      </c>
      <c r="X712" s="58">
        <v>0</v>
      </c>
      <c r="Y712" s="58">
        <v>2025</v>
      </c>
      <c r="Z712" s="58">
        <v>6150</v>
      </c>
      <c r="AA712" s="58">
        <v>15136.95</v>
      </c>
      <c r="AE712" s="57"/>
    </row>
    <row r="713" spans="1:31" x14ac:dyDescent="0.35">
      <c r="A713" s="56" t="s">
        <v>781</v>
      </c>
      <c r="B713" s="58">
        <v>15000</v>
      </c>
      <c r="C713" s="58" t="s">
        <v>38</v>
      </c>
      <c r="D713" s="58">
        <v>2</v>
      </c>
      <c r="E713" s="58">
        <v>0</v>
      </c>
      <c r="F713" s="58">
        <v>0</v>
      </c>
      <c r="G713" s="58">
        <v>0</v>
      </c>
      <c r="H713" s="58">
        <v>0</v>
      </c>
      <c r="I713" s="58">
        <v>0</v>
      </c>
      <c r="J713" s="58">
        <v>0</v>
      </c>
      <c r="K713" s="58">
        <v>0</v>
      </c>
      <c r="L713" s="58">
        <v>75</v>
      </c>
      <c r="M713" s="58">
        <v>4950</v>
      </c>
      <c r="N713" s="58">
        <v>15136.95</v>
      </c>
      <c r="O713" s="58">
        <v>15000</v>
      </c>
      <c r="P713" s="58" t="s">
        <v>38</v>
      </c>
      <c r="Q713" s="58">
        <v>2</v>
      </c>
      <c r="R713" s="58">
        <v>0</v>
      </c>
      <c r="S713" s="58">
        <v>0</v>
      </c>
      <c r="T713" s="58">
        <v>0</v>
      </c>
      <c r="U713" s="58">
        <v>0</v>
      </c>
      <c r="V713" s="58">
        <v>0</v>
      </c>
      <c r="W713" s="58">
        <v>0</v>
      </c>
      <c r="X713" s="58">
        <v>0</v>
      </c>
      <c r="Y713" s="58">
        <v>375</v>
      </c>
      <c r="Z713" s="58">
        <v>4875</v>
      </c>
      <c r="AA713" s="58">
        <v>15136.95</v>
      </c>
      <c r="AE713" s="57"/>
    </row>
    <row r="714" spans="1:31" x14ac:dyDescent="0.35">
      <c r="A714" s="56" t="s">
        <v>782</v>
      </c>
      <c r="B714" s="58">
        <v>15000</v>
      </c>
      <c r="C714" s="58" t="s">
        <v>26</v>
      </c>
      <c r="D714" s="58">
        <v>7147</v>
      </c>
      <c r="E714" s="58">
        <v>213</v>
      </c>
      <c r="F714" s="58">
        <v>3.0718200173060284</v>
      </c>
      <c r="G714" s="58">
        <v>1317</v>
      </c>
      <c r="H714" s="58">
        <v>24.79</v>
      </c>
      <c r="I714" s="58">
        <v>367.1</v>
      </c>
      <c r="J714" s="58">
        <v>-14.599999999999966</v>
      </c>
      <c r="K714" s="58">
        <v>-3.8249934503536722</v>
      </c>
      <c r="L714" s="58">
        <v>12525</v>
      </c>
      <c r="M714" s="58">
        <v>20550</v>
      </c>
      <c r="N714" s="58">
        <v>15136.95</v>
      </c>
      <c r="O714" s="58">
        <v>15000</v>
      </c>
      <c r="P714" s="58" t="s">
        <v>26</v>
      </c>
      <c r="Q714" s="58">
        <v>6498</v>
      </c>
      <c r="R714" s="58">
        <v>158</v>
      </c>
      <c r="S714" s="58">
        <v>2.4921135646687698</v>
      </c>
      <c r="T714" s="58">
        <v>798</v>
      </c>
      <c r="U714" s="58">
        <v>18.02</v>
      </c>
      <c r="V714" s="58">
        <v>536.54999999999995</v>
      </c>
      <c r="W714" s="58">
        <v>-4.3000000000000682</v>
      </c>
      <c r="X714" s="58">
        <v>-0.79504483683092686</v>
      </c>
      <c r="Y714" s="58">
        <v>20775</v>
      </c>
      <c r="Z714" s="58">
        <v>24450</v>
      </c>
      <c r="AA714" s="58">
        <v>15136.95</v>
      </c>
      <c r="AE714" s="57"/>
    </row>
    <row r="715" spans="1:31" x14ac:dyDescent="0.35">
      <c r="A715" s="56" t="s">
        <v>783</v>
      </c>
      <c r="B715" s="58">
        <v>15000</v>
      </c>
      <c r="C715" s="58" t="s">
        <v>67</v>
      </c>
      <c r="D715" s="58">
        <v>0</v>
      </c>
      <c r="E715" s="58">
        <v>0</v>
      </c>
      <c r="F715" s="58">
        <v>0</v>
      </c>
      <c r="G715" s="58">
        <v>0</v>
      </c>
      <c r="H715" s="58">
        <v>0</v>
      </c>
      <c r="I715" s="58">
        <v>0</v>
      </c>
      <c r="J715" s="58">
        <v>0</v>
      </c>
      <c r="K715" s="58">
        <v>0</v>
      </c>
      <c r="L715" s="58">
        <v>150</v>
      </c>
      <c r="M715" s="58">
        <v>4875</v>
      </c>
      <c r="N715" s="58">
        <v>15136.95</v>
      </c>
      <c r="O715" s="58">
        <v>15000</v>
      </c>
      <c r="P715" s="58" t="s">
        <v>67</v>
      </c>
      <c r="Q715" s="58">
        <v>0</v>
      </c>
      <c r="R715" s="58">
        <v>0</v>
      </c>
      <c r="S715" s="58">
        <v>0</v>
      </c>
      <c r="T715" s="58">
        <v>0</v>
      </c>
      <c r="U715" s="58">
        <v>0</v>
      </c>
      <c r="V715" s="58">
        <v>0</v>
      </c>
      <c r="W715" s="58">
        <v>0</v>
      </c>
      <c r="X715" s="58">
        <v>0</v>
      </c>
      <c r="Y715" s="58">
        <v>9825</v>
      </c>
      <c r="Z715" s="58">
        <v>4875</v>
      </c>
      <c r="AA715" s="58">
        <v>15136.95</v>
      </c>
      <c r="AE715" s="57"/>
    </row>
    <row r="716" spans="1:31" x14ac:dyDescent="0.35">
      <c r="A716" s="56" t="s">
        <v>784</v>
      </c>
      <c r="B716" s="58">
        <v>15000</v>
      </c>
      <c r="C716" s="58" t="s">
        <v>2074</v>
      </c>
      <c r="D716" s="58">
        <v>0</v>
      </c>
      <c r="E716" s="58">
        <v>0</v>
      </c>
      <c r="F716" s="58">
        <v>0</v>
      </c>
      <c r="G716" s="58">
        <v>0</v>
      </c>
      <c r="H716" s="58">
        <v>0</v>
      </c>
      <c r="I716" s="58">
        <v>0</v>
      </c>
      <c r="J716" s="58">
        <v>0</v>
      </c>
      <c r="K716" s="58">
        <v>0</v>
      </c>
      <c r="L716" s="58">
        <v>0</v>
      </c>
      <c r="M716" s="58">
        <v>4875</v>
      </c>
      <c r="N716" s="58">
        <v>15136.95</v>
      </c>
      <c r="O716" s="58">
        <v>15000</v>
      </c>
      <c r="P716" s="58" t="s">
        <v>2074</v>
      </c>
      <c r="Q716" s="58">
        <v>0</v>
      </c>
      <c r="R716" s="58">
        <v>0</v>
      </c>
      <c r="S716" s="58">
        <v>0</v>
      </c>
      <c r="T716" s="58">
        <v>0</v>
      </c>
      <c r="U716" s="58">
        <v>0</v>
      </c>
      <c r="V716" s="58">
        <v>0</v>
      </c>
      <c r="W716" s="58">
        <v>0</v>
      </c>
      <c r="X716" s="58">
        <v>0</v>
      </c>
      <c r="Y716" s="58">
        <v>0</v>
      </c>
      <c r="Z716" s="58">
        <v>4875</v>
      </c>
      <c r="AA716" s="58">
        <v>15136.95</v>
      </c>
      <c r="AE716" s="57"/>
    </row>
    <row r="717" spans="1:31" x14ac:dyDescent="0.35">
      <c r="A717" s="56" t="s">
        <v>785</v>
      </c>
      <c r="B717" s="58">
        <v>15000</v>
      </c>
      <c r="C717" s="58" t="s">
        <v>33</v>
      </c>
      <c r="D717" s="58">
        <v>20346</v>
      </c>
      <c r="E717" s="58">
        <v>1267</v>
      </c>
      <c r="F717" s="58">
        <v>6.6408092667330569</v>
      </c>
      <c r="G717" s="58">
        <v>13908</v>
      </c>
      <c r="H717" s="58">
        <v>22.14</v>
      </c>
      <c r="I717" s="58">
        <v>177.5</v>
      </c>
      <c r="J717" s="58">
        <v>-21.75</v>
      </c>
      <c r="K717" s="58">
        <v>-10.915934755332495</v>
      </c>
      <c r="L717" s="58">
        <v>103650</v>
      </c>
      <c r="M717" s="58">
        <v>174600</v>
      </c>
      <c r="N717" s="58">
        <v>15136.95</v>
      </c>
      <c r="O717" s="58">
        <v>15000</v>
      </c>
      <c r="P717" s="58" t="s">
        <v>33</v>
      </c>
      <c r="Q717" s="58">
        <v>16085</v>
      </c>
      <c r="R717" s="58">
        <v>-299</v>
      </c>
      <c r="S717" s="58">
        <v>-1.824951171875</v>
      </c>
      <c r="T717" s="58">
        <v>7077</v>
      </c>
      <c r="U717" s="58">
        <v>17.260000000000002</v>
      </c>
      <c r="V717" s="58">
        <v>309</v>
      </c>
      <c r="W717" s="58">
        <v>-5.1000000000000227</v>
      </c>
      <c r="X717" s="58">
        <v>-1.6236867239732642</v>
      </c>
      <c r="Y717" s="58">
        <v>97425</v>
      </c>
      <c r="Z717" s="58">
        <v>87975</v>
      </c>
      <c r="AA717" s="58">
        <v>15136.95</v>
      </c>
      <c r="AE717" s="57"/>
    </row>
    <row r="718" spans="1:31" x14ac:dyDescent="0.35">
      <c r="A718" s="56" t="s">
        <v>786</v>
      </c>
      <c r="B718" s="58">
        <v>15000</v>
      </c>
      <c r="C718" s="58" t="s">
        <v>27</v>
      </c>
      <c r="D718" s="58">
        <v>7</v>
      </c>
      <c r="E718" s="58">
        <v>0</v>
      </c>
      <c r="F718" s="58">
        <v>0</v>
      </c>
      <c r="G718" s="58">
        <v>0</v>
      </c>
      <c r="H718" s="58">
        <v>0</v>
      </c>
      <c r="I718" s="58">
        <v>0</v>
      </c>
      <c r="J718" s="58">
        <v>0</v>
      </c>
      <c r="K718" s="58">
        <v>0</v>
      </c>
      <c r="L718" s="58">
        <v>9900</v>
      </c>
      <c r="M718" s="58">
        <v>0</v>
      </c>
      <c r="N718" s="58">
        <v>15136.95</v>
      </c>
      <c r="O718" s="58">
        <v>15000</v>
      </c>
      <c r="P718" s="58" t="s">
        <v>27</v>
      </c>
      <c r="Q718" s="58">
        <v>55</v>
      </c>
      <c r="R718" s="58">
        <v>0</v>
      </c>
      <c r="S718" s="58">
        <v>0</v>
      </c>
      <c r="T718" s="58">
        <v>0</v>
      </c>
      <c r="U718" s="58">
        <v>0</v>
      </c>
      <c r="V718" s="58">
        <v>0</v>
      </c>
      <c r="W718" s="58">
        <v>0</v>
      </c>
      <c r="X718" s="58">
        <v>0</v>
      </c>
      <c r="Y718" s="58">
        <v>6675</v>
      </c>
      <c r="Z718" s="58">
        <v>750</v>
      </c>
      <c r="AA718" s="58">
        <v>15136.95</v>
      </c>
      <c r="AE718" s="57"/>
    </row>
    <row r="719" spans="1:31" x14ac:dyDescent="0.35">
      <c r="A719" s="56" t="s">
        <v>787</v>
      </c>
      <c r="B719" s="58">
        <v>15000</v>
      </c>
      <c r="C719" s="58" t="s">
        <v>31</v>
      </c>
      <c r="D719" s="58">
        <v>0</v>
      </c>
      <c r="E719" s="58">
        <v>0</v>
      </c>
      <c r="F719" s="58">
        <v>0</v>
      </c>
      <c r="G719" s="58">
        <v>0</v>
      </c>
      <c r="H719" s="58">
        <v>0</v>
      </c>
      <c r="I719" s="58">
        <v>0</v>
      </c>
      <c r="J719" s="58">
        <v>0</v>
      </c>
      <c r="K719" s="58">
        <v>0</v>
      </c>
      <c r="L719" s="58">
        <v>3075</v>
      </c>
      <c r="M719" s="58">
        <v>0</v>
      </c>
      <c r="N719" s="58">
        <v>15136.95</v>
      </c>
      <c r="O719" s="58">
        <v>15000</v>
      </c>
      <c r="P719" s="58" t="s">
        <v>31</v>
      </c>
      <c r="Q719" s="58">
        <v>0</v>
      </c>
      <c r="R719" s="58">
        <v>0</v>
      </c>
      <c r="S719" s="58">
        <v>0</v>
      </c>
      <c r="T719" s="58">
        <v>0</v>
      </c>
      <c r="U719" s="58">
        <v>0</v>
      </c>
      <c r="V719" s="58">
        <v>0</v>
      </c>
      <c r="W719" s="58">
        <v>0</v>
      </c>
      <c r="X719" s="58">
        <v>0</v>
      </c>
      <c r="Y719" s="58">
        <v>2025</v>
      </c>
      <c r="Z719" s="58">
        <v>0</v>
      </c>
      <c r="AA719" s="58">
        <v>15136.95</v>
      </c>
      <c r="AE719" s="57"/>
    </row>
    <row r="720" spans="1:31" x14ac:dyDescent="0.35">
      <c r="A720" s="56" t="s">
        <v>788</v>
      </c>
      <c r="B720" s="58">
        <v>15000</v>
      </c>
      <c r="C720" s="58" t="s">
        <v>29</v>
      </c>
      <c r="D720" s="58">
        <v>570</v>
      </c>
      <c r="E720" s="58">
        <v>2</v>
      </c>
      <c r="F720" s="58">
        <v>0.352112676056338</v>
      </c>
      <c r="G720" s="58">
        <v>25</v>
      </c>
      <c r="H720" s="58">
        <v>29.29</v>
      </c>
      <c r="I720" s="58">
        <v>972.15</v>
      </c>
      <c r="J720" s="58">
        <v>-11.950000000000044</v>
      </c>
      <c r="K720" s="58">
        <v>-1.2143074890763179</v>
      </c>
      <c r="L720" s="58">
        <v>5250</v>
      </c>
      <c r="M720" s="58">
        <v>3975</v>
      </c>
      <c r="N720" s="58">
        <v>15136.95</v>
      </c>
      <c r="O720" s="58">
        <v>15000</v>
      </c>
      <c r="P720" s="58" t="s">
        <v>29</v>
      </c>
      <c r="Q720" s="58">
        <v>336</v>
      </c>
      <c r="R720" s="58">
        <v>7</v>
      </c>
      <c r="S720" s="58">
        <v>2.1276595744680851</v>
      </c>
      <c r="T720" s="58">
        <v>11</v>
      </c>
      <c r="U720" s="58">
        <v>0</v>
      </c>
      <c r="V720" s="58">
        <v>1325</v>
      </c>
      <c r="W720" s="58">
        <v>-21.299999999999955</v>
      </c>
      <c r="X720" s="58">
        <v>-1.5821139419148744</v>
      </c>
      <c r="Y720" s="58">
        <v>4275</v>
      </c>
      <c r="Z720" s="58">
        <v>3525</v>
      </c>
      <c r="AA720" s="58">
        <v>15136.95</v>
      </c>
      <c r="AE720" s="57"/>
    </row>
    <row r="721" spans="1:31" x14ac:dyDescent="0.35">
      <c r="A721" s="56" t="s">
        <v>789</v>
      </c>
      <c r="B721" s="58">
        <v>15000</v>
      </c>
      <c r="C721" s="58" t="s">
        <v>28</v>
      </c>
      <c r="D721" s="58">
        <v>1</v>
      </c>
      <c r="E721" s="58">
        <v>0</v>
      </c>
      <c r="F721" s="58">
        <v>0</v>
      </c>
      <c r="G721" s="58">
        <v>0</v>
      </c>
      <c r="H721" s="58">
        <v>0</v>
      </c>
      <c r="I721" s="58">
        <v>0</v>
      </c>
      <c r="J721" s="58">
        <v>0</v>
      </c>
      <c r="K721" s="58">
        <v>0</v>
      </c>
      <c r="L721" s="58">
        <v>1650</v>
      </c>
      <c r="M721" s="58">
        <v>0</v>
      </c>
      <c r="N721" s="58">
        <v>15136.95</v>
      </c>
      <c r="O721" s="58">
        <v>0</v>
      </c>
      <c r="P721" s="58">
        <v>0</v>
      </c>
      <c r="Q721" s="58">
        <v>0</v>
      </c>
      <c r="R721" s="58">
        <v>0</v>
      </c>
      <c r="S721" s="58">
        <v>0</v>
      </c>
      <c r="T721" s="58">
        <v>0</v>
      </c>
      <c r="U721" s="58">
        <v>0</v>
      </c>
      <c r="V721" s="58">
        <v>0</v>
      </c>
      <c r="W721" s="58">
        <v>0</v>
      </c>
      <c r="X721" s="58">
        <v>0</v>
      </c>
      <c r="Y721" s="58">
        <v>0</v>
      </c>
      <c r="Z721" s="58">
        <v>0</v>
      </c>
      <c r="AA721" s="58">
        <v>0</v>
      </c>
      <c r="AE721" s="57"/>
    </row>
    <row r="722" spans="1:31" x14ac:dyDescent="0.35">
      <c r="A722" s="56" t="s">
        <v>790</v>
      </c>
      <c r="B722" s="58">
        <v>15000</v>
      </c>
      <c r="C722" s="58" t="s">
        <v>39</v>
      </c>
      <c r="D722" s="58">
        <v>8</v>
      </c>
      <c r="E722" s="58">
        <v>0</v>
      </c>
      <c r="F722" s="58">
        <v>0</v>
      </c>
      <c r="G722" s="58">
        <v>0</v>
      </c>
      <c r="H722" s="58">
        <v>0</v>
      </c>
      <c r="I722" s="58">
        <v>0</v>
      </c>
      <c r="J722" s="58">
        <v>0</v>
      </c>
      <c r="K722" s="58">
        <v>0</v>
      </c>
      <c r="L722" s="58">
        <v>600</v>
      </c>
      <c r="M722" s="58">
        <v>0</v>
      </c>
      <c r="N722" s="58">
        <v>15136.95</v>
      </c>
      <c r="O722" s="58">
        <v>0</v>
      </c>
      <c r="P722" s="58">
        <v>0</v>
      </c>
      <c r="Q722" s="58">
        <v>0</v>
      </c>
      <c r="R722" s="58">
        <v>0</v>
      </c>
      <c r="S722" s="58">
        <v>0</v>
      </c>
      <c r="T722" s="58">
        <v>0</v>
      </c>
      <c r="U722" s="58">
        <v>0</v>
      </c>
      <c r="V722" s="58">
        <v>0</v>
      </c>
      <c r="W722" s="58">
        <v>0</v>
      </c>
      <c r="X722" s="58">
        <v>0</v>
      </c>
      <c r="Y722" s="58">
        <v>0</v>
      </c>
      <c r="Z722" s="58">
        <v>0</v>
      </c>
      <c r="AA722" s="58">
        <v>0</v>
      </c>
      <c r="AE722" s="57"/>
    </row>
    <row r="723" spans="1:31" x14ac:dyDescent="0.35">
      <c r="A723" s="56" t="s">
        <v>791</v>
      </c>
      <c r="B723" s="58">
        <v>15000</v>
      </c>
      <c r="C723" s="58" t="s">
        <v>35</v>
      </c>
      <c r="D723" s="58">
        <v>80608</v>
      </c>
      <c r="E723" s="58">
        <v>45478</v>
      </c>
      <c r="F723" s="58">
        <v>129.45630515229149</v>
      </c>
      <c r="G723" s="58">
        <v>446726</v>
      </c>
      <c r="H723" s="58">
        <v>18.75</v>
      </c>
      <c r="I723" s="58">
        <v>13.9</v>
      </c>
      <c r="J723" s="58">
        <v>-21.75</v>
      </c>
      <c r="K723" s="58">
        <v>-61.009817671809266</v>
      </c>
      <c r="L723" s="58">
        <v>4974525</v>
      </c>
      <c r="M723" s="58">
        <v>1448550</v>
      </c>
      <c r="N723" s="58">
        <v>15136.95</v>
      </c>
      <c r="O723" s="58">
        <v>15000</v>
      </c>
      <c r="P723" s="58" t="s">
        <v>35</v>
      </c>
      <c r="Q723" s="58">
        <v>14808</v>
      </c>
      <c r="R723" s="58">
        <v>1118</v>
      </c>
      <c r="S723" s="58">
        <v>8.1665449233016805</v>
      </c>
      <c r="T723" s="58">
        <v>80399</v>
      </c>
      <c r="U723" s="58">
        <v>14.03</v>
      </c>
      <c r="V723" s="58">
        <v>139.35</v>
      </c>
      <c r="W723" s="58">
        <v>3.9499999999999886</v>
      </c>
      <c r="X723" s="58">
        <v>2.9172821270310108</v>
      </c>
      <c r="Y723" s="58">
        <v>1948800</v>
      </c>
      <c r="Z723" s="58">
        <v>160275</v>
      </c>
      <c r="AA723" s="58">
        <v>15136.95</v>
      </c>
      <c r="AE723" s="57"/>
    </row>
    <row r="724" spans="1:31" x14ac:dyDescent="0.35">
      <c r="A724" s="56" t="s">
        <v>792</v>
      </c>
      <c r="B724" s="58">
        <v>15000</v>
      </c>
      <c r="C724" s="58" t="s">
        <v>2071</v>
      </c>
      <c r="D724" s="58">
        <v>841</v>
      </c>
      <c r="E724" s="58">
        <v>-11</v>
      </c>
      <c r="F724" s="58">
        <v>-1.2910798122065728</v>
      </c>
      <c r="G724" s="58">
        <v>51</v>
      </c>
      <c r="H724" s="58">
        <v>24.77</v>
      </c>
      <c r="I724" s="58">
        <v>472</v>
      </c>
      <c r="J724" s="58">
        <v>-21.149999999999977</v>
      </c>
      <c r="K724" s="58">
        <v>-4.2887559566054909</v>
      </c>
      <c r="L724" s="58">
        <v>14850</v>
      </c>
      <c r="M724" s="58">
        <v>9300</v>
      </c>
      <c r="N724" s="58">
        <v>15136.95</v>
      </c>
      <c r="O724" s="58">
        <v>15000</v>
      </c>
      <c r="P724" s="58" t="s">
        <v>2071</v>
      </c>
      <c r="Q724" s="58">
        <v>678</v>
      </c>
      <c r="R724" s="58">
        <v>-1</v>
      </c>
      <c r="S724" s="58">
        <v>-0.14727540500736375</v>
      </c>
      <c r="T724" s="58">
        <v>21</v>
      </c>
      <c r="U724" s="58">
        <v>16.239999999999998</v>
      </c>
      <c r="V724" s="58">
        <v>710</v>
      </c>
      <c r="W724" s="58">
        <v>34.899999999999977</v>
      </c>
      <c r="X724" s="58">
        <v>5.1696045030365836</v>
      </c>
      <c r="Y724" s="58">
        <v>13575</v>
      </c>
      <c r="Z724" s="58">
        <v>15450</v>
      </c>
      <c r="AA724" s="58">
        <v>15136.95</v>
      </c>
      <c r="AE724" s="57"/>
    </row>
    <row r="725" spans="1:31" x14ac:dyDescent="0.35">
      <c r="A725" s="56" t="s">
        <v>793</v>
      </c>
      <c r="B725" s="58">
        <v>15050</v>
      </c>
      <c r="C725" s="58" t="s">
        <v>34</v>
      </c>
      <c r="D725" s="58">
        <v>1055</v>
      </c>
      <c r="E725" s="58">
        <v>402</v>
      </c>
      <c r="F725" s="58">
        <v>61.562021439509955</v>
      </c>
      <c r="G725" s="58">
        <v>3238</v>
      </c>
      <c r="H725" s="58">
        <v>20.66</v>
      </c>
      <c r="I725" s="58">
        <v>123.5</v>
      </c>
      <c r="J725" s="58">
        <v>-17.199999999999989</v>
      </c>
      <c r="K725" s="58">
        <v>-12.224591329068934</v>
      </c>
      <c r="L725" s="58">
        <v>26925</v>
      </c>
      <c r="M725" s="58">
        <v>29475</v>
      </c>
      <c r="N725" s="58">
        <v>15136.95</v>
      </c>
      <c r="O725" s="58">
        <v>15050</v>
      </c>
      <c r="P725" s="58" t="s">
        <v>34</v>
      </c>
      <c r="Q725" s="58">
        <v>602</v>
      </c>
      <c r="R725" s="58">
        <v>-6</v>
      </c>
      <c r="S725" s="58">
        <v>-0.98684210526315796</v>
      </c>
      <c r="T725" s="58">
        <v>1840</v>
      </c>
      <c r="U725" s="58">
        <v>16.829999999999998</v>
      </c>
      <c r="V725" s="58">
        <v>199.55</v>
      </c>
      <c r="W725" s="58">
        <v>-3.5999999999999943</v>
      </c>
      <c r="X725" s="58">
        <v>-1.7720895889736621</v>
      </c>
      <c r="Y725" s="58">
        <v>32400</v>
      </c>
      <c r="Z725" s="58">
        <v>28575</v>
      </c>
      <c r="AA725" s="58">
        <v>15136.95</v>
      </c>
      <c r="AE725" s="57"/>
    </row>
    <row r="726" spans="1:31" x14ac:dyDescent="0.35">
      <c r="A726" s="56" t="s">
        <v>794</v>
      </c>
      <c r="B726" s="58">
        <v>15050</v>
      </c>
      <c r="C726" s="58" t="s">
        <v>33</v>
      </c>
      <c r="D726" s="58">
        <v>314</v>
      </c>
      <c r="E726" s="58">
        <v>6</v>
      </c>
      <c r="F726" s="58">
        <v>1.948051948051948</v>
      </c>
      <c r="G726" s="58">
        <v>653</v>
      </c>
      <c r="H726" s="58">
        <v>22.02</v>
      </c>
      <c r="I726" s="58">
        <v>190.9</v>
      </c>
      <c r="J726" s="58">
        <v>-23.400000000000009</v>
      </c>
      <c r="K726" s="58">
        <v>-10.9192720485301</v>
      </c>
      <c r="L726" s="58">
        <v>26100</v>
      </c>
      <c r="M726" s="58">
        <v>36900</v>
      </c>
      <c r="N726" s="58">
        <v>15136.95</v>
      </c>
      <c r="O726" s="58">
        <v>15050</v>
      </c>
      <c r="P726" s="58" t="s">
        <v>33</v>
      </c>
      <c r="Q726" s="58">
        <v>302</v>
      </c>
      <c r="R726" s="58">
        <v>-4</v>
      </c>
      <c r="S726" s="58">
        <v>-1.3071895424836599</v>
      </c>
      <c r="T726" s="58">
        <v>257</v>
      </c>
      <c r="U726" s="58">
        <v>17.03</v>
      </c>
      <c r="V726" s="58">
        <v>280.39999999999998</v>
      </c>
      <c r="W726" s="58">
        <v>5.5499999999999545</v>
      </c>
      <c r="X726" s="58">
        <v>2.019283245406569</v>
      </c>
      <c r="Y726" s="58">
        <v>29400</v>
      </c>
      <c r="Z726" s="58">
        <v>29400</v>
      </c>
      <c r="AA726" s="58">
        <v>15136.95</v>
      </c>
      <c r="AE726" s="57"/>
    </row>
    <row r="727" spans="1:31" x14ac:dyDescent="0.35">
      <c r="A727" s="56" t="s">
        <v>795</v>
      </c>
      <c r="B727" s="58">
        <v>15050</v>
      </c>
      <c r="C727" s="58" t="s">
        <v>36</v>
      </c>
      <c r="D727" s="58">
        <v>0</v>
      </c>
      <c r="E727" s="58">
        <v>0</v>
      </c>
      <c r="F727" s="58">
        <v>0</v>
      </c>
      <c r="G727" s="58">
        <v>0</v>
      </c>
      <c r="H727" s="58">
        <v>0</v>
      </c>
      <c r="I727" s="58">
        <v>0</v>
      </c>
      <c r="J727" s="58">
        <v>0</v>
      </c>
      <c r="K727" s="58">
        <v>0</v>
      </c>
      <c r="L727" s="58">
        <v>13800</v>
      </c>
      <c r="M727" s="58">
        <v>7950</v>
      </c>
      <c r="N727" s="58">
        <v>15136.95</v>
      </c>
      <c r="O727" s="58">
        <v>15050</v>
      </c>
      <c r="P727" s="58" t="s">
        <v>36</v>
      </c>
      <c r="Q727" s="58">
        <v>2</v>
      </c>
      <c r="R727" s="58">
        <v>0</v>
      </c>
      <c r="S727" s="58">
        <v>0</v>
      </c>
      <c r="T727" s="58">
        <v>0</v>
      </c>
      <c r="U727" s="58">
        <v>0</v>
      </c>
      <c r="V727" s="58">
        <v>0</v>
      </c>
      <c r="W727" s="58">
        <v>0</v>
      </c>
      <c r="X727" s="58">
        <v>0</v>
      </c>
      <c r="Y727" s="58">
        <v>8325</v>
      </c>
      <c r="Z727" s="58">
        <v>8475</v>
      </c>
      <c r="AA727" s="58">
        <v>15136.95</v>
      </c>
      <c r="AE727" s="57"/>
    </row>
    <row r="728" spans="1:31" x14ac:dyDescent="0.35">
      <c r="A728" s="56" t="s">
        <v>796</v>
      </c>
      <c r="B728" s="58">
        <v>15050</v>
      </c>
      <c r="C728" s="58" t="s">
        <v>37</v>
      </c>
      <c r="D728" s="58">
        <v>0</v>
      </c>
      <c r="E728" s="58">
        <v>0</v>
      </c>
      <c r="F728" s="58">
        <v>0</v>
      </c>
      <c r="G728" s="58">
        <v>0</v>
      </c>
      <c r="H728" s="58">
        <v>0</v>
      </c>
      <c r="I728" s="58">
        <v>0</v>
      </c>
      <c r="J728" s="58">
        <v>0</v>
      </c>
      <c r="K728" s="58">
        <v>0</v>
      </c>
      <c r="L728" s="58">
        <v>9750</v>
      </c>
      <c r="M728" s="58">
        <v>4875</v>
      </c>
      <c r="N728" s="58">
        <v>15136.95</v>
      </c>
      <c r="O728" s="58">
        <v>15050</v>
      </c>
      <c r="P728" s="58" t="s">
        <v>37</v>
      </c>
      <c r="Q728" s="58">
        <v>0</v>
      </c>
      <c r="R728" s="58">
        <v>0</v>
      </c>
      <c r="S728" s="58">
        <v>0</v>
      </c>
      <c r="T728" s="58">
        <v>0</v>
      </c>
      <c r="U728" s="58">
        <v>0</v>
      </c>
      <c r="V728" s="58">
        <v>0</v>
      </c>
      <c r="W728" s="58">
        <v>0</v>
      </c>
      <c r="X728" s="58">
        <v>0</v>
      </c>
      <c r="Y728" s="58">
        <v>75</v>
      </c>
      <c r="Z728" s="58">
        <v>4875</v>
      </c>
      <c r="AA728" s="58">
        <v>15136.95</v>
      </c>
      <c r="AE728" s="57"/>
    </row>
    <row r="729" spans="1:31" x14ac:dyDescent="0.35">
      <c r="A729" s="56" t="s">
        <v>797</v>
      </c>
      <c r="B729" s="58">
        <v>15050</v>
      </c>
      <c r="C729" s="58" t="s">
        <v>38</v>
      </c>
      <c r="D729" s="58">
        <v>0</v>
      </c>
      <c r="E729" s="58">
        <v>0</v>
      </c>
      <c r="F729" s="58">
        <v>0</v>
      </c>
      <c r="G729" s="58">
        <v>0</v>
      </c>
      <c r="H729" s="58">
        <v>0</v>
      </c>
      <c r="I729" s="58">
        <v>0</v>
      </c>
      <c r="J729" s="58">
        <v>0</v>
      </c>
      <c r="K729" s="58">
        <v>0</v>
      </c>
      <c r="L729" s="58">
        <v>0</v>
      </c>
      <c r="M729" s="58">
        <v>4875</v>
      </c>
      <c r="N729" s="58">
        <v>15136.95</v>
      </c>
      <c r="O729" s="58">
        <v>15050</v>
      </c>
      <c r="P729" s="58" t="s">
        <v>38</v>
      </c>
      <c r="Q729" s="58">
        <v>0</v>
      </c>
      <c r="R729" s="58">
        <v>0</v>
      </c>
      <c r="S729" s="58">
        <v>0</v>
      </c>
      <c r="T729" s="58">
        <v>0</v>
      </c>
      <c r="U729" s="58">
        <v>0</v>
      </c>
      <c r="V729" s="58">
        <v>0</v>
      </c>
      <c r="W729" s="58">
        <v>0</v>
      </c>
      <c r="X729" s="58">
        <v>0</v>
      </c>
      <c r="Y729" s="58">
        <v>0</v>
      </c>
      <c r="Z729" s="58">
        <v>4875</v>
      </c>
      <c r="AA729" s="58">
        <v>15136.95</v>
      </c>
      <c r="AE729" s="57"/>
    </row>
    <row r="730" spans="1:31" x14ac:dyDescent="0.35">
      <c r="A730" s="56" t="s">
        <v>798</v>
      </c>
      <c r="B730" s="58">
        <v>15050</v>
      </c>
      <c r="C730" s="58" t="s">
        <v>26</v>
      </c>
      <c r="D730" s="58">
        <v>36</v>
      </c>
      <c r="E730" s="58">
        <v>0</v>
      </c>
      <c r="F730" s="58">
        <v>0</v>
      </c>
      <c r="G730" s="58">
        <v>2</v>
      </c>
      <c r="H730" s="58">
        <v>24.95</v>
      </c>
      <c r="I730" s="58">
        <v>384.25</v>
      </c>
      <c r="J730" s="58">
        <v>-27.600000000000023</v>
      </c>
      <c r="K730" s="58">
        <v>-6.7014689814252817</v>
      </c>
      <c r="L730" s="58">
        <v>2400</v>
      </c>
      <c r="M730" s="58">
        <v>2925</v>
      </c>
      <c r="N730" s="58">
        <v>15136.95</v>
      </c>
      <c r="O730" s="58">
        <v>15050</v>
      </c>
      <c r="P730" s="58" t="s">
        <v>26</v>
      </c>
      <c r="Q730" s="58">
        <v>23</v>
      </c>
      <c r="R730" s="58">
        <v>0</v>
      </c>
      <c r="S730" s="58">
        <v>0</v>
      </c>
      <c r="T730" s="58">
        <v>0</v>
      </c>
      <c r="U730" s="58">
        <v>0</v>
      </c>
      <c r="V730" s="58">
        <v>0</v>
      </c>
      <c r="W730" s="58">
        <v>0</v>
      </c>
      <c r="X730" s="58">
        <v>0</v>
      </c>
      <c r="Y730" s="58">
        <v>1575</v>
      </c>
      <c r="Z730" s="58">
        <v>12225</v>
      </c>
      <c r="AA730" s="58">
        <v>15136.95</v>
      </c>
      <c r="AE730" s="57"/>
    </row>
    <row r="731" spans="1:31" x14ac:dyDescent="0.35">
      <c r="A731" s="56" t="s">
        <v>799</v>
      </c>
      <c r="B731" s="58">
        <v>15050</v>
      </c>
      <c r="C731" s="58" t="s">
        <v>67</v>
      </c>
      <c r="D731" s="58">
        <v>0</v>
      </c>
      <c r="E731" s="58">
        <v>0</v>
      </c>
      <c r="F731" s="58">
        <v>0</v>
      </c>
      <c r="G731" s="58">
        <v>0</v>
      </c>
      <c r="H731" s="58">
        <v>0</v>
      </c>
      <c r="I731" s="58">
        <v>0</v>
      </c>
      <c r="J731" s="58">
        <v>0</v>
      </c>
      <c r="K731" s="58">
        <v>0</v>
      </c>
      <c r="L731" s="58">
        <v>0</v>
      </c>
      <c r="M731" s="58">
        <v>0</v>
      </c>
      <c r="N731" s="58">
        <v>15136.95</v>
      </c>
      <c r="O731" s="58">
        <v>15050</v>
      </c>
      <c r="P731" s="58" t="s">
        <v>67</v>
      </c>
      <c r="Q731" s="58">
        <v>0</v>
      </c>
      <c r="R731" s="58">
        <v>0</v>
      </c>
      <c r="S731" s="58">
        <v>0</v>
      </c>
      <c r="T731" s="58">
        <v>0</v>
      </c>
      <c r="U731" s="58">
        <v>0</v>
      </c>
      <c r="V731" s="58">
        <v>0</v>
      </c>
      <c r="W731" s="58">
        <v>0</v>
      </c>
      <c r="X731" s="58">
        <v>0</v>
      </c>
      <c r="Y731" s="58">
        <v>0</v>
      </c>
      <c r="Z731" s="58">
        <v>0</v>
      </c>
      <c r="AA731" s="58">
        <v>15136.95</v>
      </c>
      <c r="AE731" s="57"/>
    </row>
    <row r="732" spans="1:31" x14ac:dyDescent="0.35">
      <c r="A732" s="56" t="s">
        <v>800</v>
      </c>
      <c r="B732" s="58">
        <v>15050</v>
      </c>
      <c r="C732" s="58" t="s">
        <v>2074</v>
      </c>
      <c r="D732" s="58">
        <v>0</v>
      </c>
      <c r="E732" s="58">
        <v>0</v>
      </c>
      <c r="F732" s="58">
        <v>0</v>
      </c>
      <c r="G732" s="58">
        <v>0</v>
      </c>
      <c r="H732" s="58">
        <v>0</v>
      </c>
      <c r="I732" s="58">
        <v>0</v>
      </c>
      <c r="J732" s="58">
        <v>0</v>
      </c>
      <c r="K732" s="58">
        <v>0</v>
      </c>
      <c r="L732" s="58">
        <v>0</v>
      </c>
      <c r="M732" s="58">
        <v>0</v>
      </c>
      <c r="N732" s="58">
        <v>15136.95</v>
      </c>
      <c r="O732" s="58">
        <v>15050</v>
      </c>
      <c r="P732" s="58" t="s">
        <v>2074</v>
      </c>
      <c r="Q732" s="58">
        <v>0</v>
      </c>
      <c r="R732" s="58">
        <v>0</v>
      </c>
      <c r="S732" s="58">
        <v>0</v>
      </c>
      <c r="T732" s="58">
        <v>0</v>
      </c>
      <c r="U732" s="58">
        <v>0</v>
      </c>
      <c r="V732" s="58">
        <v>0</v>
      </c>
      <c r="W732" s="58">
        <v>0</v>
      </c>
      <c r="X732" s="58">
        <v>0</v>
      </c>
      <c r="Y732" s="58">
        <v>0</v>
      </c>
      <c r="Z732" s="58">
        <v>0</v>
      </c>
      <c r="AA732" s="58">
        <v>15136.95</v>
      </c>
      <c r="AE732" s="57"/>
    </row>
    <row r="733" spans="1:31" x14ac:dyDescent="0.35">
      <c r="A733" s="56" t="s">
        <v>801</v>
      </c>
      <c r="B733" s="58">
        <v>15050</v>
      </c>
      <c r="C733" s="58" t="s">
        <v>2071</v>
      </c>
      <c r="D733" s="58">
        <v>0</v>
      </c>
      <c r="E733" s="58">
        <v>0</v>
      </c>
      <c r="F733" s="58">
        <v>0</v>
      </c>
      <c r="G733" s="58">
        <v>0</v>
      </c>
      <c r="H733" s="58">
        <v>0</v>
      </c>
      <c r="I733" s="58">
        <v>0</v>
      </c>
      <c r="J733" s="58">
        <v>0</v>
      </c>
      <c r="K733" s="58">
        <v>0</v>
      </c>
      <c r="L733" s="58">
        <v>300</v>
      </c>
      <c r="M733" s="58">
        <v>5175</v>
      </c>
      <c r="N733" s="58">
        <v>15136.95</v>
      </c>
      <c r="O733" s="58">
        <v>15050</v>
      </c>
      <c r="P733" s="58" t="s">
        <v>2071</v>
      </c>
      <c r="Q733" s="58">
        <v>0</v>
      </c>
      <c r="R733" s="58">
        <v>0</v>
      </c>
      <c r="S733" s="58">
        <v>0</v>
      </c>
      <c r="T733" s="58">
        <v>0</v>
      </c>
      <c r="U733" s="58">
        <v>0</v>
      </c>
      <c r="V733" s="58">
        <v>0</v>
      </c>
      <c r="W733" s="58">
        <v>0</v>
      </c>
      <c r="X733" s="58">
        <v>0</v>
      </c>
      <c r="Y733" s="58">
        <v>0</v>
      </c>
      <c r="Z733" s="58">
        <v>4875</v>
      </c>
      <c r="AA733" s="58">
        <v>15136.95</v>
      </c>
      <c r="AE733" s="57"/>
    </row>
    <row r="734" spans="1:31" x14ac:dyDescent="0.35">
      <c r="A734" s="56" t="s">
        <v>802</v>
      </c>
      <c r="B734" s="58">
        <v>15050</v>
      </c>
      <c r="C734" s="58" t="s">
        <v>35</v>
      </c>
      <c r="D734" s="58">
        <v>29212</v>
      </c>
      <c r="E734" s="58">
        <v>20214</v>
      </c>
      <c r="F734" s="58">
        <v>224.64992220493443</v>
      </c>
      <c r="G734" s="58">
        <v>229126</v>
      </c>
      <c r="H734" s="58">
        <v>17.43</v>
      </c>
      <c r="I734" s="58">
        <v>22</v>
      </c>
      <c r="J734" s="58">
        <v>-27.85</v>
      </c>
      <c r="K734" s="58">
        <v>-55.867602808425275</v>
      </c>
      <c r="L734" s="58">
        <v>2960100</v>
      </c>
      <c r="M734" s="58">
        <v>367200</v>
      </c>
      <c r="N734" s="58">
        <v>15136.95</v>
      </c>
      <c r="O734" s="58">
        <v>15050</v>
      </c>
      <c r="P734" s="58" t="s">
        <v>35</v>
      </c>
      <c r="Q734" s="58">
        <v>9737</v>
      </c>
      <c r="R734" s="58">
        <v>882</v>
      </c>
      <c r="S734" s="58">
        <v>9.9604743083003964</v>
      </c>
      <c r="T734" s="58">
        <v>74588</v>
      </c>
      <c r="U734" s="58">
        <v>13.96</v>
      </c>
      <c r="V734" s="58">
        <v>97.55</v>
      </c>
      <c r="W734" s="58">
        <v>-2.0499999999999972</v>
      </c>
      <c r="X734" s="58">
        <v>-2.0582329317269048</v>
      </c>
      <c r="Y734" s="58">
        <v>2325825</v>
      </c>
      <c r="Z734" s="58">
        <v>138450</v>
      </c>
      <c r="AA734" s="58">
        <v>15136.95</v>
      </c>
      <c r="AE734" s="57"/>
    </row>
    <row r="735" spans="1:31" x14ac:dyDescent="0.35">
      <c r="A735" s="56" t="s">
        <v>803</v>
      </c>
      <c r="B735" s="58">
        <v>15100</v>
      </c>
      <c r="C735" s="58" t="s">
        <v>34</v>
      </c>
      <c r="D735" s="58">
        <v>9036</v>
      </c>
      <c r="E735" s="58">
        <v>3811</v>
      </c>
      <c r="F735" s="58">
        <v>72.937799043062199</v>
      </c>
      <c r="G735" s="58">
        <v>20140</v>
      </c>
      <c r="H735" s="58">
        <v>20.3</v>
      </c>
      <c r="I735" s="58">
        <v>142.85</v>
      </c>
      <c r="J735" s="58">
        <v>-14.650000000000006</v>
      </c>
      <c r="K735" s="58">
        <v>-9.3015873015873058</v>
      </c>
      <c r="L735" s="58">
        <v>67425</v>
      </c>
      <c r="M735" s="58">
        <v>110700</v>
      </c>
      <c r="N735" s="58">
        <v>15136.95</v>
      </c>
      <c r="O735" s="58">
        <v>15100</v>
      </c>
      <c r="P735" s="58" t="s">
        <v>34</v>
      </c>
      <c r="Q735" s="58">
        <v>10210</v>
      </c>
      <c r="R735" s="58">
        <v>3397</v>
      </c>
      <c r="S735" s="58">
        <v>49.860560692793193</v>
      </c>
      <c r="T735" s="58">
        <v>22662</v>
      </c>
      <c r="U735" s="58">
        <v>16.52</v>
      </c>
      <c r="V735" s="58">
        <v>169.05</v>
      </c>
      <c r="W735" s="58">
        <v>-8.6999999999999886</v>
      </c>
      <c r="X735" s="58">
        <v>-4.894514767932483</v>
      </c>
      <c r="Y735" s="58">
        <v>64950</v>
      </c>
      <c r="Z735" s="58">
        <v>111975</v>
      </c>
      <c r="AA735" s="58">
        <v>15136.95</v>
      </c>
      <c r="AE735" s="57"/>
    </row>
    <row r="736" spans="1:31" x14ac:dyDescent="0.35">
      <c r="A736" s="56" t="s">
        <v>804</v>
      </c>
      <c r="B736" s="58">
        <v>15100</v>
      </c>
      <c r="C736" s="58" t="s">
        <v>35</v>
      </c>
      <c r="D736" s="58">
        <v>60890</v>
      </c>
      <c r="E736" s="58">
        <v>39267</v>
      </c>
      <c r="F736" s="58">
        <v>181.59829810849561</v>
      </c>
      <c r="G736" s="58">
        <v>446432</v>
      </c>
      <c r="H736" s="58">
        <v>16.14</v>
      </c>
      <c r="I736" s="58">
        <v>35.4</v>
      </c>
      <c r="J736" s="58">
        <v>-31.4</v>
      </c>
      <c r="K736" s="58">
        <v>-47.005988023952092</v>
      </c>
      <c r="L736" s="58">
        <v>3503550</v>
      </c>
      <c r="M736" s="58">
        <v>925050</v>
      </c>
      <c r="N736" s="58">
        <v>15136.95</v>
      </c>
      <c r="O736" s="58">
        <v>15100</v>
      </c>
      <c r="P736" s="58" t="s">
        <v>35</v>
      </c>
      <c r="Q736" s="58">
        <v>46337</v>
      </c>
      <c r="R736" s="58">
        <v>8945</v>
      </c>
      <c r="S736" s="58">
        <v>23.922229353872485</v>
      </c>
      <c r="T736" s="58">
        <v>355023</v>
      </c>
      <c r="U736" s="58">
        <v>13.77</v>
      </c>
      <c r="V736" s="58">
        <v>60.55</v>
      </c>
      <c r="W736" s="58">
        <v>-11.049999999999995</v>
      </c>
      <c r="X736" s="58">
        <v>-15.432960893854746</v>
      </c>
      <c r="Y736" s="58">
        <v>5158500</v>
      </c>
      <c r="Z736" s="58">
        <v>569175</v>
      </c>
      <c r="AA736" s="58">
        <v>15136.95</v>
      </c>
      <c r="AE736" s="57"/>
    </row>
    <row r="737" spans="1:31" x14ac:dyDescent="0.35">
      <c r="A737" s="56" t="s">
        <v>805</v>
      </c>
      <c r="B737" s="58">
        <v>15100</v>
      </c>
      <c r="C737" s="58" t="s">
        <v>36</v>
      </c>
      <c r="D737" s="58">
        <v>23</v>
      </c>
      <c r="E737" s="58">
        <v>-1</v>
      </c>
      <c r="F737" s="58">
        <v>-4.166666666666667</v>
      </c>
      <c r="G737" s="58">
        <v>10</v>
      </c>
      <c r="H737" s="58">
        <v>22.9</v>
      </c>
      <c r="I737" s="58">
        <v>268.7</v>
      </c>
      <c r="J737" s="58">
        <v>-26.100000000000023</v>
      </c>
      <c r="K737" s="58">
        <v>-8.8534599728629644</v>
      </c>
      <c r="L737" s="58">
        <v>7650</v>
      </c>
      <c r="M737" s="58">
        <v>2550</v>
      </c>
      <c r="N737" s="58">
        <v>15136.95</v>
      </c>
      <c r="O737" s="58">
        <v>15100</v>
      </c>
      <c r="P737" s="58" t="s">
        <v>36</v>
      </c>
      <c r="Q737" s="58">
        <v>27</v>
      </c>
      <c r="R737" s="58">
        <v>1</v>
      </c>
      <c r="S737" s="58">
        <v>3.8461538461538463</v>
      </c>
      <c r="T737" s="58">
        <v>13</v>
      </c>
      <c r="U737" s="58">
        <v>17.5</v>
      </c>
      <c r="V737" s="58">
        <v>323.8</v>
      </c>
      <c r="W737" s="58">
        <v>30.150000000000031</v>
      </c>
      <c r="X737" s="58">
        <v>10.267325046824464</v>
      </c>
      <c r="Y737" s="58">
        <v>7950</v>
      </c>
      <c r="Z737" s="58">
        <v>7500</v>
      </c>
      <c r="AA737" s="58">
        <v>15136.95</v>
      </c>
      <c r="AE737" s="57"/>
    </row>
    <row r="738" spans="1:31" x14ac:dyDescent="0.35">
      <c r="A738" s="56" t="s">
        <v>806</v>
      </c>
      <c r="B738" s="58">
        <v>15100</v>
      </c>
      <c r="C738" s="58" t="s">
        <v>37</v>
      </c>
      <c r="D738" s="58">
        <v>0</v>
      </c>
      <c r="E738" s="58">
        <v>0</v>
      </c>
      <c r="F738" s="58">
        <v>0</v>
      </c>
      <c r="G738" s="58">
        <v>0</v>
      </c>
      <c r="H738" s="58">
        <v>0</v>
      </c>
      <c r="I738" s="58">
        <v>0</v>
      </c>
      <c r="J738" s="58">
        <v>0</v>
      </c>
      <c r="K738" s="58">
        <v>0</v>
      </c>
      <c r="L738" s="58">
        <v>1800</v>
      </c>
      <c r="M738" s="58">
        <v>6075</v>
      </c>
      <c r="N738" s="58">
        <v>15136.95</v>
      </c>
      <c r="O738" s="58">
        <v>15100</v>
      </c>
      <c r="P738" s="58" t="s">
        <v>37</v>
      </c>
      <c r="Q738" s="58">
        <v>0</v>
      </c>
      <c r="R738" s="58">
        <v>0</v>
      </c>
      <c r="S738" s="58">
        <v>0</v>
      </c>
      <c r="T738" s="58">
        <v>0</v>
      </c>
      <c r="U738" s="58">
        <v>0</v>
      </c>
      <c r="V738" s="58">
        <v>0</v>
      </c>
      <c r="W738" s="58">
        <v>0</v>
      </c>
      <c r="X738" s="58">
        <v>0</v>
      </c>
      <c r="Y738" s="58">
        <v>21375</v>
      </c>
      <c r="Z738" s="58">
        <v>6675</v>
      </c>
      <c r="AA738" s="58">
        <v>15136.95</v>
      </c>
      <c r="AE738" s="57"/>
    </row>
    <row r="739" spans="1:31" x14ac:dyDescent="0.35">
      <c r="A739" s="56" t="s">
        <v>807</v>
      </c>
      <c r="B739" s="58">
        <v>15100</v>
      </c>
      <c r="C739" s="58" t="s">
        <v>38</v>
      </c>
      <c r="D739" s="58">
        <v>0</v>
      </c>
      <c r="E739" s="58">
        <v>0</v>
      </c>
      <c r="F739" s="58">
        <v>0</v>
      </c>
      <c r="G739" s="58">
        <v>0</v>
      </c>
      <c r="H739" s="58">
        <v>0</v>
      </c>
      <c r="I739" s="58">
        <v>0</v>
      </c>
      <c r="J739" s="58">
        <v>0</v>
      </c>
      <c r="K739" s="58">
        <v>0</v>
      </c>
      <c r="L739" s="58">
        <v>0</v>
      </c>
      <c r="M739" s="58">
        <v>4875</v>
      </c>
      <c r="N739" s="58">
        <v>15136.95</v>
      </c>
      <c r="O739" s="58">
        <v>15100</v>
      </c>
      <c r="P739" s="58" t="s">
        <v>38</v>
      </c>
      <c r="Q739" s="58">
        <v>0</v>
      </c>
      <c r="R739" s="58">
        <v>0</v>
      </c>
      <c r="S739" s="58">
        <v>0</v>
      </c>
      <c r="T739" s="58">
        <v>0</v>
      </c>
      <c r="U739" s="58">
        <v>0</v>
      </c>
      <c r="V739" s="58">
        <v>0</v>
      </c>
      <c r="W739" s="58">
        <v>0</v>
      </c>
      <c r="X739" s="58">
        <v>0</v>
      </c>
      <c r="Y739" s="58">
        <v>0</v>
      </c>
      <c r="Z739" s="58">
        <v>4875</v>
      </c>
      <c r="AA739" s="58">
        <v>15136.95</v>
      </c>
      <c r="AE739" s="57"/>
    </row>
    <row r="740" spans="1:31" x14ac:dyDescent="0.35">
      <c r="A740" s="56" t="s">
        <v>808</v>
      </c>
      <c r="B740" s="58">
        <v>15100</v>
      </c>
      <c r="C740" s="58" t="s">
        <v>26</v>
      </c>
      <c r="D740" s="58">
        <v>530</v>
      </c>
      <c r="E740" s="58">
        <v>37</v>
      </c>
      <c r="F740" s="58">
        <v>7.5050709939148073</v>
      </c>
      <c r="G740" s="58">
        <v>199</v>
      </c>
      <c r="H740" s="58">
        <v>24.65</v>
      </c>
      <c r="I740" s="58">
        <v>407.1</v>
      </c>
      <c r="J740" s="58">
        <v>-16</v>
      </c>
      <c r="K740" s="58">
        <v>-3.7816119120775222</v>
      </c>
      <c r="L740" s="58">
        <v>6150</v>
      </c>
      <c r="M740" s="58">
        <v>5700</v>
      </c>
      <c r="N740" s="58">
        <v>15136.95</v>
      </c>
      <c r="O740" s="58">
        <v>15100</v>
      </c>
      <c r="P740" s="58" t="s">
        <v>26</v>
      </c>
      <c r="Q740" s="58">
        <v>704</v>
      </c>
      <c r="R740" s="58">
        <v>39</v>
      </c>
      <c r="S740" s="58">
        <v>5.8646616541353387</v>
      </c>
      <c r="T740" s="58">
        <v>258</v>
      </c>
      <c r="U740" s="58">
        <v>18.07</v>
      </c>
      <c r="V740" s="58">
        <v>476.7</v>
      </c>
      <c r="W740" s="58">
        <v>-4.1999999999999886</v>
      </c>
      <c r="X740" s="58">
        <v>-0.87336244541484487</v>
      </c>
      <c r="Y740" s="58">
        <v>12300</v>
      </c>
      <c r="Z740" s="58">
        <v>8475</v>
      </c>
      <c r="AA740" s="58">
        <v>15136.95</v>
      </c>
      <c r="AE740" s="57"/>
    </row>
    <row r="741" spans="1:31" x14ac:dyDescent="0.35">
      <c r="A741" s="56" t="s">
        <v>809</v>
      </c>
      <c r="B741" s="58">
        <v>15100</v>
      </c>
      <c r="C741" s="58" t="s">
        <v>67</v>
      </c>
      <c r="D741" s="58">
        <v>0</v>
      </c>
      <c r="E741" s="58">
        <v>0</v>
      </c>
      <c r="F741" s="58">
        <v>0</v>
      </c>
      <c r="G741" s="58">
        <v>0</v>
      </c>
      <c r="H741" s="58">
        <v>0</v>
      </c>
      <c r="I741" s="58">
        <v>0</v>
      </c>
      <c r="J741" s="58">
        <v>0</v>
      </c>
      <c r="K741" s="58">
        <v>0</v>
      </c>
      <c r="L741" s="58">
        <v>75</v>
      </c>
      <c r="M741" s="58">
        <v>4875</v>
      </c>
      <c r="N741" s="58">
        <v>15136.95</v>
      </c>
      <c r="O741" s="58">
        <v>15100</v>
      </c>
      <c r="P741" s="58" t="s">
        <v>67</v>
      </c>
      <c r="Q741" s="58">
        <v>0</v>
      </c>
      <c r="R741" s="58">
        <v>0</v>
      </c>
      <c r="S741" s="58">
        <v>0</v>
      </c>
      <c r="T741" s="58">
        <v>0</v>
      </c>
      <c r="U741" s="58">
        <v>0</v>
      </c>
      <c r="V741" s="58">
        <v>0</v>
      </c>
      <c r="W741" s="58">
        <v>0</v>
      </c>
      <c r="X741" s="58">
        <v>0</v>
      </c>
      <c r="Y741" s="58">
        <v>0</v>
      </c>
      <c r="Z741" s="58">
        <v>4875</v>
      </c>
      <c r="AA741" s="58">
        <v>15136.95</v>
      </c>
      <c r="AE741" s="57"/>
    </row>
    <row r="742" spans="1:31" x14ac:dyDescent="0.35">
      <c r="A742" s="56" t="s">
        <v>810</v>
      </c>
      <c r="B742" s="58">
        <v>15100</v>
      </c>
      <c r="C742" s="58" t="s">
        <v>2074</v>
      </c>
      <c r="D742" s="58">
        <v>0</v>
      </c>
      <c r="E742" s="58">
        <v>0</v>
      </c>
      <c r="F742" s="58">
        <v>0</v>
      </c>
      <c r="G742" s="58">
        <v>0</v>
      </c>
      <c r="H742" s="58">
        <v>0</v>
      </c>
      <c r="I742" s="58">
        <v>0</v>
      </c>
      <c r="J742" s="58">
        <v>0</v>
      </c>
      <c r="K742" s="58">
        <v>0</v>
      </c>
      <c r="L742" s="58">
        <v>0</v>
      </c>
      <c r="M742" s="58">
        <v>4875</v>
      </c>
      <c r="N742" s="58">
        <v>15136.95</v>
      </c>
      <c r="O742" s="58">
        <v>15100</v>
      </c>
      <c r="P742" s="58" t="s">
        <v>2074</v>
      </c>
      <c r="Q742" s="58">
        <v>0</v>
      </c>
      <c r="R742" s="58">
        <v>0</v>
      </c>
      <c r="S742" s="58">
        <v>0</v>
      </c>
      <c r="T742" s="58">
        <v>0</v>
      </c>
      <c r="U742" s="58">
        <v>0</v>
      </c>
      <c r="V742" s="58">
        <v>0</v>
      </c>
      <c r="W742" s="58">
        <v>0</v>
      </c>
      <c r="X742" s="58">
        <v>0</v>
      </c>
      <c r="Y742" s="58">
        <v>0</v>
      </c>
      <c r="Z742" s="58">
        <v>4875</v>
      </c>
      <c r="AA742" s="58">
        <v>15136.95</v>
      </c>
      <c r="AE742" s="57"/>
    </row>
    <row r="743" spans="1:31" x14ac:dyDescent="0.35">
      <c r="A743" s="56" t="s">
        <v>811</v>
      </c>
      <c r="B743" s="58">
        <v>15100</v>
      </c>
      <c r="C743" s="58" t="s">
        <v>2071</v>
      </c>
      <c r="D743" s="58">
        <v>0</v>
      </c>
      <c r="E743" s="58">
        <v>0</v>
      </c>
      <c r="F743" s="58">
        <v>0</v>
      </c>
      <c r="G743" s="58">
        <v>0</v>
      </c>
      <c r="H743" s="58">
        <v>0</v>
      </c>
      <c r="I743" s="58">
        <v>0</v>
      </c>
      <c r="J743" s="58">
        <v>0</v>
      </c>
      <c r="K743" s="58">
        <v>0</v>
      </c>
      <c r="L743" s="58">
        <v>1275</v>
      </c>
      <c r="M743" s="58">
        <v>6525</v>
      </c>
      <c r="N743" s="58">
        <v>15136.95</v>
      </c>
      <c r="O743" s="58">
        <v>15100</v>
      </c>
      <c r="P743" s="58" t="s">
        <v>2071</v>
      </c>
      <c r="Q743" s="58">
        <v>8</v>
      </c>
      <c r="R743" s="58">
        <v>-1</v>
      </c>
      <c r="S743" s="58">
        <v>-11.111111111111111</v>
      </c>
      <c r="T743" s="58">
        <v>3</v>
      </c>
      <c r="U743" s="58">
        <v>15.74</v>
      </c>
      <c r="V743" s="58">
        <v>635.35</v>
      </c>
      <c r="W743" s="58">
        <v>-6.8500000000000227</v>
      </c>
      <c r="X743" s="58">
        <v>-1.0666459047025882</v>
      </c>
      <c r="Y743" s="58">
        <v>1725</v>
      </c>
      <c r="Z743" s="58">
        <v>11025</v>
      </c>
      <c r="AA743" s="58">
        <v>15136.95</v>
      </c>
      <c r="AE743" s="57"/>
    </row>
    <row r="744" spans="1:31" x14ac:dyDescent="0.35">
      <c r="A744" s="56" t="s">
        <v>812</v>
      </c>
      <c r="B744" s="58">
        <v>15100</v>
      </c>
      <c r="C744" s="58" t="s">
        <v>33</v>
      </c>
      <c r="D744" s="58">
        <v>5830</v>
      </c>
      <c r="E744" s="58">
        <v>638</v>
      </c>
      <c r="F744" s="58">
        <v>12.288135593220341</v>
      </c>
      <c r="G744" s="58">
        <v>7207</v>
      </c>
      <c r="H744" s="58">
        <v>21.62</v>
      </c>
      <c r="I744" s="58">
        <v>215</v>
      </c>
      <c r="J744" s="58">
        <v>-18.300000000000011</v>
      </c>
      <c r="K744" s="58">
        <v>-7.8439777111015907</v>
      </c>
      <c r="L744" s="58">
        <v>48975</v>
      </c>
      <c r="M744" s="58">
        <v>69225</v>
      </c>
      <c r="N744" s="58">
        <v>15136.95</v>
      </c>
      <c r="O744" s="58">
        <v>15100</v>
      </c>
      <c r="P744" s="58" t="s">
        <v>33</v>
      </c>
      <c r="Q744" s="58">
        <v>8375</v>
      </c>
      <c r="R744" s="58">
        <v>449</v>
      </c>
      <c r="S744" s="58">
        <v>5.6649003280343173</v>
      </c>
      <c r="T744" s="58">
        <v>8103</v>
      </c>
      <c r="U744" s="58">
        <v>16.899999999999999</v>
      </c>
      <c r="V744" s="58">
        <v>246.55</v>
      </c>
      <c r="W744" s="58">
        <v>-1.6999999999999886</v>
      </c>
      <c r="X744" s="58">
        <v>-0.6847935548841847</v>
      </c>
      <c r="Y744" s="58">
        <v>56625</v>
      </c>
      <c r="Z744" s="58">
        <v>65850</v>
      </c>
      <c r="AA744" s="58">
        <v>15136.95</v>
      </c>
      <c r="AE744" s="57"/>
    </row>
    <row r="745" spans="1:31" x14ac:dyDescent="0.35">
      <c r="A745" s="56" t="s">
        <v>813</v>
      </c>
      <c r="B745" s="58">
        <v>15150</v>
      </c>
      <c r="C745" s="58" t="s">
        <v>34</v>
      </c>
      <c r="D745" s="58">
        <v>1109</v>
      </c>
      <c r="E745" s="58">
        <v>745</v>
      </c>
      <c r="F745" s="58">
        <v>204.67032967032969</v>
      </c>
      <c r="G745" s="58">
        <v>4596</v>
      </c>
      <c r="H745" s="58">
        <v>20.22</v>
      </c>
      <c r="I745" s="58">
        <v>165.15</v>
      </c>
      <c r="J745" s="58">
        <v>-10</v>
      </c>
      <c r="K745" s="58">
        <v>-5.7093919497573502</v>
      </c>
      <c r="L745" s="58">
        <v>46425</v>
      </c>
      <c r="M745" s="58">
        <v>45300</v>
      </c>
      <c r="N745" s="58">
        <v>15136.95</v>
      </c>
      <c r="O745" s="58">
        <v>15150</v>
      </c>
      <c r="P745" s="58" t="s">
        <v>34</v>
      </c>
      <c r="Q745" s="58">
        <v>1765</v>
      </c>
      <c r="R745" s="58">
        <v>620</v>
      </c>
      <c r="S745" s="58">
        <v>54.148471615720531</v>
      </c>
      <c r="T745" s="58">
        <v>6223</v>
      </c>
      <c r="U745" s="58">
        <v>16.73</v>
      </c>
      <c r="V745" s="58">
        <v>142.30000000000001</v>
      </c>
      <c r="W745" s="58">
        <v>-10.799999999999985</v>
      </c>
      <c r="X745" s="58">
        <v>-7.0542129327236998</v>
      </c>
      <c r="Y745" s="58">
        <v>46125</v>
      </c>
      <c r="Z745" s="58">
        <v>54750</v>
      </c>
      <c r="AA745" s="58">
        <v>15136.95</v>
      </c>
      <c r="AE745" s="57"/>
    </row>
    <row r="746" spans="1:31" x14ac:dyDescent="0.35">
      <c r="A746" s="56" t="s">
        <v>814</v>
      </c>
      <c r="B746" s="58">
        <v>15150</v>
      </c>
      <c r="C746" s="58" t="s">
        <v>33</v>
      </c>
      <c r="D746" s="58">
        <v>521</v>
      </c>
      <c r="E746" s="58">
        <v>92</v>
      </c>
      <c r="F746" s="58">
        <v>21.445221445221449</v>
      </c>
      <c r="G746" s="58">
        <v>956</v>
      </c>
      <c r="H746" s="58">
        <v>21.36</v>
      </c>
      <c r="I746" s="58">
        <v>235</v>
      </c>
      <c r="J746" s="58">
        <v>-17.699999999999989</v>
      </c>
      <c r="K746" s="58">
        <v>-7.0043529877324842</v>
      </c>
      <c r="L746" s="58">
        <v>29625</v>
      </c>
      <c r="M746" s="58">
        <v>42750</v>
      </c>
      <c r="N746" s="58">
        <v>15136.95</v>
      </c>
      <c r="O746" s="58">
        <v>15150</v>
      </c>
      <c r="P746" s="58" t="s">
        <v>33</v>
      </c>
      <c r="Q746" s="58">
        <v>986</v>
      </c>
      <c r="R746" s="58">
        <v>-102</v>
      </c>
      <c r="S746" s="58">
        <v>-9.375</v>
      </c>
      <c r="T746" s="58">
        <v>1426</v>
      </c>
      <c r="U746" s="58">
        <v>17</v>
      </c>
      <c r="V746" s="58">
        <v>218.4</v>
      </c>
      <c r="W746" s="58">
        <v>-7.7999999999999829</v>
      </c>
      <c r="X746" s="58">
        <v>-3.4482758620689578</v>
      </c>
      <c r="Y746" s="58">
        <v>25650</v>
      </c>
      <c r="Z746" s="58">
        <v>30675</v>
      </c>
      <c r="AA746" s="58">
        <v>15136.95</v>
      </c>
      <c r="AE746" s="57"/>
    </row>
    <row r="747" spans="1:31" x14ac:dyDescent="0.35">
      <c r="A747" s="56" t="s">
        <v>815</v>
      </c>
      <c r="B747" s="58">
        <v>15150</v>
      </c>
      <c r="C747" s="58" t="s">
        <v>37</v>
      </c>
      <c r="D747" s="58">
        <v>0</v>
      </c>
      <c r="E747" s="58">
        <v>0</v>
      </c>
      <c r="F747" s="58">
        <v>0</v>
      </c>
      <c r="G747" s="58">
        <v>0</v>
      </c>
      <c r="H747" s="58">
        <v>0</v>
      </c>
      <c r="I747" s="58">
        <v>0</v>
      </c>
      <c r="J747" s="58">
        <v>0</v>
      </c>
      <c r="K747" s="58">
        <v>0</v>
      </c>
      <c r="L747" s="58">
        <v>9750</v>
      </c>
      <c r="M747" s="58">
        <v>4875</v>
      </c>
      <c r="N747" s="58">
        <v>15136.95</v>
      </c>
      <c r="O747" s="58">
        <v>15150</v>
      </c>
      <c r="P747" s="58" t="s">
        <v>37</v>
      </c>
      <c r="Q747" s="58">
        <v>0</v>
      </c>
      <c r="R747" s="58">
        <v>0</v>
      </c>
      <c r="S747" s="58">
        <v>0</v>
      </c>
      <c r="T747" s="58">
        <v>0</v>
      </c>
      <c r="U747" s="58">
        <v>0</v>
      </c>
      <c r="V747" s="58">
        <v>0</v>
      </c>
      <c r="W747" s="58">
        <v>0</v>
      </c>
      <c r="X747" s="58">
        <v>0</v>
      </c>
      <c r="Y747" s="58">
        <v>5025</v>
      </c>
      <c r="Z747" s="58">
        <v>4875</v>
      </c>
      <c r="AA747" s="58">
        <v>15136.95</v>
      </c>
      <c r="AE747" s="57"/>
    </row>
    <row r="748" spans="1:31" x14ac:dyDescent="0.35">
      <c r="A748" s="56" t="s">
        <v>816</v>
      </c>
      <c r="B748" s="58">
        <v>15150</v>
      </c>
      <c r="C748" s="58" t="s">
        <v>38</v>
      </c>
      <c r="D748" s="58">
        <v>0</v>
      </c>
      <c r="E748" s="58">
        <v>0</v>
      </c>
      <c r="F748" s="58">
        <v>0</v>
      </c>
      <c r="G748" s="58">
        <v>0</v>
      </c>
      <c r="H748" s="58">
        <v>0</v>
      </c>
      <c r="I748" s="58">
        <v>0</v>
      </c>
      <c r="J748" s="58">
        <v>0</v>
      </c>
      <c r="K748" s="58">
        <v>0</v>
      </c>
      <c r="L748" s="58">
        <v>75</v>
      </c>
      <c r="M748" s="58">
        <v>4875</v>
      </c>
      <c r="N748" s="58">
        <v>15136.95</v>
      </c>
      <c r="O748" s="58">
        <v>15150</v>
      </c>
      <c r="P748" s="58" t="s">
        <v>38</v>
      </c>
      <c r="Q748" s="58">
        <v>0</v>
      </c>
      <c r="R748" s="58">
        <v>0</v>
      </c>
      <c r="S748" s="58">
        <v>0</v>
      </c>
      <c r="T748" s="58">
        <v>0</v>
      </c>
      <c r="U748" s="58">
        <v>0</v>
      </c>
      <c r="V748" s="58">
        <v>0</v>
      </c>
      <c r="W748" s="58">
        <v>0</v>
      </c>
      <c r="X748" s="58">
        <v>0</v>
      </c>
      <c r="Y748" s="58">
        <v>1125</v>
      </c>
      <c r="Z748" s="58">
        <v>4875</v>
      </c>
      <c r="AA748" s="58">
        <v>15136.95</v>
      </c>
      <c r="AE748" s="57"/>
    </row>
    <row r="749" spans="1:31" x14ac:dyDescent="0.35">
      <c r="A749" s="56" t="s">
        <v>817</v>
      </c>
      <c r="B749" s="58">
        <v>15150</v>
      </c>
      <c r="C749" s="58" t="s">
        <v>26</v>
      </c>
      <c r="D749" s="58">
        <v>43</v>
      </c>
      <c r="E749" s="58">
        <v>-1</v>
      </c>
      <c r="F749" s="58">
        <v>-2.2727272727272729</v>
      </c>
      <c r="G749" s="58">
        <v>12</v>
      </c>
      <c r="H749" s="58">
        <v>24.58</v>
      </c>
      <c r="I749" s="58">
        <v>425.25</v>
      </c>
      <c r="J749" s="58">
        <v>-30.5</v>
      </c>
      <c r="K749" s="58">
        <v>-6.692265496434449</v>
      </c>
      <c r="L749" s="58">
        <v>2925</v>
      </c>
      <c r="M749" s="58">
        <v>7725</v>
      </c>
      <c r="N749" s="58">
        <v>15136.95</v>
      </c>
      <c r="O749" s="58">
        <v>15150</v>
      </c>
      <c r="P749" s="58" t="s">
        <v>26</v>
      </c>
      <c r="Q749" s="58">
        <v>14</v>
      </c>
      <c r="R749" s="58">
        <v>1</v>
      </c>
      <c r="S749" s="58">
        <v>7.6923076923076925</v>
      </c>
      <c r="T749" s="58">
        <v>17</v>
      </c>
      <c r="U749" s="58">
        <v>17.7</v>
      </c>
      <c r="V749" s="58">
        <v>451.2</v>
      </c>
      <c r="W749" s="58">
        <v>18.599999999999969</v>
      </c>
      <c r="X749" s="58">
        <v>4.2995839112343885</v>
      </c>
      <c r="Y749" s="58">
        <v>9300</v>
      </c>
      <c r="Z749" s="58">
        <v>9000</v>
      </c>
      <c r="AA749" s="58">
        <v>15136.95</v>
      </c>
      <c r="AE749" s="57"/>
    </row>
    <row r="750" spans="1:31" x14ac:dyDescent="0.35">
      <c r="A750" s="56" t="s">
        <v>818</v>
      </c>
      <c r="B750" s="58">
        <v>15150</v>
      </c>
      <c r="C750" s="58" t="s">
        <v>67</v>
      </c>
      <c r="D750" s="58">
        <v>0</v>
      </c>
      <c r="E750" s="58">
        <v>0</v>
      </c>
      <c r="F750" s="58">
        <v>0</v>
      </c>
      <c r="G750" s="58">
        <v>0</v>
      </c>
      <c r="H750" s="58">
        <v>0</v>
      </c>
      <c r="I750" s="58">
        <v>0</v>
      </c>
      <c r="J750" s="58">
        <v>0</v>
      </c>
      <c r="K750" s="58">
        <v>0</v>
      </c>
      <c r="L750" s="58">
        <v>0</v>
      </c>
      <c r="M750" s="58">
        <v>0</v>
      </c>
      <c r="N750" s="58">
        <v>15136.95</v>
      </c>
      <c r="O750" s="58">
        <v>15150</v>
      </c>
      <c r="P750" s="58" t="s">
        <v>67</v>
      </c>
      <c r="Q750" s="58">
        <v>0</v>
      </c>
      <c r="R750" s="58">
        <v>0</v>
      </c>
      <c r="S750" s="58">
        <v>0</v>
      </c>
      <c r="T750" s="58">
        <v>0</v>
      </c>
      <c r="U750" s="58">
        <v>0</v>
      </c>
      <c r="V750" s="58">
        <v>0</v>
      </c>
      <c r="W750" s="58">
        <v>0</v>
      </c>
      <c r="X750" s="58">
        <v>0</v>
      </c>
      <c r="Y750" s="58">
        <v>0</v>
      </c>
      <c r="Z750" s="58">
        <v>4875</v>
      </c>
      <c r="AA750" s="58">
        <v>15136.95</v>
      </c>
      <c r="AE750" s="57"/>
    </row>
    <row r="751" spans="1:31" x14ac:dyDescent="0.35">
      <c r="A751" s="56" t="s">
        <v>819</v>
      </c>
      <c r="B751" s="58">
        <v>15150</v>
      </c>
      <c r="C751" s="58" t="s">
        <v>2074</v>
      </c>
      <c r="D751" s="58">
        <v>0</v>
      </c>
      <c r="E751" s="58">
        <v>0</v>
      </c>
      <c r="F751" s="58">
        <v>0</v>
      </c>
      <c r="G751" s="58">
        <v>0</v>
      </c>
      <c r="H751" s="58">
        <v>0</v>
      </c>
      <c r="I751" s="58">
        <v>0</v>
      </c>
      <c r="J751" s="58">
        <v>0</v>
      </c>
      <c r="K751" s="58">
        <v>0</v>
      </c>
      <c r="L751" s="58">
        <v>0</v>
      </c>
      <c r="M751" s="58">
        <v>4875</v>
      </c>
      <c r="N751" s="58">
        <v>15136.95</v>
      </c>
      <c r="O751" s="58">
        <v>15150</v>
      </c>
      <c r="P751" s="58" t="s">
        <v>2074</v>
      </c>
      <c r="Q751" s="58">
        <v>0</v>
      </c>
      <c r="R751" s="58">
        <v>0</v>
      </c>
      <c r="S751" s="58">
        <v>0</v>
      </c>
      <c r="T751" s="58">
        <v>0</v>
      </c>
      <c r="U751" s="58">
        <v>0</v>
      </c>
      <c r="V751" s="58">
        <v>0</v>
      </c>
      <c r="W751" s="58">
        <v>0</v>
      </c>
      <c r="X751" s="58">
        <v>0</v>
      </c>
      <c r="Y751" s="58">
        <v>0</v>
      </c>
      <c r="Z751" s="58">
        <v>4875</v>
      </c>
      <c r="AA751" s="58">
        <v>15136.95</v>
      </c>
      <c r="AE751" s="57"/>
    </row>
    <row r="752" spans="1:31" x14ac:dyDescent="0.35">
      <c r="A752" s="56" t="s">
        <v>820</v>
      </c>
      <c r="B752" s="58">
        <v>15150</v>
      </c>
      <c r="C752" s="58" t="s">
        <v>2071</v>
      </c>
      <c r="D752" s="58">
        <v>0</v>
      </c>
      <c r="E752" s="58">
        <v>0</v>
      </c>
      <c r="F752" s="58">
        <v>0</v>
      </c>
      <c r="G752" s="58">
        <v>0</v>
      </c>
      <c r="H752" s="58">
        <v>0</v>
      </c>
      <c r="I752" s="58">
        <v>0</v>
      </c>
      <c r="J752" s="58">
        <v>0</v>
      </c>
      <c r="K752" s="58">
        <v>0</v>
      </c>
      <c r="L752" s="58">
        <v>0</v>
      </c>
      <c r="M752" s="58">
        <v>0</v>
      </c>
      <c r="N752" s="58">
        <v>15136.95</v>
      </c>
      <c r="O752" s="58">
        <v>15150</v>
      </c>
      <c r="P752" s="58" t="s">
        <v>2071</v>
      </c>
      <c r="Q752" s="58">
        <v>0</v>
      </c>
      <c r="R752" s="58">
        <v>0</v>
      </c>
      <c r="S752" s="58">
        <v>0</v>
      </c>
      <c r="T752" s="58">
        <v>0</v>
      </c>
      <c r="U752" s="58">
        <v>0</v>
      </c>
      <c r="V752" s="58">
        <v>0</v>
      </c>
      <c r="W752" s="58">
        <v>0</v>
      </c>
      <c r="X752" s="58">
        <v>0</v>
      </c>
      <c r="Y752" s="58">
        <v>300</v>
      </c>
      <c r="Z752" s="58">
        <v>5175</v>
      </c>
      <c r="AA752" s="58">
        <v>15136.95</v>
      </c>
      <c r="AE752" s="57"/>
    </row>
    <row r="753" spans="1:31" x14ac:dyDescent="0.35">
      <c r="A753" s="56" t="s">
        <v>821</v>
      </c>
      <c r="B753" s="58">
        <v>15150</v>
      </c>
      <c r="C753" s="58" t="s">
        <v>35</v>
      </c>
      <c r="D753" s="58">
        <v>22113</v>
      </c>
      <c r="E753" s="58">
        <v>17545</v>
      </c>
      <c r="F753" s="58">
        <v>384.0849387040281</v>
      </c>
      <c r="G753" s="58">
        <v>195158</v>
      </c>
      <c r="H753" s="58">
        <v>14.78</v>
      </c>
      <c r="I753" s="58">
        <v>55.6</v>
      </c>
      <c r="J753" s="58">
        <v>-34.499999999999993</v>
      </c>
      <c r="K753" s="58">
        <v>-38.290788013318526</v>
      </c>
      <c r="L753" s="58">
        <v>2036550</v>
      </c>
      <c r="M753" s="58">
        <v>305850</v>
      </c>
      <c r="N753" s="58">
        <v>15136.95</v>
      </c>
      <c r="O753" s="58">
        <v>15150</v>
      </c>
      <c r="P753" s="58" t="s">
        <v>35</v>
      </c>
      <c r="Q753" s="58">
        <v>34686</v>
      </c>
      <c r="R753" s="58">
        <v>18051</v>
      </c>
      <c r="S753" s="58">
        <v>108.51217312894499</v>
      </c>
      <c r="T753" s="58">
        <v>345776</v>
      </c>
      <c r="U753" s="58">
        <v>12.39</v>
      </c>
      <c r="V753" s="58">
        <v>31.3</v>
      </c>
      <c r="W753" s="58">
        <v>-16.999999999999996</v>
      </c>
      <c r="X753" s="58">
        <v>-35.196687370600408</v>
      </c>
      <c r="Y753" s="58">
        <v>4858425</v>
      </c>
      <c r="Z753" s="58">
        <v>572325</v>
      </c>
      <c r="AA753" s="58">
        <v>15136.95</v>
      </c>
      <c r="AE753" s="57"/>
    </row>
    <row r="754" spans="1:31" x14ac:dyDescent="0.35">
      <c r="A754" s="56" t="s">
        <v>822</v>
      </c>
      <c r="B754" s="58">
        <v>15150</v>
      </c>
      <c r="C754" s="58" t="s">
        <v>36</v>
      </c>
      <c r="D754" s="58">
        <v>0</v>
      </c>
      <c r="E754" s="58">
        <v>0</v>
      </c>
      <c r="F754" s="58">
        <v>0</v>
      </c>
      <c r="G754" s="58">
        <v>0</v>
      </c>
      <c r="H754" s="58">
        <v>0</v>
      </c>
      <c r="I754" s="58">
        <v>0</v>
      </c>
      <c r="J754" s="58">
        <v>0</v>
      </c>
      <c r="K754" s="58">
        <v>0</v>
      </c>
      <c r="L754" s="58">
        <v>12225</v>
      </c>
      <c r="M754" s="58">
        <v>2250</v>
      </c>
      <c r="N754" s="58">
        <v>15136.95</v>
      </c>
      <c r="O754" s="58">
        <v>15150</v>
      </c>
      <c r="P754" s="58" t="s">
        <v>36</v>
      </c>
      <c r="Q754" s="58">
        <v>0</v>
      </c>
      <c r="R754" s="58">
        <v>0</v>
      </c>
      <c r="S754" s="58">
        <v>0</v>
      </c>
      <c r="T754" s="58">
        <v>2</v>
      </c>
      <c r="U754" s="58">
        <v>15.32</v>
      </c>
      <c r="V754" s="58">
        <v>264.85000000000002</v>
      </c>
      <c r="W754" s="58">
        <v>10.000000000000028</v>
      </c>
      <c r="X754" s="58">
        <v>3.923876790268797</v>
      </c>
      <c r="Y754" s="58">
        <v>8925</v>
      </c>
      <c r="Z754" s="58">
        <v>8325</v>
      </c>
      <c r="AA754" s="58">
        <v>15136.95</v>
      </c>
      <c r="AE754" s="57"/>
    </row>
    <row r="755" spans="1:31" x14ac:dyDescent="0.35">
      <c r="A755" s="56" t="s">
        <v>823</v>
      </c>
      <c r="B755" s="58">
        <v>15200</v>
      </c>
      <c r="C755" s="58" t="s">
        <v>33</v>
      </c>
      <c r="D755" s="58">
        <v>5035</v>
      </c>
      <c r="E755" s="58">
        <v>299</v>
      </c>
      <c r="F755" s="58">
        <v>6.3133445945945947</v>
      </c>
      <c r="G755" s="58">
        <v>4535</v>
      </c>
      <c r="H755" s="58">
        <v>21.25</v>
      </c>
      <c r="I755" s="58">
        <v>259</v>
      </c>
      <c r="J755" s="58">
        <v>-23.300000000000011</v>
      </c>
      <c r="K755" s="58">
        <v>-8.2536308891250485</v>
      </c>
      <c r="L755" s="58">
        <v>57825</v>
      </c>
      <c r="M755" s="58">
        <v>63300</v>
      </c>
      <c r="N755" s="58">
        <v>15136.95</v>
      </c>
      <c r="O755" s="58">
        <v>15200</v>
      </c>
      <c r="P755" s="58" t="s">
        <v>33</v>
      </c>
      <c r="Q755" s="58">
        <v>14355</v>
      </c>
      <c r="R755" s="58">
        <v>401</v>
      </c>
      <c r="S755" s="58">
        <v>2.8737279633080122</v>
      </c>
      <c r="T755" s="58">
        <v>8581</v>
      </c>
      <c r="U755" s="58">
        <v>16.64</v>
      </c>
      <c r="V755" s="58">
        <v>191.4</v>
      </c>
      <c r="W755" s="58">
        <v>-4.4499999999999886</v>
      </c>
      <c r="X755" s="58">
        <v>-2.2721470513147759</v>
      </c>
      <c r="Y755" s="58">
        <v>63600</v>
      </c>
      <c r="Z755" s="58">
        <v>93225</v>
      </c>
      <c r="AA755" s="58">
        <v>15136.95</v>
      </c>
      <c r="AE755" s="57"/>
    </row>
    <row r="756" spans="1:31" x14ac:dyDescent="0.35">
      <c r="A756" s="56" t="s">
        <v>824</v>
      </c>
      <c r="B756" s="58">
        <v>15200</v>
      </c>
      <c r="C756" s="58" t="s">
        <v>37</v>
      </c>
      <c r="D756" s="58">
        <v>0</v>
      </c>
      <c r="E756" s="58">
        <v>0</v>
      </c>
      <c r="F756" s="58">
        <v>0</v>
      </c>
      <c r="G756" s="58">
        <v>0</v>
      </c>
      <c r="H756" s="58">
        <v>0</v>
      </c>
      <c r="I756" s="58">
        <v>0</v>
      </c>
      <c r="J756" s="58">
        <v>0</v>
      </c>
      <c r="K756" s="58">
        <v>0</v>
      </c>
      <c r="L756" s="58">
        <v>5550</v>
      </c>
      <c r="M756" s="58">
        <v>4875</v>
      </c>
      <c r="N756" s="58">
        <v>15136.95</v>
      </c>
      <c r="O756" s="58">
        <v>15200</v>
      </c>
      <c r="P756" s="58" t="s">
        <v>37</v>
      </c>
      <c r="Q756" s="58">
        <v>0</v>
      </c>
      <c r="R756" s="58">
        <v>0</v>
      </c>
      <c r="S756" s="58">
        <v>0</v>
      </c>
      <c r="T756" s="58">
        <v>1</v>
      </c>
      <c r="U756" s="58">
        <v>16.8</v>
      </c>
      <c r="V756" s="58">
        <v>305</v>
      </c>
      <c r="W756" s="58">
        <v>-11.350000000000025</v>
      </c>
      <c r="X756" s="58">
        <v>-3.587798324640437</v>
      </c>
      <c r="Y756" s="58">
        <v>12225</v>
      </c>
      <c r="Z756" s="58">
        <v>6750</v>
      </c>
      <c r="AA756" s="58">
        <v>15136.95</v>
      </c>
      <c r="AE756" s="57"/>
    </row>
    <row r="757" spans="1:31" x14ac:dyDescent="0.35">
      <c r="A757" s="56" t="s">
        <v>825</v>
      </c>
      <c r="B757" s="58">
        <v>15200</v>
      </c>
      <c r="C757" s="58" t="s">
        <v>38</v>
      </c>
      <c r="D757" s="58">
        <v>0</v>
      </c>
      <c r="E757" s="58">
        <v>0</v>
      </c>
      <c r="F757" s="58">
        <v>0</v>
      </c>
      <c r="G757" s="58">
        <v>0</v>
      </c>
      <c r="H757" s="58">
        <v>0</v>
      </c>
      <c r="I757" s="58">
        <v>0</v>
      </c>
      <c r="J757" s="58">
        <v>0</v>
      </c>
      <c r="K757" s="58">
        <v>0</v>
      </c>
      <c r="L757" s="58">
        <v>0</v>
      </c>
      <c r="M757" s="58">
        <v>4875</v>
      </c>
      <c r="N757" s="58">
        <v>15136.95</v>
      </c>
      <c r="O757" s="58">
        <v>15200</v>
      </c>
      <c r="P757" s="58" t="s">
        <v>38</v>
      </c>
      <c r="Q757" s="58">
        <v>0</v>
      </c>
      <c r="R757" s="58">
        <v>0</v>
      </c>
      <c r="S757" s="58">
        <v>0</v>
      </c>
      <c r="T757" s="58">
        <v>0</v>
      </c>
      <c r="U757" s="58">
        <v>0</v>
      </c>
      <c r="V757" s="58">
        <v>0</v>
      </c>
      <c r="W757" s="58">
        <v>0</v>
      </c>
      <c r="X757" s="58">
        <v>0</v>
      </c>
      <c r="Y757" s="58">
        <v>675</v>
      </c>
      <c r="Z757" s="58">
        <v>4875</v>
      </c>
      <c r="AA757" s="58">
        <v>15136.95</v>
      </c>
      <c r="AE757" s="57"/>
    </row>
    <row r="758" spans="1:31" x14ac:dyDescent="0.35">
      <c r="A758" s="56" t="s">
        <v>826</v>
      </c>
      <c r="B758" s="58">
        <v>15200</v>
      </c>
      <c r="C758" s="58" t="s">
        <v>26</v>
      </c>
      <c r="D758" s="58">
        <v>467</v>
      </c>
      <c r="E758" s="58">
        <v>20</v>
      </c>
      <c r="F758" s="58">
        <v>4.4742729306487696</v>
      </c>
      <c r="G758" s="58">
        <v>190</v>
      </c>
      <c r="H758" s="58">
        <v>24.51</v>
      </c>
      <c r="I758" s="58">
        <v>447.7</v>
      </c>
      <c r="J758" s="58">
        <v>-20.5</v>
      </c>
      <c r="K758" s="58">
        <v>-4.3784707390004272</v>
      </c>
      <c r="L758" s="58">
        <v>11775</v>
      </c>
      <c r="M758" s="58">
        <v>15150</v>
      </c>
      <c r="N758" s="58">
        <v>15136.95</v>
      </c>
      <c r="O758" s="58">
        <v>15200</v>
      </c>
      <c r="P758" s="58" t="s">
        <v>26</v>
      </c>
      <c r="Q758" s="58">
        <v>949</v>
      </c>
      <c r="R758" s="58">
        <v>33</v>
      </c>
      <c r="S758" s="58">
        <v>3.6026200873362444</v>
      </c>
      <c r="T758" s="58">
        <v>359</v>
      </c>
      <c r="U758" s="58">
        <v>18</v>
      </c>
      <c r="V758" s="58">
        <v>420</v>
      </c>
      <c r="W758" s="58">
        <v>-2.8500000000000227</v>
      </c>
      <c r="X758" s="58">
        <v>-0.67399787158567404</v>
      </c>
      <c r="Y758" s="58">
        <v>7875</v>
      </c>
      <c r="Z758" s="58">
        <v>6075</v>
      </c>
      <c r="AA758" s="58">
        <v>15136.95</v>
      </c>
      <c r="AE758" s="57"/>
    </row>
    <row r="759" spans="1:31" x14ac:dyDescent="0.35">
      <c r="A759" s="56" t="s">
        <v>827</v>
      </c>
      <c r="B759" s="58">
        <v>15200</v>
      </c>
      <c r="C759" s="58" t="s">
        <v>67</v>
      </c>
      <c r="D759" s="58">
        <v>0</v>
      </c>
      <c r="E759" s="58">
        <v>0</v>
      </c>
      <c r="F759" s="58">
        <v>0</v>
      </c>
      <c r="G759" s="58">
        <v>0</v>
      </c>
      <c r="H759" s="58">
        <v>0</v>
      </c>
      <c r="I759" s="58">
        <v>0</v>
      </c>
      <c r="J759" s="58">
        <v>0</v>
      </c>
      <c r="K759" s="58">
        <v>0</v>
      </c>
      <c r="L759" s="58">
        <v>0</v>
      </c>
      <c r="M759" s="58">
        <v>4875</v>
      </c>
      <c r="N759" s="58">
        <v>15136.95</v>
      </c>
      <c r="O759" s="58">
        <v>15200</v>
      </c>
      <c r="P759" s="58" t="s">
        <v>67</v>
      </c>
      <c r="Q759" s="58">
        <v>0</v>
      </c>
      <c r="R759" s="58">
        <v>0</v>
      </c>
      <c r="S759" s="58">
        <v>0</v>
      </c>
      <c r="T759" s="58">
        <v>0</v>
      </c>
      <c r="U759" s="58">
        <v>0</v>
      </c>
      <c r="V759" s="58">
        <v>0</v>
      </c>
      <c r="W759" s="58">
        <v>0</v>
      </c>
      <c r="X759" s="58">
        <v>0</v>
      </c>
      <c r="Y759" s="58">
        <v>0</v>
      </c>
      <c r="Z759" s="58">
        <v>4875</v>
      </c>
      <c r="AA759" s="58">
        <v>15136.95</v>
      </c>
      <c r="AE759" s="57"/>
    </row>
    <row r="760" spans="1:31" x14ac:dyDescent="0.35">
      <c r="A760" s="56" t="s">
        <v>828</v>
      </c>
      <c r="B760" s="58">
        <v>15200</v>
      </c>
      <c r="C760" s="58" t="s">
        <v>2074</v>
      </c>
      <c r="D760" s="58">
        <v>0</v>
      </c>
      <c r="E760" s="58">
        <v>0</v>
      </c>
      <c r="F760" s="58">
        <v>0</v>
      </c>
      <c r="G760" s="58">
        <v>0</v>
      </c>
      <c r="H760" s="58">
        <v>0</v>
      </c>
      <c r="I760" s="58">
        <v>0</v>
      </c>
      <c r="J760" s="58">
        <v>0</v>
      </c>
      <c r="K760" s="58">
        <v>0</v>
      </c>
      <c r="L760" s="58">
        <v>0</v>
      </c>
      <c r="M760" s="58">
        <v>4875</v>
      </c>
      <c r="N760" s="58">
        <v>15136.95</v>
      </c>
      <c r="O760" s="58">
        <v>15200</v>
      </c>
      <c r="P760" s="58" t="s">
        <v>2074</v>
      </c>
      <c r="Q760" s="58">
        <v>0</v>
      </c>
      <c r="R760" s="58">
        <v>0</v>
      </c>
      <c r="S760" s="58">
        <v>0</v>
      </c>
      <c r="T760" s="58">
        <v>0</v>
      </c>
      <c r="U760" s="58">
        <v>0</v>
      </c>
      <c r="V760" s="58">
        <v>0</v>
      </c>
      <c r="W760" s="58">
        <v>0</v>
      </c>
      <c r="X760" s="58">
        <v>0</v>
      </c>
      <c r="Y760" s="58">
        <v>0</v>
      </c>
      <c r="Z760" s="58">
        <v>4875</v>
      </c>
      <c r="AA760" s="58">
        <v>15136.95</v>
      </c>
      <c r="AE760" s="57"/>
    </row>
    <row r="761" spans="1:31" x14ac:dyDescent="0.35">
      <c r="A761" s="56" t="s">
        <v>829</v>
      </c>
      <c r="B761" s="58">
        <v>15200</v>
      </c>
      <c r="C761" s="58" t="s">
        <v>2071</v>
      </c>
      <c r="D761" s="58">
        <v>4</v>
      </c>
      <c r="E761" s="58">
        <v>0</v>
      </c>
      <c r="F761" s="58">
        <v>0</v>
      </c>
      <c r="G761" s="58">
        <v>0</v>
      </c>
      <c r="H761" s="58">
        <v>0</v>
      </c>
      <c r="I761" s="58">
        <v>0</v>
      </c>
      <c r="J761" s="58">
        <v>0</v>
      </c>
      <c r="K761" s="58">
        <v>0</v>
      </c>
      <c r="L761" s="58">
        <v>450</v>
      </c>
      <c r="M761" s="58">
        <v>6450</v>
      </c>
      <c r="N761" s="58">
        <v>15136.95</v>
      </c>
      <c r="O761" s="58">
        <v>15200</v>
      </c>
      <c r="P761" s="58" t="s">
        <v>2071</v>
      </c>
      <c r="Q761" s="58">
        <v>18</v>
      </c>
      <c r="R761" s="58">
        <v>0</v>
      </c>
      <c r="S761" s="58">
        <v>0</v>
      </c>
      <c r="T761" s="58">
        <v>1</v>
      </c>
      <c r="U761" s="58">
        <v>15.33</v>
      </c>
      <c r="V761" s="58">
        <v>565.85</v>
      </c>
      <c r="W761" s="58">
        <v>-24.149999999999977</v>
      </c>
      <c r="X761" s="58">
        <v>-4.0932203389830466</v>
      </c>
      <c r="Y761" s="58">
        <v>1500</v>
      </c>
      <c r="Z761" s="58">
        <v>6150</v>
      </c>
      <c r="AA761" s="58">
        <v>15136.95</v>
      </c>
      <c r="AE761" s="57"/>
    </row>
    <row r="762" spans="1:31" x14ac:dyDescent="0.35">
      <c r="A762" s="56" t="s">
        <v>830</v>
      </c>
      <c r="B762" s="58">
        <v>15200</v>
      </c>
      <c r="C762" s="58" t="s">
        <v>34</v>
      </c>
      <c r="D762" s="58">
        <v>2384</v>
      </c>
      <c r="E762" s="58">
        <v>735</v>
      </c>
      <c r="F762" s="58">
        <v>44.572468162522739</v>
      </c>
      <c r="G762" s="58">
        <v>6609</v>
      </c>
      <c r="H762" s="58">
        <v>20.059999999999999</v>
      </c>
      <c r="I762" s="58">
        <v>189.9</v>
      </c>
      <c r="J762" s="58">
        <v>-15.699999999999989</v>
      </c>
      <c r="K762" s="58">
        <v>-7.6361867704280106</v>
      </c>
      <c r="L762" s="58">
        <v>113250</v>
      </c>
      <c r="M762" s="58">
        <v>59700</v>
      </c>
      <c r="N762" s="58">
        <v>15136.95</v>
      </c>
      <c r="O762" s="58">
        <v>15200</v>
      </c>
      <c r="P762" s="58" t="s">
        <v>34</v>
      </c>
      <c r="Q762" s="58">
        <v>9279</v>
      </c>
      <c r="R762" s="58">
        <v>1245</v>
      </c>
      <c r="S762" s="58">
        <v>15.496639283047051</v>
      </c>
      <c r="T762" s="58">
        <v>20079</v>
      </c>
      <c r="U762" s="58">
        <v>16.43</v>
      </c>
      <c r="V762" s="58">
        <v>117</v>
      </c>
      <c r="W762" s="58">
        <v>-9.8499999999999943</v>
      </c>
      <c r="X762" s="58">
        <v>-7.7650768624359436</v>
      </c>
      <c r="Y762" s="58">
        <v>106575</v>
      </c>
      <c r="Z762" s="58">
        <v>129825</v>
      </c>
      <c r="AA762" s="58">
        <v>15136.95</v>
      </c>
      <c r="AE762" s="57"/>
    </row>
    <row r="763" spans="1:31" x14ac:dyDescent="0.35">
      <c r="A763" s="56" t="s">
        <v>831</v>
      </c>
      <c r="B763" s="58">
        <v>15200</v>
      </c>
      <c r="C763" s="58" t="s">
        <v>36</v>
      </c>
      <c r="D763" s="58">
        <v>10</v>
      </c>
      <c r="E763" s="58">
        <v>5</v>
      </c>
      <c r="F763" s="58">
        <v>100</v>
      </c>
      <c r="G763" s="58">
        <v>27</v>
      </c>
      <c r="H763" s="58">
        <v>22.3</v>
      </c>
      <c r="I763" s="58">
        <v>306.95</v>
      </c>
      <c r="J763" s="58">
        <v>-4.6500000000000341</v>
      </c>
      <c r="K763" s="58">
        <v>-1.4922978177150299</v>
      </c>
      <c r="L763" s="58">
        <v>75</v>
      </c>
      <c r="M763" s="58">
        <v>6000</v>
      </c>
      <c r="N763" s="58">
        <v>15136.95</v>
      </c>
      <c r="O763" s="58">
        <v>15200</v>
      </c>
      <c r="P763" s="58" t="s">
        <v>36</v>
      </c>
      <c r="Q763" s="58">
        <v>32</v>
      </c>
      <c r="R763" s="58">
        <v>1</v>
      </c>
      <c r="S763" s="58">
        <v>3.225806451612903</v>
      </c>
      <c r="T763" s="58">
        <v>7</v>
      </c>
      <c r="U763" s="58">
        <v>17.38</v>
      </c>
      <c r="V763" s="58">
        <v>268.10000000000002</v>
      </c>
      <c r="W763" s="58">
        <v>16.200000000000017</v>
      </c>
      <c r="X763" s="58">
        <v>6.4311234616911541</v>
      </c>
      <c r="Y763" s="58">
        <v>13050</v>
      </c>
      <c r="Z763" s="58">
        <v>2550</v>
      </c>
      <c r="AA763" s="58">
        <v>15136.95</v>
      </c>
      <c r="AE763" s="57"/>
    </row>
    <row r="764" spans="1:31" x14ac:dyDescent="0.35">
      <c r="A764" s="56" t="s">
        <v>832</v>
      </c>
      <c r="B764" s="58">
        <v>15200</v>
      </c>
      <c r="C764" s="58" t="s">
        <v>35</v>
      </c>
      <c r="D764" s="58">
        <v>14807</v>
      </c>
      <c r="E764" s="58">
        <v>8810</v>
      </c>
      <c r="F764" s="58">
        <v>146.90678672669668</v>
      </c>
      <c r="G764" s="58">
        <v>129696</v>
      </c>
      <c r="H764" s="58">
        <v>14.84</v>
      </c>
      <c r="I764" s="58">
        <v>88.6</v>
      </c>
      <c r="J764" s="58">
        <v>-32.550000000000011</v>
      </c>
      <c r="K764" s="58">
        <v>-26.867519603796953</v>
      </c>
      <c r="L764" s="58">
        <v>1951875</v>
      </c>
      <c r="M764" s="58">
        <v>248325</v>
      </c>
      <c r="N764" s="58">
        <v>15136.95</v>
      </c>
      <c r="O764" s="58">
        <v>15200</v>
      </c>
      <c r="P764" s="58" t="s">
        <v>35</v>
      </c>
      <c r="Q764" s="58">
        <v>69645</v>
      </c>
      <c r="R764" s="58">
        <v>25193</v>
      </c>
      <c r="S764" s="58">
        <v>56.67461531539638</v>
      </c>
      <c r="T764" s="58">
        <v>603976</v>
      </c>
      <c r="U764" s="58">
        <v>12.14</v>
      </c>
      <c r="V764" s="58">
        <v>14.1</v>
      </c>
      <c r="W764" s="58">
        <v>-16.299999999999997</v>
      </c>
      <c r="X764" s="58">
        <v>-53.618421052631568</v>
      </c>
      <c r="Y764" s="58">
        <v>8151000</v>
      </c>
      <c r="Z764" s="58">
        <v>1404750</v>
      </c>
      <c r="AA764" s="58">
        <v>15136.95</v>
      </c>
      <c r="AE764" s="57"/>
    </row>
    <row r="765" spans="1:31" x14ac:dyDescent="0.35">
      <c r="A765" s="56" t="s">
        <v>833</v>
      </c>
      <c r="B765" s="58">
        <v>15250</v>
      </c>
      <c r="C765" s="58" t="s">
        <v>33</v>
      </c>
      <c r="D765" s="58">
        <v>189</v>
      </c>
      <c r="E765" s="58">
        <v>-24</v>
      </c>
      <c r="F765" s="58">
        <v>-11.267605633802816</v>
      </c>
      <c r="G765" s="58">
        <v>214</v>
      </c>
      <c r="H765" s="58">
        <v>21.45</v>
      </c>
      <c r="I765" s="58">
        <v>279.14999999999998</v>
      </c>
      <c r="J765" s="58">
        <v>-27.100000000000023</v>
      </c>
      <c r="K765" s="58">
        <v>-8.8489795918367413</v>
      </c>
      <c r="L765" s="58">
        <v>27900</v>
      </c>
      <c r="M765" s="58">
        <v>25200</v>
      </c>
      <c r="N765" s="58">
        <v>15136.95</v>
      </c>
      <c r="O765" s="58">
        <v>15250</v>
      </c>
      <c r="P765" s="58" t="s">
        <v>33</v>
      </c>
      <c r="Q765" s="58">
        <v>809</v>
      </c>
      <c r="R765" s="58">
        <v>-21</v>
      </c>
      <c r="S765" s="58">
        <v>-2.5301204819277108</v>
      </c>
      <c r="T765" s="58">
        <v>720</v>
      </c>
      <c r="U765" s="58">
        <v>16.649999999999999</v>
      </c>
      <c r="V765" s="58">
        <v>168</v>
      </c>
      <c r="W765" s="58">
        <v>-7.8000000000000114</v>
      </c>
      <c r="X765" s="58">
        <v>-4.4368600682593922</v>
      </c>
      <c r="Y765" s="58">
        <v>27600</v>
      </c>
      <c r="Z765" s="58">
        <v>24225</v>
      </c>
      <c r="AA765" s="58">
        <v>15136.95</v>
      </c>
      <c r="AE765" s="57"/>
    </row>
    <row r="766" spans="1:31" x14ac:dyDescent="0.35">
      <c r="A766" s="56" t="s">
        <v>834</v>
      </c>
      <c r="B766" s="58">
        <v>15250</v>
      </c>
      <c r="C766" s="58" t="s">
        <v>36</v>
      </c>
      <c r="D766" s="58">
        <v>0</v>
      </c>
      <c r="E766" s="58">
        <v>0</v>
      </c>
      <c r="F766" s="58">
        <v>0</v>
      </c>
      <c r="G766" s="58">
        <v>0</v>
      </c>
      <c r="H766" s="58">
        <v>0</v>
      </c>
      <c r="I766" s="58">
        <v>0</v>
      </c>
      <c r="J766" s="58">
        <v>0</v>
      </c>
      <c r="K766" s="58">
        <v>0</v>
      </c>
      <c r="L766" s="58">
        <v>0</v>
      </c>
      <c r="M766" s="58">
        <v>5250</v>
      </c>
      <c r="N766" s="58">
        <v>15136.95</v>
      </c>
      <c r="O766" s="58">
        <v>15250</v>
      </c>
      <c r="P766" s="58" t="s">
        <v>36</v>
      </c>
      <c r="Q766" s="58">
        <v>0</v>
      </c>
      <c r="R766" s="58">
        <v>0</v>
      </c>
      <c r="S766" s="58">
        <v>0</v>
      </c>
      <c r="T766" s="58">
        <v>0</v>
      </c>
      <c r="U766" s="58">
        <v>0</v>
      </c>
      <c r="V766" s="58">
        <v>0</v>
      </c>
      <c r="W766" s="58">
        <v>0</v>
      </c>
      <c r="X766" s="58">
        <v>0</v>
      </c>
      <c r="Y766" s="58">
        <v>3900</v>
      </c>
      <c r="Z766" s="58">
        <v>3375</v>
      </c>
      <c r="AA766" s="58">
        <v>15136.95</v>
      </c>
      <c r="AE766" s="57"/>
    </row>
    <row r="767" spans="1:31" x14ac:dyDescent="0.35">
      <c r="A767" s="56" t="s">
        <v>835</v>
      </c>
      <c r="B767" s="58">
        <v>15250</v>
      </c>
      <c r="C767" s="58" t="s">
        <v>37</v>
      </c>
      <c r="D767" s="58">
        <v>0</v>
      </c>
      <c r="E767" s="58">
        <v>0</v>
      </c>
      <c r="F767" s="58">
        <v>0</v>
      </c>
      <c r="G767" s="58">
        <v>0</v>
      </c>
      <c r="H767" s="58">
        <v>0</v>
      </c>
      <c r="I767" s="58">
        <v>0</v>
      </c>
      <c r="J767" s="58">
        <v>0</v>
      </c>
      <c r="K767" s="58">
        <v>0</v>
      </c>
      <c r="L767" s="58">
        <v>75</v>
      </c>
      <c r="M767" s="58">
        <v>4875</v>
      </c>
      <c r="N767" s="58">
        <v>15136.95</v>
      </c>
      <c r="O767" s="58">
        <v>15250</v>
      </c>
      <c r="P767" s="58" t="s">
        <v>37</v>
      </c>
      <c r="Q767" s="58">
        <v>1</v>
      </c>
      <c r="R767" s="58">
        <v>0</v>
      </c>
      <c r="S767" s="58">
        <v>0</v>
      </c>
      <c r="T767" s="58">
        <v>0</v>
      </c>
      <c r="U767" s="58">
        <v>0</v>
      </c>
      <c r="V767" s="58">
        <v>0</v>
      </c>
      <c r="W767" s="58">
        <v>0</v>
      </c>
      <c r="X767" s="58">
        <v>0</v>
      </c>
      <c r="Y767" s="58">
        <v>0</v>
      </c>
      <c r="Z767" s="58">
        <v>4875</v>
      </c>
      <c r="AA767" s="58">
        <v>15136.95</v>
      </c>
      <c r="AE767" s="57"/>
    </row>
    <row r="768" spans="1:31" x14ac:dyDescent="0.35">
      <c r="A768" s="56" t="s">
        <v>836</v>
      </c>
      <c r="B768" s="58">
        <v>15250</v>
      </c>
      <c r="C768" s="58" t="s">
        <v>38</v>
      </c>
      <c r="D768" s="58">
        <v>0</v>
      </c>
      <c r="E768" s="58">
        <v>0</v>
      </c>
      <c r="F768" s="58">
        <v>0</v>
      </c>
      <c r="G768" s="58">
        <v>0</v>
      </c>
      <c r="H768" s="58">
        <v>0</v>
      </c>
      <c r="I768" s="58">
        <v>0</v>
      </c>
      <c r="J768" s="58">
        <v>0</v>
      </c>
      <c r="K768" s="58">
        <v>0</v>
      </c>
      <c r="L768" s="58">
        <v>0</v>
      </c>
      <c r="M768" s="58">
        <v>4875</v>
      </c>
      <c r="N768" s="58">
        <v>15136.95</v>
      </c>
      <c r="O768" s="58">
        <v>15250</v>
      </c>
      <c r="P768" s="58" t="s">
        <v>38</v>
      </c>
      <c r="Q768" s="58">
        <v>0</v>
      </c>
      <c r="R768" s="58">
        <v>0</v>
      </c>
      <c r="S768" s="58">
        <v>0</v>
      </c>
      <c r="T768" s="58">
        <v>0</v>
      </c>
      <c r="U768" s="58">
        <v>0</v>
      </c>
      <c r="V768" s="58">
        <v>0</v>
      </c>
      <c r="W768" s="58">
        <v>0</v>
      </c>
      <c r="X768" s="58">
        <v>0</v>
      </c>
      <c r="Y768" s="58">
        <v>750</v>
      </c>
      <c r="Z768" s="58">
        <v>4875</v>
      </c>
      <c r="AA768" s="58">
        <v>15136.95</v>
      </c>
      <c r="AE768" s="57"/>
    </row>
    <row r="769" spans="1:31" x14ac:dyDescent="0.35">
      <c r="A769" s="56" t="s">
        <v>837</v>
      </c>
      <c r="B769" s="58">
        <v>15250</v>
      </c>
      <c r="C769" s="58" t="s">
        <v>26</v>
      </c>
      <c r="D769" s="58">
        <v>5</v>
      </c>
      <c r="E769" s="58">
        <v>0</v>
      </c>
      <c r="F769" s="58">
        <v>0</v>
      </c>
      <c r="G769" s="58">
        <v>2</v>
      </c>
      <c r="H769" s="58">
        <v>24.41</v>
      </c>
      <c r="I769" s="58">
        <v>465</v>
      </c>
      <c r="J769" s="58">
        <v>-60.049999999999955</v>
      </c>
      <c r="K769" s="58">
        <v>-11.437005999428616</v>
      </c>
      <c r="L769" s="58">
        <v>5775</v>
      </c>
      <c r="M769" s="58">
        <v>9900</v>
      </c>
      <c r="N769" s="58">
        <v>15136.95</v>
      </c>
      <c r="O769" s="58">
        <v>15250</v>
      </c>
      <c r="P769" s="58" t="s">
        <v>26</v>
      </c>
      <c r="Q769" s="58">
        <v>10</v>
      </c>
      <c r="R769" s="58">
        <v>1</v>
      </c>
      <c r="S769" s="58">
        <v>11.111111111111111</v>
      </c>
      <c r="T769" s="58">
        <v>2</v>
      </c>
      <c r="U769" s="58">
        <v>17.809999999999999</v>
      </c>
      <c r="V769" s="58">
        <v>400</v>
      </c>
      <c r="W769" s="58">
        <v>18.800000000000011</v>
      </c>
      <c r="X769" s="58">
        <v>4.9317943336831096</v>
      </c>
      <c r="Y769" s="58">
        <v>3900</v>
      </c>
      <c r="Z769" s="58">
        <v>3975</v>
      </c>
      <c r="AA769" s="58">
        <v>15136.95</v>
      </c>
      <c r="AE769" s="57"/>
    </row>
    <row r="770" spans="1:31" x14ac:dyDescent="0.35">
      <c r="A770" s="56" t="s">
        <v>838</v>
      </c>
      <c r="B770" s="58">
        <v>15250</v>
      </c>
      <c r="C770" s="58" t="s">
        <v>35</v>
      </c>
      <c r="D770" s="58">
        <v>2649</v>
      </c>
      <c r="E770" s="58">
        <v>1218</v>
      </c>
      <c r="F770" s="58">
        <v>85.115303983228515</v>
      </c>
      <c r="G770" s="58">
        <v>17470</v>
      </c>
      <c r="H770" s="58">
        <v>15.6</v>
      </c>
      <c r="I770" s="58">
        <v>129.15</v>
      </c>
      <c r="J770" s="58">
        <v>-32.799999999999983</v>
      </c>
      <c r="K770" s="58">
        <v>-20.253164556962016</v>
      </c>
      <c r="L770" s="58">
        <v>743925</v>
      </c>
      <c r="M770" s="58">
        <v>86925</v>
      </c>
      <c r="N770" s="58">
        <v>15136.95</v>
      </c>
      <c r="O770" s="58">
        <v>15250</v>
      </c>
      <c r="P770" s="58" t="s">
        <v>35</v>
      </c>
      <c r="Q770" s="58">
        <v>54455</v>
      </c>
      <c r="R770" s="58">
        <v>34295</v>
      </c>
      <c r="S770" s="58">
        <v>170.11408730158729</v>
      </c>
      <c r="T770" s="58">
        <v>353625</v>
      </c>
      <c r="U770" s="58">
        <v>11.52</v>
      </c>
      <c r="V770" s="58">
        <v>4.8</v>
      </c>
      <c r="W770" s="58">
        <v>-12.15</v>
      </c>
      <c r="X770" s="58">
        <v>-71.681415929203524</v>
      </c>
      <c r="Y770" s="58">
        <v>7312050</v>
      </c>
      <c r="Z770" s="58">
        <v>1056375</v>
      </c>
      <c r="AA770" s="58">
        <v>15136.95</v>
      </c>
      <c r="AE770" s="57"/>
    </row>
    <row r="771" spans="1:31" x14ac:dyDescent="0.35">
      <c r="A771" s="56" t="s">
        <v>839</v>
      </c>
      <c r="B771" s="58">
        <v>15250</v>
      </c>
      <c r="C771" s="58" t="s">
        <v>2074</v>
      </c>
      <c r="D771" s="58">
        <v>0</v>
      </c>
      <c r="E771" s="58">
        <v>0</v>
      </c>
      <c r="F771" s="58">
        <v>0</v>
      </c>
      <c r="G771" s="58">
        <v>0</v>
      </c>
      <c r="H771" s="58">
        <v>0</v>
      </c>
      <c r="I771" s="58">
        <v>0</v>
      </c>
      <c r="J771" s="58">
        <v>0</v>
      </c>
      <c r="K771" s="58">
        <v>0</v>
      </c>
      <c r="L771" s="58">
        <v>0</v>
      </c>
      <c r="M771" s="58">
        <v>4875</v>
      </c>
      <c r="N771" s="58">
        <v>15136.95</v>
      </c>
      <c r="O771" s="58">
        <v>15250</v>
      </c>
      <c r="P771" s="58" t="s">
        <v>2074</v>
      </c>
      <c r="Q771" s="58">
        <v>0</v>
      </c>
      <c r="R771" s="58">
        <v>0</v>
      </c>
      <c r="S771" s="58">
        <v>0</v>
      </c>
      <c r="T771" s="58">
        <v>0</v>
      </c>
      <c r="U771" s="58">
        <v>0</v>
      </c>
      <c r="V771" s="58">
        <v>0</v>
      </c>
      <c r="W771" s="58">
        <v>0</v>
      </c>
      <c r="X771" s="58">
        <v>0</v>
      </c>
      <c r="Y771" s="58">
        <v>0</v>
      </c>
      <c r="Z771" s="58">
        <v>4875</v>
      </c>
      <c r="AA771" s="58">
        <v>15136.95</v>
      </c>
      <c r="AE771" s="57"/>
    </row>
    <row r="772" spans="1:31" x14ac:dyDescent="0.35">
      <c r="A772" s="56" t="s">
        <v>840</v>
      </c>
      <c r="B772" s="58">
        <v>15250</v>
      </c>
      <c r="C772" s="58" t="s">
        <v>2071</v>
      </c>
      <c r="D772" s="58">
        <v>0</v>
      </c>
      <c r="E772" s="58">
        <v>0</v>
      </c>
      <c r="F772" s="58">
        <v>0</v>
      </c>
      <c r="G772" s="58">
        <v>0</v>
      </c>
      <c r="H772" s="58">
        <v>0</v>
      </c>
      <c r="I772" s="58">
        <v>0</v>
      </c>
      <c r="J772" s="58">
        <v>0</v>
      </c>
      <c r="K772" s="58">
        <v>0</v>
      </c>
      <c r="L772" s="58">
        <v>0</v>
      </c>
      <c r="M772" s="58">
        <v>4875</v>
      </c>
      <c r="N772" s="58">
        <v>15136.95</v>
      </c>
      <c r="O772" s="58">
        <v>15250</v>
      </c>
      <c r="P772" s="58" t="s">
        <v>2071</v>
      </c>
      <c r="Q772" s="58">
        <v>0</v>
      </c>
      <c r="R772" s="58">
        <v>0</v>
      </c>
      <c r="S772" s="58">
        <v>0</v>
      </c>
      <c r="T772" s="58">
        <v>0</v>
      </c>
      <c r="U772" s="58">
        <v>0</v>
      </c>
      <c r="V772" s="58">
        <v>0</v>
      </c>
      <c r="W772" s="58">
        <v>0</v>
      </c>
      <c r="X772" s="58">
        <v>0</v>
      </c>
      <c r="Y772" s="58">
        <v>0</v>
      </c>
      <c r="Z772" s="58">
        <v>0</v>
      </c>
      <c r="AA772" s="58">
        <v>15136.95</v>
      </c>
      <c r="AE772" s="57"/>
    </row>
    <row r="773" spans="1:31" x14ac:dyDescent="0.35">
      <c r="A773" s="56" t="s">
        <v>841</v>
      </c>
      <c r="B773" s="58">
        <v>15250</v>
      </c>
      <c r="C773" s="58" t="s">
        <v>34</v>
      </c>
      <c r="D773" s="58">
        <v>251</v>
      </c>
      <c r="E773" s="58">
        <v>104</v>
      </c>
      <c r="F773" s="58">
        <v>70.748299319727892</v>
      </c>
      <c r="G773" s="58">
        <v>1370</v>
      </c>
      <c r="H773" s="58">
        <v>19.59</v>
      </c>
      <c r="I773" s="58">
        <v>217.9</v>
      </c>
      <c r="J773" s="58">
        <v>-21.75</v>
      </c>
      <c r="K773" s="58">
        <v>-9.0757354475276433</v>
      </c>
      <c r="L773" s="58">
        <v>19800</v>
      </c>
      <c r="M773" s="58">
        <v>18750</v>
      </c>
      <c r="N773" s="58">
        <v>15136.95</v>
      </c>
      <c r="O773" s="58">
        <v>15250</v>
      </c>
      <c r="P773" s="58" t="s">
        <v>34</v>
      </c>
      <c r="Q773" s="58">
        <v>1529</v>
      </c>
      <c r="R773" s="58">
        <v>280</v>
      </c>
      <c r="S773" s="58">
        <v>22.417934347477981</v>
      </c>
      <c r="T773" s="58">
        <v>3565</v>
      </c>
      <c r="U773" s="58">
        <v>16.38</v>
      </c>
      <c r="V773" s="58">
        <v>95.75</v>
      </c>
      <c r="W773" s="58">
        <v>-9.2000000000000046</v>
      </c>
      <c r="X773" s="58">
        <v>-8.7660790852787063</v>
      </c>
      <c r="Y773" s="58">
        <v>34125</v>
      </c>
      <c r="Z773" s="58">
        <v>31425</v>
      </c>
      <c r="AA773" s="58">
        <v>15136.95</v>
      </c>
      <c r="AE773" s="57"/>
    </row>
    <row r="774" spans="1:31" x14ac:dyDescent="0.35">
      <c r="A774" s="56" t="s">
        <v>842</v>
      </c>
      <c r="B774" s="58">
        <v>15250</v>
      </c>
      <c r="C774" s="58" t="s">
        <v>67</v>
      </c>
      <c r="D774" s="58">
        <v>0</v>
      </c>
      <c r="E774" s="58">
        <v>0</v>
      </c>
      <c r="F774" s="58">
        <v>0</v>
      </c>
      <c r="G774" s="58">
        <v>0</v>
      </c>
      <c r="H774" s="58">
        <v>0</v>
      </c>
      <c r="I774" s="58">
        <v>0</v>
      </c>
      <c r="J774" s="58">
        <v>0</v>
      </c>
      <c r="K774" s="58">
        <v>0</v>
      </c>
      <c r="L774" s="58">
        <v>0</v>
      </c>
      <c r="M774" s="58">
        <v>0</v>
      </c>
      <c r="N774" s="58">
        <v>15136.95</v>
      </c>
      <c r="O774" s="58">
        <v>15250</v>
      </c>
      <c r="P774" s="58" t="s">
        <v>67</v>
      </c>
      <c r="Q774" s="58">
        <v>0</v>
      </c>
      <c r="R774" s="58">
        <v>0</v>
      </c>
      <c r="S774" s="58">
        <v>0</v>
      </c>
      <c r="T774" s="58">
        <v>0</v>
      </c>
      <c r="U774" s="58">
        <v>0</v>
      </c>
      <c r="V774" s="58">
        <v>0</v>
      </c>
      <c r="W774" s="58">
        <v>0</v>
      </c>
      <c r="X774" s="58">
        <v>0</v>
      </c>
      <c r="Y774" s="58">
        <v>0</v>
      </c>
      <c r="Z774" s="58">
        <v>0</v>
      </c>
      <c r="AA774" s="58">
        <v>15136.95</v>
      </c>
      <c r="AE774" s="57"/>
    </row>
    <row r="775" spans="1:31" x14ac:dyDescent="0.35">
      <c r="A775" s="56" t="s">
        <v>843</v>
      </c>
      <c r="B775" s="58">
        <v>15300</v>
      </c>
      <c r="C775" s="58" t="s">
        <v>34</v>
      </c>
      <c r="D775" s="58">
        <v>491</v>
      </c>
      <c r="E775" s="58">
        <v>161</v>
      </c>
      <c r="F775" s="58">
        <v>48.787878787878789</v>
      </c>
      <c r="G775" s="58">
        <v>1340</v>
      </c>
      <c r="H775" s="58">
        <v>20.22</v>
      </c>
      <c r="I775" s="58">
        <v>249</v>
      </c>
      <c r="J775" s="58">
        <v>-15.800000000000011</v>
      </c>
      <c r="K775" s="58">
        <v>-5.966767371601212</v>
      </c>
      <c r="L775" s="58">
        <v>22725</v>
      </c>
      <c r="M775" s="58">
        <v>22275</v>
      </c>
      <c r="N775" s="58">
        <v>15136.95</v>
      </c>
      <c r="O775" s="58">
        <v>15300</v>
      </c>
      <c r="P775" s="58" t="s">
        <v>34</v>
      </c>
      <c r="Q775" s="58">
        <v>8627</v>
      </c>
      <c r="R775" s="58">
        <v>1690</v>
      </c>
      <c r="S775" s="58">
        <v>24.362116188554129</v>
      </c>
      <c r="T775" s="58">
        <v>17020</v>
      </c>
      <c r="U775" s="58">
        <v>16.190000000000001</v>
      </c>
      <c r="V775" s="58">
        <v>76.349999999999994</v>
      </c>
      <c r="W775" s="58">
        <v>-9.1000000000000085</v>
      </c>
      <c r="X775" s="58">
        <v>-10.649502633118791</v>
      </c>
      <c r="Y775" s="58">
        <v>94650</v>
      </c>
      <c r="Z775" s="58">
        <v>102750</v>
      </c>
      <c r="AA775" s="58">
        <v>15136.95</v>
      </c>
      <c r="AE775" s="57"/>
    </row>
    <row r="776" spans="1:31" x14ac:dyDescent="0.35">
      <c r="A776" s="56" t="s">
        <v>844</v>
      </c>
      <c r="B776" s="58">
        <v>15300</v>
      </c>
      <c r="C776" s="58" t="s">
        <v>36</v>
      </c>
      <c r="D776" s="58">
        <v>0</v>
      </c>
      <c r="E776" s="58">
        <v>0</v>
      </c>
      <c r="F776" s="58">
        <v>0</v>
      </c>
      <c r="G776" s="58">
        <v>0</v>
      </c>
      <c r="H776" s="58">
        <v>0</v>
      </c>
      <c r="I776" s="58">
        <v>0</v>
      </c>
      <c r="J776" s="58">
        <v>0</v>
      </c>
      <c r="K776" s="58">
        <v>0</v>
      </c>
      <c r="L776" s="58">
        <v>0</v>
      </c>
      <c r="M776" s="58">
        <v>600</v>
      </c>
      <c r="N776" s="58">
        <v>15136.95</v>
      </c>
      <c r="O776" s="58">
        <v>15300</v>
      </c>
      <c r="P776" s="58" t="s">
        <v>36</v>
      </c>
      <c r="Q776" s="58">
        <v>16</v>
      </c>
      <c r="R776" s="58">
        <v>0</v>
      </c>
      <c r="S776" s="58">
        <v>0</v>
      </c>
      <c r="T776" s="58">
        <v>2</v>
      </c>
      <c r="U776" s="58">
        <v>16.91</v>
      </c>
      <c r="V776" s="58">
        <v>213.5</v>
      </c>
      <c r="W776" s="58">
        <v>0.55000000000001137</v>
      </c>
      <c r="X776" s="58">
        <v>0.2582765907490075</v>
      </c>
      <c r="Y776" s="58">
        <v>12375</v>
      </c>
      <c r="Z776" s="58">
        <v>2175</v>
      </c>
      <c r="AA776" s="58">
        <v>15136.95</v>
      </c>
      <c r="AE776" s="57"/>
    </row>
    <row r="777" spans="1:31" x14ac:dyDescent="0.35">
      <c r="A777" s="56" t="s">
        <v>845</v>
      </c>
      <c r="B777" s="58">
        <v>15300</v>
      </c>
      <c r="C777" s="58" t="s">
        <v>37</v>
      </c>
      <c r="D777" s="58">
        <v>0</v>
      </c>
      <c r="E777" s="58">
        <v>0</v>
      </c>
      <c r="F777" s="58">
        <v>0</v>
      </c>
      <c r="G777" s="58">
        <v>0</v>
      </c>
      <c r="H777" s="58">
        <v>0</v>
      </c>
      <c r="I777" s="58">
        <v>0</v>
      </c>
      <c r="J777" s="58">
        <v>0</v>
      </c>
      <c r="K777" s="58">
        <v>0</v>
      </c>
      <c r="L777" s="58">
        <v>600</v>
      </c>
      <c r="M777" s="58">
        <v>4875</v>
      </c>
      <c r="N777" s="58">
        <v>15136.95</v>
      </c>
      <c r="O777" s="58">
        <v>15300</v>
      </c>
      <c r="P777" s="58" t="s">
        <v>37</v>
      </c>
      <c r="Q777" s="58">
        <v>0</v>
      </c>
      <c r="R777" s="58">
        <v>0</v>
      </c>
      <c r="S777" s="58">
        <v>0</v>
      </c>
      <c r="T777" s="58">
        <v>0</v>
      </c>
      <c r="U777" s="58">
        <v>0</v>
      </c>
      <c r="V777" s="58">
        <v>0</v>
      </c>
      <c r="W777" s="58">
        <v>0</v>
      </c>
      <c r="X777" s="58">
        <v>0</v>
      </c>
      <c r="Y777" s="58">
        <v>2025</v>
      </c>
      <c r="Z777" s="58">
        <v>6150</v>
      </c>
      <c r="AA777" s="58">
        <v>15136.95</v>
      </c>
      <c r="AE777" s="57"/>
    </row>
    <row r="778" spans="1:31" x14ac:dyDescent="0.35">
      <c r="A778" s="56" t="s">
        <v>846</v>
      </c>
      <c r="B778" s="58">
        <v>15300</v>
      </c>
      <c r="C778" s="58" t="s">
        <v>38</v>
      </c>
      <c r="D778" s="58">
        <v>0</v>
      </c>
      <c r="E778" s="58">
        <v>0</v>
      </c>
      <c r="F778" s="58">
        <v>0</v>
      </c>
      <c r="G778" s="58">
        <v>0</v>
      </c>
      <c r="H778" s="58">
        <v>0</v>
      </c>
      <c r="I778" s="58">
        <v>0</v>
      </c>
      <c r="J778" s="58">
        <v>0</v>
      </c>
      <c r="K778" s="58">
        <v>0</v>
      </c>
      <c r="L778" s="58">
        <v>0</v>
      </c>
      <c r="M778" s="58">
        <v>4875</v>
      </c>
      <c r="N778" s="58">
        <v>15136.95</v>
      </c>
      <c r="O778" s="58">
        <v>15300</v>
      </c>
      <c r="P778" s="58" t="s">
        <v>38</v>
      </c>
      <c r="Q778" s="58">
        <v>0</v>
      </c>
      <c r="R778" s="58">
        <v>0</v>
      </c>
      <c r="S778" s="58">
        <v>0</v>
      </c>
      <c r="T778" s="58">
        <v>0</v>
      </c>
      <c r="U778" s="58">
        <v>0</v>
      </c>
      <c r="V778" s="58">
        <v>0</v>
      </c>
      <c r="W778" s="58">
        <v>0</v>
      </c>
      <c r="X778" s="58">
        <v>0</v>
      </c>
      <c r="Y778" s="58">
        <v>300</v>
      </c>
      <c r="Z778" s="58">
        <v>4875</v>
      </c>
      <c r="AA778" s="58">
        <v>15136.95</v>
      </c>
      <c r="AE778" s="57"/>
    </row>
    <row r="779" spans="1:31" x14ac:dyDescent="0.35">
      <c r="A779" s="56" t="s">
        <v>847</v>
      </c>
      <c r="B779" s="58">
        <v>15300</v>
      </c>
      <c r="C779" s="58" t="s">
        <v>33</v>
      </c>
      <c r="D779" s="58">
        <v>1230</v>
      </c>
      <c r="E779" s="58">
        <v>90</v>
      </c>
      <c r="F779" s="58">
        <v>7.8947368421052628</v>
      </c>
      <c r="G779" s="58">
        <v>1031</v>
      </c>
      <c r="H779" s="58">
        <v>21.19</v>
      </c>
      <c r="I779" s="58">
        <v>311.7</v>
      </c>
      <c r="J779" s="58">
        <v>-23.850000000000023</v>
      </c>
      <c r="K779" s="58">
        <v>-7.1077335717478833</v>
      </c>
      <c r="L779" s="58">
        <v>29775</v>
      </c>
      <c r="M779" s="58">
        <v>42525</v>
      </c>
      <c r="N779" s="58">
        <v>15136.95</v>
      </c>
      <c r="O779" s="58">
        <v>15300</v>
      </c>
      <c r="P779" s="58" t="s">
        <v>33</v>
      </c>
      <c r="Q779" s="58">
        <v>9553</v>
      </c>
      <c r="R779" s="58">
        <v>297</v>
      </c>
      <c r="S779" s="58">
        <v>3.2087294727744164</v>
      </c>
      <c r="T779" s="58">
        <v>5645</v>
      </c>
      <c r="U779" s="58">
        <v>16.48</v>
      </c>
      <c r="V779" s="58">
        <v>144.15</v>
      </c>
      <c r="W779" s="58">
        <v>-5.9499999999999886</v>
      </c>
      <c r="X779" s="58">
        <v>-3.9640239840106521</v>
      </c>
      <c r="Y779" s="58">
        <v>56325</v>
      </c>
      <c r="Z779" s="58">
        <v>55575</v>
      </c>
      <c r="AA779" s="58">
        <v>15136.95</v>
      </c>
      <c r="AE779" s="57"/>
    </row>
    <row r="780" spans="1:31" x14ac:dyDescent="0.35">
      <c r="A780" s="56" t="s">
        <v>848</v>
      </c>
      <c r="B780" s="58">
        <v>15300</v>
      </c>
      <c r="C780" s="58" t="s">
        <v>67</v>
      </c>
      <c r="D780" s="58">
        <v>0</v>
      </c>
      <c r="E780" s="58">
        <v>0</v>
      </c>
      <c r="F780" s="58">
        <v>0</v>
      </c>
      <c r="G780" s="58">
        <v>0</v>
      </c>
      <c r="H780" s="58">
        <v>0</v>
      </c>
      <c r="I780" s="58">
        <v>0</v>
      </c>
      <c r="J780" s="58">
        <v>0</v>
      </c>
      <c r="K780" s="58">
        <v>0</v>
      </c>
      <c r="L780" s="58">
        <v>0</v>
      </c>
      <c r="M780" s="58">
        <v>0</v>
      </c>
      <c r="N780" s="58">
        <v>15136.95</v>
      </c>
      <c r="O780" s="58">
        <v>15300</v>
      </c>
      <c r="P780" s="58" t="s">
        <v>67</v>
      </c>
      <c r="Q780" s="58">
        <v>0</v>
      </c>
      <c r="R780" s="58">
        <v>0</v>
      </c>
      <c r="S780" s="58">
        <v>0</v>
      </c>
      <c r="T780" s="58">
        <v>0</v>
      </c>
      <c r="U780" s="58">
        <v>0</v>
      </c>
      <c r="V780" s="58">
        <v>0</v>
      </c>
      <c r="W780" s="58">
        <v>0</v>
      </c>
      <c r="X780" s="58">
        <v>0</v>
      </c>
      <c r="Y780" s="58">
        <v>2175</v>
      </c>
      <c r="Z780" s="58">
        <v>0</v>
      </c>
      <c r="AA780" s="58">
        <v>15136.95</v>
      </c>
      <c r="AE780" s="57"/>
    </row>
    <row r="781" spans="1:31" x14ac:dyDescent="0.35">
      <c r="A781" s="56" t="s">
        <v>849</v>
      </c>
      <c r="B781" s="58">
        <v>15300</v>
      </c>
      <c r="C781" s="58" t="s">
        <v>2074</v>
      </c>
      <c r="D781" s="58">
        <v>0</v>
      </c>
      <c r="E781" s="58">
        <v>0</v>
      </c>
      <c r="F781" s="58">
        <v>0</v>
      </c>
      <c r="G781" s="58">
        <v>0</v>
      </c>
      <c r="H781" s="58">
        <v>0</v>
      </c>
      <c r="I781" s="58">
        <v>0</v>
      </c>
      <c r="J781" s="58">
        <v>0</v>
      </c>
      <c r="K781" s="58">
        <v>0</v>
      </c>
      <c r="L781" s="58">
        <v>0</v>
      </c>
      <c r="M781" s="58">
        <v>4875</v>
      </c>
      <c r="N781" s="58">
        <v>15136.95</v>
      </c>
      <c r="O781" s="58">
        <v>15300</v>
      </c>
      <c r="P781" s="58" t="s">
        <v>2074</v>
      </c>
      <c r="Q781" s="58">
        <v>0</v>
      </c>
      <c r="R781" s="58">
        <v>0</v>
      </c>
      <c r="S781" s="58">
        <v>0</v>
      </c>
      <c r="T781" s="58">
        <v>0</v>
      </c>
      <c r="U781" s="58">
        <v>0</v>
      </c>
      <c r="V781" s="58">
        <v>0</v>
      </c>
      <c r="W781" s="58">
        <v>0</v>
      </c>
      <c r="X781" s="58">
        <v>0</v>
      </c>
      <c r="Y781" s="58">
        <v>0</v>
      </c>
      <c r="Z781" s="58">
        <v>4875</v>
      </c>
      <c r="AA781" s="58">
        <v>15136.95</v>
      </c>
      <c r="AE781" s="57"/>
    </row>
    <row r="782" spans="1:31" x14ac:dyDescent="0.35">
      <c r="A782" s="56" t="s">
        <v>850</v>
      </c>
      <c r="B782" s="58">
        <v>15300</v>
      </c>
      <c r="C782" s="58" t="s">
        <v>2071</v>
      </c>
      <c r="D782" s="58">
        <v>0</v>
      </c>
      <c r="E782" s="58">
        <v>0</v>
      </c>
      <c r="F782" s="58">
        <v>0</v>
      </c>
      <c r="G782" s="58">
        <v>0</v>
      </c>
      <c r="H782" s="58">
        <v>0</v>
      </c>
      <c r="I782" s="58">
        <v>0</v>
      </c>
      <c r="J782" s="58">
        <v>0</v>
      </c>
      <c r="K782" s="58">
        <v>0</v>
      </c>
      <c r="L782" s="58">
        <v>0</v>
      </c>
      <c r="M782" s="58">
        <v>5475</v>
      </c>
      <c r="N782" s="58">
        <v>15136.95</v>
      </c>
      <c r="O782" s="58">
        <v>15300</v>
      </c>
      <c r="P782" s="58" t="s">
        <v>2071</v>
      </c>
      <c r="Q782" s="58">
        <v>0</v>
      </c>
      <c r="R782" s="58">
        <v>0</v>
      </c>
      <c r="S782" s="58">
        <v>0</v>
      </c>
      <c r="T782" s="58">
        <v>0</v>
      </c>
      <c r="U782" s="58">
        <v>0</v>
      </c>
      <c r="V782" s="58">
        <v>0</v>
      </c>
      <c r="W782" s="58">
        <v>0</v>
      </c>
      <c r="X782" s="58">
        <v>0</v>
      </c>
      <c r="Y782" s="58">
        <v>1125</v>
      </c>
      <c r="Z782" s="58">
        <v>6300</v>
      </c>
      <c r="AA782" s="58">
        <v>15136.95</v>
      </c>
      <c r="AE782" s="57"/>
    </row>
    <row r="783" spans="1:31" x14ac:dyDescent="0.35">
      <c r="A783" s="56" t="s">
        <v>851</v>
      </c>
      <c r="B783" s="58">
        <v>15300</v>
      </c>
      <c r="C783" s="58" t="s">
        <v>35</v>
      </c>
      <c r="D783" s="58">
        <v>3352</v>
      </c>
      <c r="E783" s="58">
        <v>1064</v>
      </c>
      <c r="F783" s="58">
        <v>46.503496503496507</v>
      </c>
      <c r="G783" s="58">
        <v>20711</v>
      </c>
      <c r="H783" s="58">
        <v>17.5</v>
      </c>
      <c r="I783" s="58">
        <v>175.75</v>
      </c>
      <c r="J783" s="58">
        <v>-24.800000000000011</v>
      </c>
      <c r="K783" s="58">
        <v>-12.365993517825984</v>
      </c>
      <c r="L783" s="58">
        <v>527775</v>
      </c>
      <c r="M783" s="58">
        <v>96675</v>
      </c>
      <c r="N783" s="58">
        <v>15136.95</v>
      </c>
      <c r="O783" s="58">
        <v>15300</v>
      </c>
      <c r="P783" s="58" t="s">
        <v>35</v>
      </c>
      <c r="Q783" s="58">
        <v>77044</v>
      </c>
      <c r="R783" s="58">
        <v>32380</v>
      </c>
      <c r="S783" s="58">
        <v>72.496865484506543</v>
      </c>
      <c r="T783" s="58">
        <v>441370</v>
      </c>
      <c r="U783" s="58">
        <v>11.42</v>
      </c>
      <c r="V783" s="58">
        <v>1.35</v>
      </c>
      <c r="W783" s="58">
        <v>-8.1</v>
      </c>
      <c r="X783" s="58">
        <v>-85.714285714285722</v>
      </c>
      <c r="Y783" s="58">
        <v>8272425</v>
      </c>
      <c r="Z783" s="58">
        <v>1473450</v>
      </c>
      <c r="AA783" s="58">
        <v>15136.95</v>
      </c>
      <c r="AE783" s="57"/>
    </row>
    <row r="784" spans="1:31" x14ac:dyDescent="0.35">
      <c r="A784" s="56" t="s">
        <v>852</v>
      </c>
      <c r="B784" s="58">
        <v>15300</v>
      </c>
      <c r="C784" s="58" t="s">
        <v>26</v>
      </c>
      <c r="D784" s="58">
        <v>407</v>
      </c>
      <c r="E784" s="58">
        <v>12</v>
      </c>
      <c r="F784" s="58">
        <v>3.037974683544304</v>
      </c>
      <c r="G784" s="58">
        <v>56</v>
      </c>
      <c r="H784" s="58">
        <v>24.13</v>
      </c>
      <c r="I784" s="58">
        <v>484</v>
      </c>
      <c r="J784" s="58">
        <v>-15.75</v>
      </c>
      <c r="K784" s="58">
        <v>-3.1515757878939468</v>
      </c>
      <c r="L784" s="58">
        <v>8775</v>
      </c>
      <c r="M784" s="58">
        <v>11925</v>
      </c>
      <c r="N784" s="58">
        <v>15136.95</v>
      </c>
      <c r="O784" s="58">
        <v>15300</v>
      </c>
      <c r="P784" s="58" t="s">
        <v>26</v>
      </c>
      <c r="Q784" s="58">
        <v>886</v>
      </c>
      <c r="R784" s="58">
        <v>38</v>
      </c>
      <c r="S784" s="58">
        <v>4.4811320754716979</v>
      </c>
      <c r="T784" s="58">
        <v>211</v>
      </c>
      <c r="U784" s="58">
        <v>17.809999999999999</v>
      </c>
      <c r="V784" s="58">
        <v>371.35</v>
      </c>
      <c r="W784" s="58">
        <v>2.6500000000000341</v>
      </c>
      <c r="X784" s="58">
        <v>0.71874152427448723</v>
      </c>
      <c r="Y784" s="58">
        <v>6750</v>
      </c>
      <c r="Z784" s="58">
        <v>5850</v>
      </c>
      <c r="AA784" s="58">
        <v>15136.95</v>
      </c>
      <c r="AE784" s="57"/>
    </row>
    <row r="785" spans="1:31" x14ac:dyDescent="0.35">
      <c r="A785" s="56" t="s">
        <v>853</v>
      </c>
      <c r="B785" s="58">
        <v>15350</v>
      </c>
      <c r="C785" s="58" t="s">
        <v>34</v>
      </c>
      <c r="D785" s="58">
        <v>41</v>
      </c>
      <c r="E785" s="58">
        <v>7</v>
      </c>
      <c r="F785" s="58">
        <v>20.588235294117649</v>
      </c>
      <c r="G785" s="58">
        <v>39</v>
      </c>
      <c r="H785" s="58">
        <v>20.34</v>
      </c>
      <c r="I785" s="58">
        <v>273</v>
      </c>
      <c r="J785" s="58">
        <v>-26.600000000000023</v>
      </c>
      <c r="K785" s="58">
        <v>-8.8785046728972024</v>
      </c>
      <c r="L785" s="58">
        <v>16125</v>
      </c>
      <c r="M785" s="58">
        <v>12975</v>
      </c>
      <c r="N785" s="58">
        <v>15136.95</v>
      </c>
      <c r="O785" s="58">
        <v>15350</v>
      </c>
      <c r="P785" s="58" t="s">
        <v>34</v>
      </c>
      <c r="Q785" s="58">
        <v>646</v>
      </c>
      <c r="R785" s="58">
        <v>88</v>
      </c>
      <c r="S785" s="58">
        <v>15.770609318996415</v>
      </c>
      <c r="T785" s="58">
        <v>2125</v>
      </c>
      <c r="U785" s="58">
        <v>16.07</v>
      </c>
      <c r="V785" s="58">
        <v>60.65</v>
      </c>
      <c r="W785" s="58">
        <v>-9.7500000000000089</v>
      </c>
      <c r="X785" s="58">
        <v>-13.849431818181824</v>
      </c>
      <c r="Y785" s="58">
        <v>28500</v>
      </c>
      <c r="Z785" s="58">
        <v>21225</v>
      </c>
      <c r="AA785" s="58">
        <v>15136.95</v>
      </c>
      <c r="AE785" s="57"/>
    </row>
    <row r="786" spans="1:31" x14ac:dyDescent="0.35">
      <c r="A786" s="56" t="s">
        <v>854</v>
      </c>
      <c r="B786" s="58">
        <v>15350</v>
      </c>
      <c r="C786" s="58" t="s">
        <v>33</v>
      </c>
      <c r="D786" s="58">
        <v>103</v>
      </c>
      <c r="E786" s="58">
        <v>3</v>
      </c>
      <c r="F786" s="58">
        <v>3</v>
      </c>
      <c r="G786" s="58">
        <v>10</v>
      </c>
      <c r="H786" s="58">
        <v>23.89</v>
      </c>
      <c r="I786" s="58">
        <v>363</v>
      </c>
      <c r="J786" s="58">
        <v>-13.300000000000011</v>
      </c>
      <c r="K786" s="58">
        <v>-3.5344140313579615</v>
      </c>
      <c r="L786" s="58">
        <v>23250</v>
      </c>
      <c r="M786" s="58">
        <v>16200</v>
      </c>
      <c r="N786" s="58">
        <v>15136.95</v>
      </c>
      <c r="O786" s="58">
        <v>15350</v>
      </c>
      <c r="P786" s="58" t="s">
        <v>33</v>
      </c>
      <c r="Q786" s="58">
        <v>508</v>
      </c>
      <c r="R786" s="58">
        <v>49</v>
      </c>
      <c r="S786" s="58">
        <v>10.675381263616558</v>
      </c>
      <c r="T786" s="58">
        <v>367</v>
      </c>
      <c r="U786" s="58">
        <v>16.39</v>
      </c>
      <c r="V786" s="58">
        <v>125</v>
      </c>
      <c r="W786" s="58">
        <v>-3.25</v>
      </c>
      <c r="X786" s="58">
        <v>-2.53411306042885</v>
      </c>
      <c r="Y786" s="58">
        <v>24150</v>
      </c>
      <c r="Z786" s="58">
        <v>21450</v>
      </c>
      <c r="AA786" s="58">
        <v>15136.95</v>
      </c>
      <c r="AE786" s="57"/>
    </row>
    <row r="787" spans="1:31" x14ac:dyDescent="0.35">
      <c r="A787" s="56" t="s">
        <v>855</v>
      </c>
      <c r="B787" s="58">
        <v>15350</v>
      </c>
      <c r="C787" s="58" t="s">
        <v>36</v>
      </c>
      <c r="D787" s="58">
        <v>0</v>
      </c>
      <c r="E787" s="58">
        <v>0</v>
      </c>
      <c r="F787" s="58">
        <v>0</v>
      </c>
      <c r="G787" s="58">
        <v>0</v>
      </c>
      <c r="H787" s="58">
        <v>0</v>
      </c>
      <c r="I787" s="58">
        <v>0</v>
      </c>
      <c r="J787" s="58">
        <v>0</v>
      </c>
      <c r="K787" s="58">
        <v>0</v>
      </c>
      <c r="L787" s="58">
        <v>0</v>
      </c>
      <c r="M787" s="58">
        <v>600</v>
      </c>
      <c r="N787" s="58">
        <v>15136.95</v>
      </c>
      <c r="O787" s="58">
        <v>15350</v>
      </c>
      <c r="P787" s="58" t="s">
        <v>36</v>
      </c>
      <c r="Q787" s="58">
        <v>2</v>
      </c>
      <c r="R787" s="58">
        <v>0</v>
      </c>
      <c r="S787" s="58">
        <v>0</v>
      </c>
      <c r="T787" s="58">
        <v>0</v>
      </c>
      <c r="U787" s="58">
        <v>0</v>
      </c>
      <c r="V787" s="58">
        <v>0</v>
      </c>
      <c r="W787" s="58">
        <v>0</v>
      </c>
      <c r="X787" s="58">
        <v>0</v>
      </c>
      <c r="Y787" s="58">
        <v>2925</v>
      </c>
      <c r="Z787" s="58">
        <v>2700</v>
      </c>
      <c r="AA787" s="58">
        <v>15136.95</v>
      </c>
      <c r="AE787" s="57"/>
    </row>
    <row r="788" spans="1:31" x14ac:dyDescent="0.35">
      <c r="A788" s="56" t="s">
        <v>856</v>
      </c>
      <c r="B788" s="58">
        <v>15350</v>
      </c>
      <c r="C788" s="58" t="s">
        <v>37</v>
      </c>
      <c r="D788" s="58">
        <v>0</v>
      </c>
      <c r="E788" s="58">
        <v>0</v>
      </c>
      <c r="F788" s="58">
        <v>0</v>
      </c>
      <c r="G788" s="58">
        <v>0</v>
      </c>
      <c r="H788" s="58">
        <v>0</v>
      </c>
      <c r="I788" s="58">
        <v>0</v>
      </c>
      <c r="J788" s="58">
        <v>0</v>
      </c>
      <c r="K788" s="58">
        <v>0</v>
      </c>
      <c r="L788" s="58">
        <v>0</v>
      </c>
      <c r="M788" s="58">
        <v>4875</v>
      </c>
      <c r="N788" s="58">
        <v>15136.95</v>
      </c>
      <c r="O788" s="58">
        <v>15350</v>
      </c>
      <c r="P788" s="58" t="s">
        <v>37</v>
      </c>
      <c r="Q788" s="58">
        <v>1</v>
      </c>
      <c r="R788" s="58">
        <v>0</v>
      </c>
      <c r="S788" s="58">
        <v>0</v>
      </c>
      <c r="T788" s="58">
        <v>0</v>
      </c>
      <c r="U788" s="58">
        <v>0</v>
      </c>
      <c r="V788" s="58">
        <v>0</v>
      </c>
      <c r="W788" s="58">
        <v>0</v>
      </c>
      <c r="X788" s="58">
        <v>0</v>
      </c>
      <c r="Y788" s="58">
        <v>0</v>
      </c>
      <c r="Z788" s="58">
        <v>5025</v>
      </c>
      <c r="AA788" s="58">
        <v>15136.95</v>
      </c>
      <c r="AE788" s="57"/>
    </row>
    <row r="789" spans="1:31" x14ac:dyDescent="0.35">
      <c r="A789" s="56" t="s">
        <v>857</v>
      </c>
      <c r="B789" s="58">
        <v>15350</v>
      </c>
      <c r="C789" s="58" t="s">
        <v>38</v>
      </c>
      <c r="D789" s="58">
        <v>0</v>
      </c>
      <c r="E789" s="58">
        <v>0</v>
      </c>
      <c r="F789" s="58">
        <v>0</v>
      </c>
      <c r="G789" s="58">
        <v>0</v>
      </c>
      <c r="H789" s="58">
        <v>0</v>
      </c>
      <c r="I789" s="58">
        <v>0</v>
      </c>
      <c r="J789" s="58">
        <v>0</v>
      </c>
      <c r="K789" s="58">
        <v>0</v>
      </c>
      <c r="L789" s="58">
        <v>0</v>
      </c>
      <c r="M789" s="58">
        <v>4875</v>
      </c>
      <c r="N789" s="58">
        <v>15136.95</v>
      </c>
      <c r="O789" s="58">
        <v>15350</v>
      </c>
      <c r="P789" s="58" t="s">
        <v>38</v>
      </c>
      <c r="Q789" s="58">
        <v>0</v>
      </c>
      <c r="R789" s="58">
        <v>0</v>
      </c>
      <c r="S789" s="58">
        <v>0</v>
      </c>
      <c r="T789" s="58">
        <v>0</v>
      </c>
      <c r="U789" s="58">
        <v>0</v>
      </c>
      <c r="V789" s="58">
        <v>0</v>
      </c>
      <c r="W789" s="58">
        <v>0</v>
      </c>
      <c r="X789" s="58">
        <v>0</v>
      </c>
      <c r="Y789" s="58">
        <v>0</v>
      </c>
      <c r="Z789" s="58">
        <v>4875</v>
      </c>
      <c r="AA789" s="58">
        <v>15136.95</v>
      </c>
      <c r="AE789" s="57"/>
    </row>
    <row r="790" spans="1:31" x14ac:dyDescent="0.35">
      <c r="A790" s="56" t="s">
        <v>858</v>
      </c>
      <c r="B790" s="58">
        <v>15350</v>
      </c>
      <c r="C790" s="58" t="s">
        <v>26</v>
      </c>
      <c r="D790" s="58">
        <v>0</v>
      </c>
      <c r="E790" s="58">
        <v>0</v>
      </c>
      <c r="F790" s="58">
        <v>0</v>
      </c>
      <c r="G790" s="58">
        <v>0</v>
      </c>
      <c r="H790" s="58">
        <v>0</v>
      </c>
      <c r="I790" s="58">
        <v>0</v>
      </c>
      <c r="J790" s="58">
        <v>0</v>
      </c>
      <c r="K790" s="58">
        <v>0</v>
      </c>
      <c r="L790" s="58">
        <v>5550</v>
      </c>
      <c r="M790" s="58">
        <v>12825</v>
      </c>
      <c r="N790" s="58">
        <v>15136.95</v>
      </c>
      <c r="O790" s="58">
        <v>15350</v>
      </c>
      <c r="P790" s="58" t="s">
        <v>26</v>
      </c>
      <c r="Q790" s="58">
        <v>29</v>
      </c>
      <c r="R790" s="58">
        <v>-1</v>
      </c>
      <c r="S790" s="58">
        <v>-3.3333333333333335</v>
      </c>
      <c r="T790" s="58">
        <v>11</v>
      </c>
      <c r="U790" s="58">
        <v>17.78</v>
      </c>
      <c r="V790" s="58">
        <v>350.2</v>
      </c>
      <c r="W790" s="58">
        <v>11.599999999999966</v>
      </c>
      <c r="X790" s="58">
        <v>3.4258712344949691</v>
      </c>
      <c r="Y790" s="58">
        <v>3675</v>
      </c>
      <c r="Z790" s="58">
        <v>3300</v>
      </c>
      <c r="AA790" s="58">
        <v>15136.95</v>
      </c>
      <c r="AE790" s="57"/>
    </row>
    <row r="791" spans="1:31" x14ac:dyDescent="0.35">
      <c r="A791" s="56" t="s">
        <v>859</v>
      </c>
      <c r="B791" s="58">
        <v>15350</v>
      </c>
      <c r="C791" s="58" t="s">
        <v>35</v>
      </c>
      <c r="D791" s="58">
        <v>1036</v>
      </c>
      <c r="E791" s="58">
        <v>370</v>
      </c>
      <c r="F791" s="58">
        <v>55.555555555555557</v>
      </c>
      <c r="G791" s="58">
        <v>1893</v>
      </c>
      <c r="H791" s="58">
        <v>19.760000000000002</v>
      </c>
      <c r="I791" s="58">
        <v>223.7</v>
      </c>
      <c r="J791" s="58">
        <v>-37.850000000000023</v>
      </c>
      <c r="K791" s="58">
        <v>-14.47142037851272</v>
      </c>
      <c r="L791" s="58">
        <v>158700</v>
      </c>
      <c r="M791" s="58">
        <v>63825</v>
      </c>
      <c r="N791" s="58">
        <v>15136.95</v>
      </c>
      <c r="O791" s="58">
        <v>15350</v>
      </c>
      <c r="P791" s="58" t="s">
        <v>35</v>
      </c>
      <c r="Q791" s="58">
        <v>30759</v>
      </c>
      <c r="R791" s="58">
        <v>10301</v>
      </c>
      <c r="S791" s="58">
        <v>50.351940561149675</v>
      </c>
      <c r="T791" s="58">
        <v>156131</v>
      </c>
      <c r="U791" s="58">
        <v>12.45</v>
      </c>
      <c r="V791" s="58">
        <v>0.75</v>
      </c>
      <c r="W791" s="58">
        <v>-4.7</v>
      </c>
      <c r="X791" s="58">
        <v>-86.238532110091754</v>
      </c>
      <c r="Y791" s="58">
        <v>3468150</v>
      </c>
      <c r="Z791" s="58">
        <v>585975</v>
      </c>
      <c r="AA791" s="58">
        <v>15136.95</v>
      </c>
      <c r="AE791" s="57"/>
    </row>
    <row r="792" spans="1:31" x14ac:dyDescent="0.35">
      <c r="A792" s="56" t="s">
        <v>860</v>
      </c>
      <c r="B792" s="58">
        <v>15350</v>
      </c>
      <c r="C792" s="58" t="s">
        <v>2074</v>
      </c>
      <c r="D792" s="58">
        <v>0</v>
      </c>
      <c r="E792" s="58">
        <v>0</v>
      </c>
      <c r="F792" s="58">
        <v>0</v>
      </c>
      <c r="G792" s="58">
        <v>0</v>
      </c>
      <c r="H792" s="58">
        <v>0</v>
      </c>
      <c r="I792" s="58">
        <v>0</v>
      </c>
      <c r="J792" s="58">
        <v>0</v>
      </c>
      <c r="K792" s="58">
        <v>0</v>
      </c>
      <c r="L792" s="58">
        <v>0</v>
      </c>
      <c r="M792" s="58">
        <v>4875</v>
      </c>
      <c r="N792" s="58">
        <v>15136.95</v>
      </c>
      <c r="O792" s="58">
        <v>15350</v>
      </c>
      <c r="P792" s="58" t="s">
        <v>2074</v>
      </c>
      <c r="Q792" s="58">
        <v>0</v>
      </c>
      <c r="R792" s="58">
        <v>0</v>
      </c>
      <c r="S792" s="58">
        <v>0</v>
      </c>
      <c r="T792" s="58">
        <v>0</v>
      </c>
      <c r="U792" s="58">
        <v>0</v>
      </c>
      <c r="V792" s="58">
        <v>0</v>
      </c>
      <c r="W792" s="58">
        <v>0</v>
      </c>
      <c r="X792" s="58">
        <v>0</v>
      </c>
      <c r="Y792" s="58">
        <v>0</v>
      </c>
      <c r="Z792" s="58">
        <v>4875</v>
      </c>
      <c r="AA792" s="58">
        <v>15136.95</v>
      </c>
      <c r="AE792" s="57"/>
    </row>
    <row r="793" spans="1:31" x14ac:dyDescent="0.35">
      <c r="A793" s="56" t="s">
        <v>861</v>
      </c>
      <c r="B793" s="58">
        <v>15350</v>
      </c>
      <c r="C793" s="58" t="s">
        <v>2071</v>
      </c>
      <c r="D793" s="58">
        <v>0</v>
      </c>
      <c r="E793" s="58">
        <v>0</v>
      </c>
      <c r="F793" s="58">
        <v>0</v>
      </c>
      <c r="G793" s="58">
        <v>0</v>
      </c>
      <c r="H793" s="58">
        <v>0</v>
      </c>
      <c r="I793" s="58">
        <v>0</v>
      </c>
      <c r="J793" s="58">
        <v>0</v>
      </c>
      <c r="K793" s="58">
        <v>0</v>
      </c>
      <c r="L793" s="58">
        <v>0</v>
      </c>
      <c r="M793" s="58">
        <v>4875</v>
      </c>
      <c r="N793" s="58">
        <v>15136.95</v>
      </c>
      <c r="O793" s="58">
        <v>15350</v>
      </c>
      <c r="P793" s="58" t="s">
        <v>2071</v>
      </c>
      <c r="Q793" s="58">
        <v>0</v>
      </c>
      <c r="R793" s="58">
        <v>0</v>
      </c>
      <c r="S793" s="58">
        <v>0</v>
      </c>
      <c r="T793" s="58">
        <v>0</v>
      </c>
      <c r="U793" s="58">
        <v>0</v>
      </c>
      <c r="V793" s="58">
        <v>0</v>
      </c>
      <c r="W793" s="58">
        <v>0</v>
      </c>
      <c r="X793" s="58">
        <v>0</v>
      </c>
      <c r="Y793" s="58">
        <v>0</v>
      </c>
      <c r="Z793" s="58">
        <v>0</v>
      </c>
      <c r="AA793" s="58">
        <v>15136.95</v>
      </c>
      <c r="AE793" s="57"/>
    </row>
    <row r="794" spans="1:31" x14ac:dyDescent="0.35">
      <c r="A794" s="56" t="s">
        <v>862</v>
      </c>
      <c r="B794" s="58">
        <v>15350</v>
      </c>
      <c r="C794" s="58" t="s">
        <v>67</v>
      </c>
      <c r="D794" s="58">
        <v>0</v>
      </c>
      <c r="E794" s="58">
        <v>0</v>
      </c>
      <c r="F794" s="58">
        <v>0</v>
      </c>
      <c r="G794" s="58">
        <v>0</v>
      </c>
      <c r="H794" s="58">
        <v>0</v>
      </c>
      <c r="I794" s="58">
        <v>0</v>
      </c>
      <c r="J794" s="58">
        <v>0</v>
      </c>
      <c r="K794" s="58">
        <v>0</v>
      </c>
      <c r="L794" s="58">
        <v>0</v>
      </c>
      <c r="M794" s="58">
        <v>0</v>
      </c>
      <c r="N794" s="58">
        <v>15136.95</v>
      </c>
      <c r="O794" s="58">
        <v>15350</v>
      </c>
      <c r="P794" s="58" t="s">
        <v>67</v>
      </c>
      <c r="Q794" s="58">
        <v>0</v>
      </c>
      <c r="R794" s="58">
        <v>0</v>
      </c>
      <c r="S794" s="58">
        <v>0</v>
      </c>
      <c r="T794" s="58">
        <v>0</v>
      </c>
      <c r="U794" s="58">
        <v>0</v>
      </c>
      <c r="V794" s="58">
        <v>0</v>
      </c>
      <c r="W794" s="58">
        <v>0</v>
      </c>
      <c r="X794" s="58">
        <v>0</v>
      </c>
      <c r="Y794" s="58">
        <v>0</v>
      </c>
      <c r="Z794" s="58">
        <v>4875</v>
      </c>
      <c r="AA794" s="58">
        <v>15136.95</v>
      </c>
      <c r="AE794" s="57"/>
    </row>
    <row r="795" spans="1:31" x14ac:dyDescent="0.35">
      <c r="A795" s="56" t="s">
        <v>863</v>
      </c>
      <c r="B795" s="58">
        <v>15400</v>
      </c>
      <c r="C795" s="58" t="s">
        <v>35</v>
      </c>
      <c r="D795" s="58">
        <v>610</v>
      </c>
      <c r="E795" s="58">
        <v>9</v>
      </c>
      <c r="F795" s="58">
        <v>1.497504159733777</v>
      </c>
      <c r="G795" s="58">
        <v>1872</v>
      </c>
      <c r="H795" s="58">
        <v>23.05</v>
      </c>
      <c r="I795" s="58">
        <v>272.95</v>
      </c>
      <c r="J795" s="58">
        <v>-19.850000000000023</v>
      </c>
      <c r="K795" s="58">
        <v>-6.7793715846994607</v>
      </c>
      <c r="L795" s="58">
        <v>181350</v>
      </c>
      <c r="M795" s="58">
        <v>56400</v>
      </c>
      <c r="N795" s="58">
        <v>15136.95</v>
      </c>
      <c r="O795" s="58">
        <v>15400</v>
      </c>
      <c r="P795" s="58" t="s">
        <v>35</v>
      </c>
      <c r="Q795" s="58">
        <v>58640</v>
      </c>
      <c r="R795" s="58">
        <v>20165</v>
      </c>
      <c r="S795" s="58">
        <v>52.410656270305395</v>
      </c>
      <c r="T795" s="58">
        <v>161119</v>
      </c>
      <c r="U795" s="58">
        <v>14.57</v>
      </c>
      <c r="V795" s="58">
        <v>0.55000000000000004</v>
      </c>
      <c r="W795" s="58">
        <v>-3.25</v>
      </c>
      <c r="X795" s="58">
        <v>-85.526315789473685</v>
      </c>
      <c r="Y795" s="58">
        <v>5480325</v>
      </c>
      <c r="Z795" s="58">
        <v>783900</v>
      </c>
      <c r="AA795" s="58">
        <v>15136.95</v>
      </c>
      <c r="AE795" s="57"/>
    </row>
    <row r="796" spans="1:31" x14ac:dyDescent="0.35">
      <c r="A796" s="56" t="s">
        <v>864</v>
      </c>
      <c r="B796" s="58">
        <v>15400</v>
      </c>
      <c r="C796" s="58" t="s">
        <v>33</v>
      </c>
      <c r="D796" s="58">
        <v>942</v>
      </c>
      <c r="E796" s="58">
        <v>-2</v>
      </c>
      <c r="F796" s="58">
        <v>-0.21186440677966101</v>
      </c>
      <c r="G796" s="58">
        <v>310</v>
      </c>
      <c r="H796" s="58">
        <v>21.11</v>
      </c>
      <c r="I796" s="58">
        <v>372.65</v>
      </c>
      <c r="J796" s="58">
        <v>-26.600000000000023</v>
      </c>
      <c r="K796" s="58">
        <v>-6.6624921728240514</v>
      </c>
      <c r="L796" s="58">
        <v>43125</v>
      </c>
      <c r="M796" s="58">
        <v>42225</v>
      </c>
      <c r="N796" s="58">
        <v>15136.95</v>
      </c>
      <c r="O796" s="58">
        <v>15400</v>
      </c>
      <c r="P796" s="58" t="s">
        <v>33</v>
      </c>
      <c r="Q796" s="58">
        <v>7565</v>
      </c>
      <c r="R796" s="58">
        <v>-15</v>
      </c>
      <c r="S796" s="58">
        <v>-0.19788918205804748</v>
      </c>
      <c r="T796" s="58">
        <v>6442</v>
      </c>
      <c r="U796" s="58">
        <v>16.309999999999999</v>
      </c>
      <c r="V796" s="58">
        <v>105.1</v>
      </c>
      <c r="W796" s="58">
        <v>-6.7000000000000028</v>
      </c>
      <c r="X796" s="58">
        <v>-5.9928443649373904</v>
      </c>
      <c r="Y796" s="58">
        <v>30075</v>
      </c>
      <c r="Z796" s="58">
        <v>41400</v>
      </c>
      <c r="AA796" s="58">
        <v>15136.95</v>
      </c>
      <c r="AE796" s="57"/>
    </row>
    <row r="797" spans="1:31" x14ac:dyDescent="0.35">
      <c r="A797" s="56" t="s">
        <v>865</v>
      </c>
      <c r="B797" s="58">
        <v>15400</v>
      </c>
      <c r="C797" s="58" t="s">
        <v>36</v>
      </c>
      <c r="D797" s="58">
        <v>0</v>
      </c>
      <c r="E797" s="58">
        <v>0</v>
      </c>
      <c r="F797" s="58">
        <v>0</v>
      </c>
      <c r="G797" s="58">
        <v>0</v>
      </c>
      <c r="H797" s="58">
        <v>0</v>
      </c>
      <c r="I797" s="58">
        <v>0</v>
      </c>
      <c r="J797" s="58">
        <v>0</v>
      </c>
      <c r="K797" s="58">
        <v>0</v>
      </c>
      <c r="L797" s="58">
        <v>0</v>
      </c>
      <c r="M797" s="58">
        <v>600</v>
      </c>
      <c r="N797" s="58">
        <v>15136.95</v>
      </c>
      <c r="O797" s="58">
        <v>15400</v>
      </c>
      <c r="P797" s="58" t="s">
        <v>36</v>
      </c>
      <c r="Q797" s="58">
        <v>5</v>
      </c>
      <c r="R797" s="58">
        <v>1</v>
      </c>
      <c r="S797" s="58">
        <v>25</v>
      </c>
      <c r="T797" s="58">
        <v>13</v>
      </c>
      <c r="U797" s="58">
        <v>16.690000000000001</v>
      </c>
      <c r="V797" s="58">
        <v>169</v>
      </c>
      <c r="W797" s="58">
        <v>4.5500000000000114</v>
      </c>
      <c r="X797" s="58">
        <v>2.7667984189723391</v>
      </c>
      <c r="Y797" s="58">
        <v>12150</v>
      </c>
      <c r="Z797" s="58">
        <v>1875</v>
      </c>
      <c r="AA797" s="58">
        <v>15136.95</v>
      </c>
      <c r="AE797" s="57"/>
    </row>
    <row r="798" spans="1:31" x14ac:dyDescent="0.35">
      <c r="A798" s="56" t="s">
        <v>866</v>
      </c>
      <c r="B798" s="58">
        <v>15400</v>
      </c>
      <c r="C798" s="58" t="s">
        <v>37</v>
      </c>
      <c r="D798" s="58">
        <v>0</v>
      </c>
      <c r="E798" s="58">
        <v>0</v>
      </c>
      <c r="F798" s="58">
        <v>0</v>
      </c>
      <c r="G798" s="58">
        <v>0</v>
      </c>
      <c r="H798" s="58">
        <v>0</v>
      </c>
      <c r="I798" s="58">
        <v>0</v>
      </c>
      <c r="J798" s="58">
        <v>0</v>
      </c>
      <c r="K798" s="58">
        <v>0</v>
      </c>
      <c r="L798" s="58">
        <v>600</v>
      </c>
      <c r="M798" s="58">
        <v>4875</v>
      </c>
      <c r="N798" s="58">
        <v>15136.95</v>
      </c>
      <c r="O798" s="58">
        <v>15400</v>
      </c>
      <c r="P798" s="58" t="s">
        <v>37</v>
      </c>
      <c r="Q798" s="58">
        <v>0</v>
      </c>
      <c r="R798" s="58">
        <v>0</v>
      </c>
      <c r="S798" s="58">
        <v>0</v>
      </c>
      <c r="T798" s="58">
        <v>0</v>
      </c>
      <c r="U798" s="58">
        <v>0</v>
      </c>
      <c r="V798" s="58">
        <v>0</v>
      </c>
      <c r="W798" s="58">
        <v>0</v>
      </c>
      <c r="X798" s="58">
        <v>0</v>
      </c>
      <c r="Y798" s="58">
        <v>1425</v>
      </c>
      <c r="Z798" s="58">
        <v>6150</v>
      </c>
      <c r="AA798" s="58">
        <v>15136.95</v>
      </c>
      <c r="AE798" s="57"/>
    </row>
    <row r="799" spans="1:31" x14ac:dyDescent="0.35">
      <c r="A799" s="56" t="s">
        <v>867</v>
      </c>
      <c r="B799" s="58">
        <v>15400</v>
      </c>
      <c r="C799" s="58" t="s">
        <v>38</v>
      </c>
      <c r="D799" s="58">
        <v>0</v>
      </c>
      <c r="E799" s="58">
        <v>0</v>
      </c>
      <c r="F799" s="58">
        <v>0</v>
      </c>
      <c r="G799" s="58">
        <v>0</v>
      </c>
      <c r="H799" s="58">
        <v>0</v>
      </c>
      <c r="I799" s="58">
        <v>0</v>
      </c>
      <c r="J799" s="58">
        <v>0</v>
      </c>
      <c r="K799" s="58">
        <v>0</v>
      </c>
      <c r="L799" s="58">
        <v>0</v>
      </c>
      <c r="M799" s="58">
        <v>4875</v>
      </c>
      <c r="N799" s="58">
        <v>15136.95</v>
      </c>
      <c r="O799" s="58">
        <v>15400</v>
      </c>
      <c r="P799" s="58" t="s">
        <v>38</v>
      </c>
      <c r="Q799" s="58">
        <v>0</v>
      </c>
      <c r="R799" s="58">
        <v>0</v>
      </c>
      <c r="S799" s="58">
        <v>0</v>
      </c>
      <c r="T799" s="58">
        <v>0</v>
      </c>
      <c r="U799" s="58">
        <v>0</v>
      </c>
      <c r="V799" s="58">
        <v>0</v>
      </c>
      <c r="W799" s="58">
        <v>0</v>
      </c>
      <c r="X799" s="58">
        <v>0</v>
      </c>
      <c r="Y799" s="58">
        <v>900</v>
      </c>
      <c r="Z799" s="58">
        <v>4875</v>
      </c>
      <c r="AA799" s="58">
        <v>15136.95</v>
      </c>
      <c r="AE799" s="57"/>
    </row>
    <row r="800" spans="1:31" x14ac:dyDescent="0.35">
      <c r="A800" s="56" t="s">
        <v>868</v>
      </c>
      <c r="B800" s="58">
        <v>15400</v>
      </c>
      <c r="C800" s="58" t="s">
        <v>26</v>
      </c>
      <c r="D800" s="58">
        <v>55</v>
      </c>
      <c r="E800" s="58">
        <v>0</v>
      </c>
      <c r="F800" s="58">
        <v>0</v>
      </c>
      <c r="G800" s="58">
        <v>1</v>
      </c>
      <c r="H800" s="58">
        <v>23.84</v>
      </c>
      <c r="I800" s="58">
        <v>530</v>
      </c>
      <c r="J800" s="58">
        <v>-19.600000000000023</v>
      </c>
      <c r="K800" s="58">
        <v>-3.5662299854439632</v>
      </c>
      <c r="L800" s="58">
        <v>6900</v>
      </c>
      <c r="M800" s="58">
        <v>11475</v>
      </c>
      <c r="N800" s="58">
        <v>15136.95</v>
      </c>
      <c r="O800" s="58">
        <v>15400</v>
      </c>
      <c r="P800" s="58" t="s">
        <v>26</v>
      </c>
      <c r="Q800" s="58">
        <v>497</v>
      </c>
      <c r="R800" s="58">
        <v>-12</v>
      </c>
      <c r="S800" s="58">
        <v>-2.3575638506876229</v>
      </c>
      <c r="T800" s="58">
        <v>217</v>
      </c>
      <c r="U800" s="58">
        <v>17.84</v>
      </c>
      <c r="V800" s="58">
        <v>323.35000000000002</v>
      </c>
      <c r="W800" s="58">
        <v>2.5</v>
      </c>
      <c r="X800" s="58">
        <v>0.77918030232195734</v>
      </c>
      <c r="Y800" s="58">
        <v>4500</v>
      </c>
      <c r="Z800" s="58">
        <v>4425</v>
      </c>
      <c r="AA800" s="58">
        <v>15136.95</v>
      </c>
      <c r="AE800" s="57"/>
    </row>
    <row r="801" spans="1:31" x14ac:dyDescent="0.35">
      <c r="A801" s="56" t="s">
        <v>869</v>
      </c>
      <c r="B801" s="58">
        <v>15400</v>
      </c>
      <c r="C801" s="58" t="s">
        <v>67</v>
      </c>
      <c r="D801" s="58">
        <v>0</v>
      </c>
      <c r="E801" s="58">
        <v>0</v>
      </c>
      <c r="F801" s="58">
        <v>0</v>
      </c>
      <c r="G801" s="58">
        <v>0</v>
      </c>
      <c r="H801" s="58">
        <v>0</v>
      </c>
      <c r="I801" s="58">
        <v>0</v>
      </c>
      <c r="J801" s="58">
        <v>0</v>
      </c>
      <c r="K801" s="58">
        <v>0</v>
      </c>
      <c r="L801" s="58">
        <v>0</v>
      </c>
      <c r="M801" s="58">
        <v>0</v>
      </c>
      <c r="N801" s="58">
        <v>15136.95</v>
      </c>
      <c r="O801" s="58">
        <v>15400</v>
      </c>
      <c r="P801" s="58" t="s">
        <v>67</v>
      </c>
      <c r="Q801" s="58">
        <v>0</v>
      </c>
      <c r="R801" s="58">
        <v>0</v>
      </c>
      <c r="S801" s="58">
        <v>0</v>
      </c>
      <c r="T801" s="58">
        <v>0</v>
      </c>
      <c r="U801" s="58">
        <v>0</v>
      </c>
      <c r="V801" s="58">
        <v>0</v>
      </c>
      <c r="W801" s="58">
        <v>0</v>
      </c>
      <c r="X801" s="58">
        <v>0</v>
      </c>
      <c r="Y801" s="58">
        <v>4050</v>
      </c>
      <c r="Z801" s="58">
        <v>0</v>
      </c>
      <c r="AA801" s="58">
        <v>15136.95</v>
      </c>
      <c r="AE801" s="57"/>
    </row>
    <row r="802" spans="1:31" x14ac:dyDescent="0.35">
      <c r="A802" s="56" t="s">
        <v>870</v>
      </c>
      <c r="B802" s="58">
        <v>15400</v>
      </c>
      <c r="C802" s="58" t="s">
        <v>2074</v>
      </c>
      <c r="D802" s="58">
        <v>0</v>
      </c>
      <c r="E802" s="58">
        <v>0</v>
      </c>
      <c r="F802" s="58">
        <v>0</v>
      </c>
      <c r="G802" s="58">
        <v>0</v>
      </c>
      <c r="H802" s="58">
        <v>0</v>
      </c>
      <c r="I802" s="58">
        <v>0</v>
      </c>
      <c r="J802" s="58">
        <v>0</v>
      </c>
      <c r="K802" s="58">
        <v>0</v>
      </c>
      <c r="L802" s="58">
        <v>0</v>
      </c>
      <c r="M802" s="58">
        <v>4875</v>
      </c>
      <c r="N802" s="58">
        <v>15136.95</v>
      </c>
      <c r="O802" s="58">
        <v>15400</v>
      </c>
      <c r="P802" s="58" t="s">
        <v>2074</v>
      </c>
      <c r="Q802" s="58">
        <v>0</v>
      </c>
      <c r="R802" s="58">
        <v>0</v>
      </c>
      <c r="S802" s="58">
        <v>0</v>
      </c>
      <c r="T802" s="58">
        <v>0</v>
      </c>
      <c r="U802" s="58">
        <v>0</v>
      </c>
      <c r="V802" s="58">
        <v>0</v>
      </c>
      <c r="W802" s="58">
        <v>0</v>
      </c>
      <c r="X802" s="58">
        <v>0</v>
      </c>
      <c r="Y802" s="58">
        <v>600</v>
      </c>
      <c r="Z802" s="58">
        <v>4875</v>
      </c>
      <c r="AA802" s="58">
        <v>15136.95</v>
      </c>
      <c r="AE802" s="57"/>
    </row>
    <row r="803" spans="1:31" x14ac:dyDescent="0.35">
      <c r="A803" s="56" t="s">
        <v>871</v>
      </c>
      <c r="B803" s="58">
        <v>15400</v>
      </c>
      <c r="C803" s="58" t="s">
        <v>2071</v>
      </c>
      <c r="D803" s="58">
        <v>0</v>
      </c>
      <c r="E803" s="58">
        <v>0</v>
      </c>
      <c r="F803" s="58">
        <v>0</v>
      </c>
      <c r="G803" s="58">
        <v>0</v>
      </c>
      <c r="H803" s="58">
        <v>0</v>
      </c>
      <c r="I803" s="58">
        <v>0</v>
      </c>
      <c r="J803" s="58">
        <v>0</v>
      </c>
      <c r="K803" s="58">
        <v>0</v>
      </c>
      <c r="L803" s="58">
        <v>0</v>
      </c>
      <c r="M803" s="58">
        <v>5475</v>
      </c>
      <c r="N803" s="58">
        <v>15136.95</v>
      </c>
      <c r="O803" s="58">
        <v>15400</v>
      </c>
      <c r="P803" s="58" t="s">
        <v>2071</v>
      </c>
      <c r="Q803" s="58">
        <v>0</v>
      </c>
      <c r="R803" s="58">
        <v>0</v>
      </c>
      <c r="S803" s="58">
        <v>0</v>
      </c>
      <c r="T803" s="58">
        <v>0</v>
      </c>
      <c r="U803" s="58">
        <v>0</v>
      </c>
      <c r="V803" s="58">
        <v>0</v>
      </c>
      <c r="W803" s="58">
        <v>0</v>
      </c>
      <c r="X803" s="58">
        <v>0</v>
      </c>
      <c r="Y803" s="58">
        <v>1125</v>
      </c>
      <c r="Z803" s="58">
        <v>6375</v>
      </c>
      <c r="AA803" s="58">
        <v>15136.95</v>
      </c>
      <c r="AE803" s="57"/>
    </row>
    <row r="804" spans="1:31" x14ac:dyDescent="0.35">
      <c r="A804" s="56" t="s">
        <v>872</v>
      </c>
      <c r="B804" s="58">
        <v>15400</v>
      </c>
      <c r="C804" s="58" t="s">
        <v>34</v>
      </c>
      <c r="D804" s="58">
        <v>250</v>
      </c>
      <c r="E804" s="58">
        <v>115</v>
      </c>
      <c r="F804" s="58">
        <v>85.18518518518519</v>
      </c>
      <c r="G804" s="58">
        <v>437</v>
      </c>
      <c r="H804" s="58">
        <v>20.11</v>
      </c>
      <c r="I804" s="58">
        <v>320</v>
      </c>
      <c r="J804" s="58">
        <v>-16.100000000000023</v>
      </c>
      <c r="K804" s="58">
        <v>-4.7902409997024762</v>
      </c>
      <c r="L804" s="58">
        <v>20175</v>
      </c>
      <c r="M804" s="58">
        <v>17100</v>
      </c>
      <c r="N804" s="58">
        <v>15136.95</v>
      </c>
      <c r="O804" s="58">
        <v>15400</v>
      </c>
      <c r="P804" s="58" t="s">
        <v>34</v>
      </c>
      <c r="Q804" s="58">
        <v>5341</v>
      </c>
      <c r="R804" s="58">
        <v>1203</v>
      </c>
      <c r="S804" s="58">
        <v>29.072015466408892</v>
      </c>
      <c r="T804" s="58">
        <v>11839</v>
      </c>
      <c r="U804" s="58">
        <v>15.99</v>
      </c>
      <c r="V804" s="58">
        <v>46.9</v>
      </c>
      <c r="W804" s="58">
        <v>-8.7000000000000028</v>
      </c>
      <c r="X804" s="58">
        <v>-15.647482014388494</v>
      </c>
      <c r="Y804" s="58">
        <v>54900</v>
      </c>
      <c r="Z804" s="58">
        <v>84000</v>
      </c>
      <c r="AA804" s="58">
        <v>15136.95</v>
      </c>
      <c r="AE804" s="57"/>
    </row>
    <row r="805" spans="1:31" x14ac:dyDescent="0.35">
      <c r="A805" s="56" t="s">
        <v>873</v>
      </c>
      <c r="B805" s="58">
        <v>15450</v>
      </c>
      <c r="C805" s="58" t="s">
        <v>34</v>
      </c>
      <c r="D805" s="58">
        <v>15</v>
      </c>
      <c r="E805" s="58">
        <v>0</v>
      </c>
      <c r="F805" s="58">
        <v>0</v>
      </c>
      <c r="G805" s="58">
        <v>12</v>
      </c>
      <c r="H805" s="58">
        <v>18.02</v>
      </c>
      <c r="I805" s="58">
        <v>352.75</v>
      </c>
      <c r="J805" s="58">
        <v>-21.350000000000023</v>
      </c>
      <c r="K805" s="58">
        <v>-5.7070302058273246</v>
      </c>
      <c r="L805" s="58">
        <v>18750</v>
      </c>
      <c r="M805" s="58">
        <v>13725</v>
      </c>
      <c r="N805" s="58">
        <v>15136.95</v>
      </c>
      <c r="O805" s="58">
        <v>15450</v>
      </c>
      <c r="P805" s="58" t="s">
        <v>34</v>
      </c>
      <c r="Q805" s="58">
        <v>723</v>
      </c>
      <c r="R805" s="58">
        <v>240</v>
      </c>
      <c r="S805" s="58">
        <v>49.689440993788821</v>
      </c>
      <c r="T805" s="58">
        <v>2392</v>
      </c>
      <c r="U805" s="58">
        <v>15.79</v>
      </c>
      <c r="V805" s="58">
        <v>35.4</v>
      </c>
      <c r="W805" s="58">
        <v>-8.3500000000000014</v>
      </c>
      <c r="X805" s="58">
        <v>-19.085714285714289</v>
      </c>
      <c r="Y805" s="58">
        <v>33450</v>
      </c>
      <c r="Z805" s="58">
        <v>24375</v>
      </c>
      <c r="AA805" s="58">
        <v>15136.95</v>
      </c>
      <c r="AE805" s="57"/>
    </row>
    <row r="806" spans="1:31" x14ac:dyDescent="0.35">
      <c r="A806" s="56" t="s">
        <v>874</v>
      </c>
      <c r="B806" s="58">
        <v>15450</v>
      </c>
      <c r="C806" s="58" t="s">
        <v>36</v>
      </c>
      <c r="D806" s="58">
        <v>0</v>
      </c>
      <c r="E806" s="58">
        <v>0</v>
      </c>
      <c r="F806" s="58">
        <v>0</v>
      </c>
      <c r="G806" s="58">
        <v>0</v>
      </c>
      <c r="H806" s="58">
        <v>0</v>
      </c>
      <c r="I806" s="58">
        <v>0</v>
      </c>
      <c r="J806" s="58">
        <v>0</v>
      </c>
      <c r="K806" s="58">
        <v>0</v>
      </c>
      <c r="L806" s="58">
        <v>0</v>
      </c>
      <c r="M806" s="58">
        <v>5475</v>
      </c>
      <c r="N806" s="58">
        <v>15136.95</v>
      </c>
      <c r="O806" s="58">
        <v>15450</v>
      </c>
      <c r="P806" s="58" t="s">
        <v>36</v>
      </c>
      <c r="Q806" s="58">
        <v>0</v>
      </c>
      <c r="R806" s="58">
        <v>0</v>
      </c>
      <c r="S806" s="58">
        <v>0</v>
      </c>
      <c r="T806" s="58">
        <v>0</v>
      </c>
      <c r="U806" s="58">
        <v>0</v>
      </c>
      <c r="V806" s="58">
        <v>0</v>
      </c>
      <c r="W806" s="58">
        <v>0</v>
      </c>
      <c r="X806" s="58">
        <v>0</v>
      </c>
      <c r="Y806" s="58">
        <v>3300</v>
      </c>
      <c r="Z806" s="58">
        <v>1425</v>
      </c>
      <c r="AA806" s="58">
        <v>15136.95</v>
      </c>
      <c r="AE806" s="57"/>
    </row>
    <row r="807" spans="1:31" x14ac:dyDescent="0.35">
      <c r="A807" s="56" t="s">
        <v>875</v>
      </c>
      <c r="B807" s="58">
        <v>15450</v>
      </c>
      <c r="C807" s="58" t="s">
        <v>37</v>
      </c>
      <c r="D807" s="58">
        <v>0</v>
      </c>
      <c r="E807" s="58">
        <v>0</v>
      </c>
      <c r="F807" s="58">
        <v>0</v>
      </c>
      <c r="G807" s="58">
        <v>0</v>
      </c>
      <c r="H807" s="58">
        <v>0</v>
      </c>
      <c r="I807" s="58">
        <v>0</v>
      </c>
      <c r="J807" s="58">
        <v>0</v>
      </c>
      <c r="K807" s="58">
        <v>0</v>
      </c>
      <c r="L807" s="58">
        <v>0</v>
      </c>
      <c r="M807" s="58">
        <v>4875</v>
      </c>
      <c r="N807" s="58">
        <v>15136.95</v>
      </c>
      <c r="O807" s="58">
        <v>15450</v>
      </c>
      <c r="P807" s="58" t="s">
        <v>37</v>
      </c>
      <c r="Q807" s="58">
        <v>0</v>
      </c>
      <c r="R807" s="58">
        <v>0</v>
      </c>
      <c r="S807" s="58">
        <v>0</v>
      </c>
      <c r="T807" s="58">
        <v>0</v>
      </c>
      <c r="U807" s="58">
        <v>0</v>
      </c>
      <c r="V807" s="58">
        <v>0</v>
      </c>
      <c r="W807" s="58">
        <v>0</v>
      </c>
      <c r="X807" s="58">
        <v>0</v>
      </c>
      <c r="Y807" s="58">
        <v>675</v>
      </c>
      <c r="Z807" s="58">
        <v>4875</v>
      </c>
      <c r="AA807" s="58">
        <v>15136.95</v>
      </c>
      <c r="AE807" s="57"/>
    </row>
    <row r="808" spans="1:31" x14ac:dyDescent="0.35">
      <c r="A808" s="56" t="s">
        <v>876</v>
      </c>
      <c r="B808" s="58">
        <v>15450</v>
      </c>
      <c r="C808" s="58" t="s">
        <v>38</v>
      </c>
      <c r="D808" s="58">
        <v>0</v>
      </c>
      <c r="E808" s="58">
        <v>0</v>
      </c>
      <c r="F808" s="58">
        <v>0</v>
      </c>
      <c r="G808" s="58">
        <v>0</v>
      </c>
      <c r="H808" s="58">
        <v>0</v>
      </c>
      <c r="I808" s="58">
        <v>0</v>
      </c>
      <c r="J808" s="58">
        <v>0</v>
      </c>
      <c r="K808" s="58">
        <v>0</v>
      </c>
      <c r="L808" s="58">
        <v>0</v>
      </c>
      <c r="M808" s="58">
        <v>4875</v>
      </c>
      <c r="N808" s="58">
        <v>15136.95</v>
      </c>
      <c r="O808" s="58">
        <v>15450</v>
      </c>
      <c r="P808" s="58" t="s">
        <v>38</v>
      </c>
      <c r="Q808" s="58">
        <v>0</v>
      </c>
      <c r="R808" s="58">
        <v>0</v>
      </c>
      <c r="S808" s="58">
        <v>0</v>
      </c>
      <c r="T808" s="58">
        <v>0</v>
      </c>
      <c r="U808" s="58">
        <v>0</v>
      </c>
      <c r="V808" s="58">
        <v>0</v>
      </c>
      <c r="W808" s="58">
        <v>0</v>
      </c>
      <c r="X808" s="58">
        <v>0</v>
      </c>
      <c r="Y808" s="58">
        <v>0</v>
      </c>
      <c r="Z808" s="58">
        <v>4875</v>
      </c>
      <c r="AA808" s="58">
        <v>15136.95</v>
      </c>
      <c r="AE808" s="57"/>
    </row>
    <row r="809" spans="1:31" x14ac:dyDescent="0.35">
      <c r="A809" s="56" t="s">
        <v>877</v>
      </c>
      <c r="B809" s="58">
        <v>15450</v>
      </c>
      <c r="C809" s="58" t="s">
        <v>26</v>
      </c>
      <c r="D809" s="58">
        <v>1</v>
      </c>
      <c r="E809" s="58">
        <v>0</v>
      </c>
      <c r="F809" s="58">
        <v>0</v>
      </c>
      <c r="G809" s="58">
        <v>0</v>
      </c>
      <c r="H809" s="58">
        <v>0</v>
      </c>
      <c r="I809" s="58">
        <v>0</v>
      </c>
      <c r="J809" s="58">
        <v>0</v>
      </c>
      <c r="K809" s="58">
        <v>0</v>
      </c>
      <c r="L809" s="58">
        <v>3525</v>
      </c>
      <c r="M809" s="58">
        <v>8325</v>
      </c>
      <c r="N809" s="58">
        <v>15136.95</v>
      </c>
      <c r="O809" s="58">
        <v>15450</v>
      </c>
      <c r="P809" s="58" t="s">
        <v>26</v>
      </c>
      <c r="Q809" s="58">
        <v>7</v>
      </c>
      <c r="R809" s="58">
        <v>1</v>
      </c>
      <c r="S809" s="58">
        <v>16.666666666666668</v>
      </c>
      <c r="T809" s="58">
        <v>10</v>
      </c>
      <c r="U809" s="58">
        <v>17.73</v>
      </c>
      <c r="V809" s="58">
        <v>300</v>
      </c>
      <c r="W809" s="58">
        <v>2.6000000000000227</v>
      </c>
      <c r="X809" s="58">
        <v>0.8742434431741839</v>
      </c>
      <c r="Y809" s="58">
        <v>750</v>
      </c>
      <c r="Z809" s="58">
        <v>750</v>
      </c>
      <c r="AA809" s="58">
        <v>15136.95</v>
      </c>
      <c r="AE809" s="57"/>
    </row>
    <row r="810" spans="1:31" x14ac:dyDescent="0.35">
      <c r="A810" s="56" t="s">
        <v>878</v>
      </c>
      <c r="B810" s="58">
        <v>15450</v>
      </c>
      <c r="C810" s="58" t="s">
        <v>67</v>
      </c>
      <c r="D810" s="58">
        <v>0</v>
      </c>
      <c r="E810" s="58">
        <v>0</v>
      </c>
      <c r="F810" s="58">
        <v>0</v>
      </c>
      <c r="G810" s="58">
        <v>0</v>
      </c>
      <c r="H810" s="58">
        <v>0</v>
      </c>
      <c r="I810" s="58">
        <v>0</v>
      </c>
      <c r="J810" s="58">
        <v>0</v>
      </c>
      <c r="K810" s="58">
        <v>0</v>
      </c>
      <c r="L810" s="58">
        <v>0</v>
      </c>
      <c r="M810" s="58">
        <v>0</v>
      </c>
      <c r="N810" s="58">
        <v>15136.95</v>
      </c>
      <c r="O810" s="58">
        <v>15450</v>
      </c>
      <c r="P810" s="58" t="s">
        <v>67</v>
      </c>
      <c r="Q810" s="58">
        <v>0</v>
      </c>
      <c r="R810" s="58">
        <v>0</v>
      </c>
      <c r="S810" s="58">
        <v>0</v>
      </c>
      <c r="T810" s="58">
        <v>0</v>
      </c>
      <c r="U810" s="58">
        <v>0</v>
      </c>
      <c r="V810" s="58">
        <v>0</v>
      </c>
      <c r="W810" s="58">
        <v>0</v>
      </c>
      <c r="X810" s="58">
        <v>0</v>
      </c>
      <c r="Y810" s="58">
        <v>0</v>
      </c>
      <c r="Z810" s="58">
        <v>0</v>
      </c>
      <c r="AA810" s="58">
        <v>15136.95</v>
      </c>
      <c r="AE810" s="57"/>
    </row>
    <row r="811" spans="1:31" x14ac:dyDescent="0.35">
      <c r="A811" s="56" t="s">
        <v>879</v>
      </c>
      <c r="B811" s="58">
        <v>15450</v>
      </c>
      <c r="C811" s="58" t="s">
        <v>2074</v>
      </c>
      <c r="D811" s="58">
        <v>0</v>
      </c>
      <c r="E811" s="58">
        <v>0</v>
      </c>
      <c r="F811" s="58">
        <v>0</v>
      </c>
      <c r="G811" s="58">
        <v>0</v>
      </c>
      <c r="H811" s="58">
        <v>0</v>
      </c>
      <c r="I811" s="58">
        <v>0</v>
      </c>
      <c r="J811" s="58">
        <v>0</v>
      </c>
      <c r="K811" s="58">
        <v>0</v>
      </c>
      <c r="L811" s="58">
        <v>0</v>
      </c>
      <c r="M811" s="58">
        <v>4875</v>
      </c>
      <c r="N811" s="58">
        <v>15136.95</v>
      </c>
      <c r="O811" s="58">
        <v>15450</v>
      </c>
      <c r="P811" s="58" t="s">
        <v>2074</v>
      </c>
      <c r="Q811" s="58">
        <v>0</v>
      </c>
      <c r="R811" s="58">
        <v>0</v>
      </c>
      <c r="S811" s="58">
        <v>0</v>
      </c>
      <c r="T811" s="58">
        <v>0</v>
      </c>
      <c r="U811" s="58">
        <v>0</v>
      </c>
      <c r="V811" s="58">
        <v>0</v>
      </c>
      <c r="W811" s="58">
        <v>0</v>
      </c>
      <c r="X811" s="58">
        <v>0</v>
      </c>
      <c r="Y811" s="58">
        <v>0</v>
      </c>
      <c r="Z811" s="58">
        <v>4875</v>
      </c>
      <c r="AA811" s="58">
        <v>15136.95</v>
      </c>
      <c r="AE811" s="57"/>
    </row>
    <row r="812" spans="1:31" x14ac:dyDescent="0.35">
      <c r="A812" s="56" t="s">
        <v>880</v>
      </c>
      <c r="B812" s="58">
        <v>15450</v>
      </c>
      <c r="C812" s="58" t="s">
        <v>2071</v>
      </c>
      <c r="D812" s="58">
        <v>0</v>
      </c>
      <c r="E812" s="58">
        <v>0</v>
      </c>
      <c r="F812" s="58">
        <v>0</v>
      </c>
      <c r="G812" s="58">
        <v>0</v>
      </c>
      <c r="H812" s="58">
        <v>0</v>
      </c>
      <c r="I812" s="58">
        <v>0</v>
      </c>
      <c r="J812" s="58">
        <v>0</v>
      </c>
      <c r="K812" s="58">
        <v>0</v>
      </c>
      <c r="L812" s="58">
        <v>0</v>
      </c>
      <c r="M812" s="58">
        <v>4875</v>
      </c>
      <c r="N812" s="58">
        <v>15136.95</v>
      </c>
      <c r="O812" s="58">
        <v>15450</v>
      </c>
      <c r="P812" s="58" t="s">
        <v>2071</v>
      </c>
      <c r="Q812" s="58">
        <v>0</v>
      </c>
      <c r="R812" s="58">
        <v>0</v>
      </c>
      <c r="S812" s="58">
        <v>0</v>
      </c>
      <c r="T812" s="58">
        <v>0</v>
      </c>
      <c r="U812" s="58">
        <v>0</v>
      </c>
      <c r="V812" s="58">
        <v>0</v>
      </c>
      <c r="W812" s="58">
        <v>0</v>
      </c>
      <c r="X812" s="58">
        <v>0</v>
      </c>
      <c r="Y812" s="58">
        <v>75</v>
      </c>
      <c r="Z812" s="58">
        <v>4875</v>
      </c>
      <c r="AA812" s="58">
        <v>15136.95</v>
      </c>
      <c r="AE812" s="57"/>
    </row>
    <row r="813" spans="1:31" x14ac:dyDescent="0.35">
      <c r="A813" s="56" t="s">
        <v>881</v>
      </c>
      <c r="B813" s="58">
        <v>15450</v>
      </c>
      <c r="C813" s="58" t="s">
        <v>35</v>
      </c>
      <c r="D813" s="58">
        <v>187</v>
      </c>
      <c r="E813" s="58">
        <v>0</v>
      </c>
      <c r="F813" s="58">
        <v>0</v>
      </c>
      <c r="G813" s="58">
        <v>40</v>
      </c>
      <c r="H813" s="58">
        <v>28.85</v>
      </c>
      <c r="I813" s="58">
        <v>314.64999999999998</v>
      </c>
      <c r="J813" s="58">
        <v>-53.300000000000011</v>
      </c>
      <c r="K813" s="58">
        <v>-14.485663813018077</v>
      </c>
      <c r="L813" s="58">
        <v>146775</v>
      </c>
      <c r="M813" s="58">
        <v>28425</v>
      </c>
      <c r="N813" s="58">
        <v>15136.95</v>
      </c>
      <c r="O813" s="58">
        <v>15450</v>
      </c>
      <c r="P813" s="58" t="s">
        <v>35</v>
      </c>
      <c r="Q813" s="58">
        <v>13472</v>
      </c>
      <c r="R813" s="58">
        <v>2385</v>
      </c>
      <c r="S813" s="58">
        <v>21.511680346351586</v>
      </c>
      <c r="T813" s="58">
        <v>45998</v>
      </c>
      <c r="U813" s="58">
        <v>16.63</v>
      </c>
      <c r="V813" s="58">
        <v>0.55000000000000004</v>
      </c>
      <c r="W813" s="58">
        <v>-2.5</v>
      </c>
      <c r="X813" s="58">
        <v>-81.967213114754102</v>
      </c>
      <c r="Y813" s="58">
        <v>2254350</v>
      </c>
      <c r="Z813" s="58">
        <v>360750</v>
      </c>
      <c r="AA813" s="58">
        <v>15136.95</v>
      </c>
      <c r="AE813" s="57"/>
    </row>
    <row r="814" spans="1:31" x14ac:dyDescent="0.35">
      <c r="A814" s="56" t="s">
        <v>882</v>
      </c>
      <c r="B814" s="58">
        <v>15450</v>
      </c>
      <c r="C814" s="58" t="s">
        <v>33</v>
      </c>
      <c r="D814" s="58">
        <v>59</v>
      </c>
      <c r="E814" s="58">
        <v>4</v>
      </c>
      <c r="F814" s="58">
        <v>7.2727272727272716</v>
      </c>
      <c r="G814" s="58">
        <v>5</v>
      </c>
      <c r="H814" s="58">
        <v>21.07</v>
      </c>
      <c r="I814" s="58">
        <v>393</v>
      </c>
      <c r="J814" s="58">
        <v>-57</v>
      </c>
      <c r="K814" s="58">
        <v>-12.666666666666668</v>
      </c>
      <c r="L814" s="58">
        <v>30750</v>
      </c>
      <c r="M814" s="58">
        <v>21075</v>
      </c>
      <c r="N814" s="58">
        <v>15136.95</v>
      </c>
      <c r="O814" s="58">
        <v>15450</v>
      </c>
      <c r="P814" s="58" t="s">
        <v>33</v>
      </c>
      <c r="Q814" s="58">
        <v>496</v>
      </c>
      <c r="R814" s="58">
        <v>72</v>
      </c>
      <c r="S814" s="58">
        <v>16.981132075471699</v>
      </c>
      <c r="T814" s="58">
        <v>474</v>
      </c>
      <c r="U814" s="58">
        <v>16.23</v>
      </c>
      <c r="V814" s="58">
        <v>91.85</v>
      </c>
      <c r="W814" s="58">
        <v>-3.9500000000000028</v>
      </c>
      <c r="X814" s="58">
        <v>-4.1231732776617989</v>
      </c>
      <c r="Y814" s="58">
        <v>20475</v>
      </c>
      <c r="Z814" s="58">
        <v>13575</v>
      </c>
      <c r="AA814" s="58">
        <v>15136.95</v>
      </c>
      <c r="AE814" s="57"/>
    </row>
    <row r="815" spans="1:31" x14ac:dyDescent="0.35">
      <c r="A815" s="56" t="s">
        <v>883</v>
      </c>
      <c r="B815" s="58">
        <v>15500</v>
      </c>
      <c r="C815" s="58" t="s">
        <v>34</v>
      </c>
      <c r="D815" s="58">
        <v>364</v>
      </c>
      <c r="E815" s="58">
        <v>17</v>
      </c>
      <c r="F815" s="58">
        <v>4.8991354466858787</v>
      </c>
      <c r="G815" s="58">
        <v>280</v>
      </c>
      <c r="H815" s="58">
        <v>20.92</v>
      </c>
      <c r="I815" s="58">
        <v>393.45</v>
      </c>
      <c r="J815" s="58">
        <v>-0.75</v>
      </c>
      <c r="K815" s="58">
        <v>-0.19025875190258751</v>
      </c>
      <c r="L815" s="58">
        <v>21450</v>
      </c>
      <c r="M815" s="58">
        <v>19275</v>
      </c>
      <c r="N815" s="58">
        <v>15136.95</v>
      </c>
      <c r="O815" s="58">
        <v>15500</v>
      </c>
      <c r="P815" s="58" t="s">
        <v>34</v>
      </c>
      <c r="Q815" s="58">
        <v>10191</v>
      </c>
      <c r="R815" s="58">
        <v>1210</v>
      </c>
      <c r="S815" s="58">
        <v>13.472887206324463</v>
      </c>
      <c r="T815" s="58">
        <v>16630</v>
      </c>
      <c r="U815" s="58">
        <v>15.8</v>
      </c>
      <c r="V815" s="58">
        <v>27.5</v>
      </c>
      <c r="W815" s="58">
        <v>-6.3500000000000014</v>
      </c>
      <c r="X815" s="58">
        <v>-18.759231905465292</v>
      </c>
      <c r="Y815" s="58">
        <v>134400</v>
      </c>
      <c r="Z815" s="58">
        <v>133875</v>
      </c>
      <c r="AA815" s="58">
        <v>15136.95</v>
      </c>
      <c r="AE815" s="57"/>
    </row>
    <row r="816" spans="1:31" x14ac:dyDescent="0.35">
      <c r="A816" s="56" t="s">
        <v>884</v>
      </c>
      <c r="B816" s="58">
        <v>15500</v>
      </c>
      <c r="C816" s="58" t="s">
        <v>33</v>
      </c>
      <c r="D816" s="58">
        <v>4279</v>
      </c>
      <c r="E816" s="58">
        <v>69</v>
      </c>
      <c r="F816" s="58">
        <v>1.6389548693586695</v>
      </c>
      <c r="G816" s="58">
        <v>604</v>
      </c>
      <c r="H816" s="58">
        <v>21.16</v>
      </c>
      <c r="I816" s="58">
        <v>441</v>
      </c>
      <c r="J816" s="58">
        <v>-26.550000000000011</v>
      </c>
      <c r="K816" s="58">
        <v>-5.6785370548604446</v>
      </c>
      <c r="L816" s="58">
        <v>48375</v>
      </c>
      <c r="M816" s="58">
        <v>43050</v>
      </c>
      <c r="N816" s="58">
        <v>15136.95</v>
      </c>
      <c r="O816" s="58">
        <v>15500</v>
      </c>
      <c r="P816" s="58" t="s">
        <v>33</v>
      </c>
      <c r="Q816" s="58">
        <v>25188</v>
      </c>
      <c r="R816" s="58">
        <v>-355</v>
      </c>
      <c r="S816" s="58">
        <v>-1.3898132560779859</v>
      </c>
      <c r="T816" s="58">
        <v>9486</v>
      </c>
      <c r="U816" s="58">
        <v>16.14</v>
      </c>
      <c r="V816" s="58">
        <v>76.2</v>
      </c>
      <c r="W816" s="58">
        <v>-6.6499999999999915</v>
      </c>
      <c r="X816" s="58">
        <v>-8.0265540132769964</v>
      </c>
      <c r="Y816" s="58">
        <v>157200</v>
      </c>
      <c r="Z816" s="58">
        <v>112950</v>
      </c>
      <c r="AA816" s="58">
        <v>15136.95</v>
      </c>
      <c r="AE816" s="57"/>
    </row>
    <row r="817" spans="1:31" x14ac:dyDescent="0.35">
      <c r="A817" s="56" t="s">
        <v>885</v>
      </c>
      <c r="B817" s="58">
        <v>15500</v>
      </c>
      <c r="C817" s="58" t="s">
        <v>36</v>
      </c>
      <c r="D817" s="58">
        <v>0</v>
      </c>
      <c r="E817" s="58">
        <v>0</v>
      </c>
      <c r="F817" s="58">
        <v>0</v>
      </c>
      <c r="G817" s="58">
        <v>0</v>
      </c>
      <c r="H817" s="58">
        <v>0</v>
      </c>
      <c r="I817" s="58">
        <v>0</v>
      </c>
      <c r="J817" s="58">
        <v>0</v>
      </c>
      <c r="K817" s="58">
        <v>0</v>
      </c>
      <c r="L817" s="58">
        <v>150</v>
      </c>
      <c r="M817" s="58">
        <v>5475</v>
      </c>
      <c r="N817" s="58">
        <v>15136.95</v>
      </c>
      <c r="O817" s="58">
        <v>15500</v>
      </c>
      <c r="P817" s="58" t="s">
        <v>36</v>
      </c>
      <c r="Q817" s="58">
        <v>71</v>
      </c>
      <c r="R817" s="58">
        <v>6</v>
      </c>
      <c r="S817" s="58">
        <v>9.2307692307692299</v>
      </c>
      <c r="T817" s="58">
        <v>43</v>
      </c>
      <c r="U817" s="58">
        <v>16.73</v>
      </c>
      <c r="V817" s="58">
        <v>131</v>
      </c>
      <c r="W817" s="58">
        <v>-2.8000000000000114</v>
      </c>
      <c r="X817" s="58">
        <v>-2.0926756352765405</v>
      </c>
      <c r="Y817" s="58">
        <v>7800</v>
      </c>
      <c r="Z817" s="58">
        <v>3000</v>
      </c>
      <c r="AA817" s="58">
        <v>15136.95</v>
      </c>
      <c r="AE817" s="57"/>
    </row>
    <row r="818" spans="1:31" x14ac:dyDescent="0.35">
      <c r="A818" s="56" t="s">
        <v>886</v>
      </c>
      <c r="B818" s="58">
        <v>15500</v>
      </c>
      <c r="C818" s="58" t="s">
        <v>37</v>
      </c>
      <c r="D818" s="58">
        <v>0</v>
      </c>
      <c r="E818" s="58">
        <v>0</v>
      </c>
      <c r="F818" s="58">
        <v>0</v>
      </c>
      <c r="G818" s="58">
        <v>0</v>
      </c>
      <c r="H818" s="58">
        <v>0</v>
      </c>
      <c r="I818" s="58">
        <v>0</v>
      </c>
      <c r="J818" s="58">
        <v>0</v>
      </c>
      <c r="K818" s="58">
        <v>0</v>
      </c>
      <c r="L818" s="58">
        <v>600</v>
      </c>
      <c r="M818" s="58">
        <v>4875</v>
      </c>
      <c r="N818" s="58">
        <v>15136.95</v>
      </c>
      <c r="O818" s="58">
        <v>15500</v>
      </c>
      <c r="P818" s="58" t="s">
        <v>37</v>
      </c>
      <c r="Q818" s="58">
        <v>3</v>
      </c>
      <c r="R818" s="58">
        <v>0</v>
      </c>
      <c r="S818" s="58">
        <v>0</v>
      </c>
      <c r="T818" s="58">
        <v>0</v>
      </c>
      <c r="U818" s="58">
        <v>0</v>
      </c>
      <c r="V818" s="58">
        <v>0</v>
      </c>
      <c r="W818" s="58">
        <v>0</v>
      </c>
      <c r="X818" s="58">
        <v>0</v>
      </c>
      <c r="Y818" s="58">
        <v>2400</v>
      </c>
      <c r="Z818" s="58">
        <v>7275</v>
      </c>
      <c r="AA818" s="58">
        <v>15136.95</v>
      </c>
      <c r="AE818" s="57"/>
    </row>
    <row r="819" spans="1:31" x14ac:dyDescent="0.35">
      <c r="A819" s="56" t="s">
        <v>887</v>
      </c>
      <c r="B819" s="58">
        <v>15500</v>
      </c>
      <c r="C819" s="58" t="s">
        <v>38</v>
      </c>
      <c r="D819" s="58">
        <v>0</v>
      </c>
      <c r="E819" s="58">
        <v>0</v>
      </c>
      <c r="F819" s="58">
        <v>0</v>
      </c>
      <c r="G819" s="58">
        <v>0</v>
      </c>
      <c r="H819" s="58">
        <v>0</v>
      </c>
      <c r="I819" s="58">
        <v>0</v>
      </c>
      <c r="J819" s="58">
        <v>0</v>
      </c>
      <c r="K819" s="58">
        <v>0</v>
      </c>
      <c r="L819" s="58">
        <v>75</v>
      </c>
      <c r="M819" s="58">
        <v>4875</v>
      </c>
      <c r="N819" s="58">
        <v>15136.95</v>
      </c>
      <c r="O819" s="58">
        <v>15500</v>
      </c>
      <c r="P819" s="58" t="s">
        <v>38</v>
      </c>
      <c r="Q819" s="58">
        <v>0</v>
      </c>
      <c r="R819" s="58">
        <v>0</v>
      </c>
      <c r="S819" s="58">
        <v>0</v>
      </c>
      <c r="T819" s="58">
        <v>0</v>
      </c>
      <c r="U819" s="58">
        <v>0</v>
      </c>
      <c r="V819" s="58">
        <v>0</v>
      </c>
      <c r="W819" s="58">
        <v>0</v>
      </c>
      <c r="X819" s="58">
        <v>0</v>
      </c>
      <c r="Y819" s="58">
        <v>1725</v>
      </c>
      <c r="Z819" s="58">
        <v>150</v>
      </c>
      <c r="AA819" s="58">
        <v>15136.95</v>
      </c>
      <c r="AE819" s="57"/>
    </row>
    <row r="820" spans="1:31" x14ac:dyDescent="0.35">
      <c r="A820" s="56" t="s">
        <v>888</v>
      </c>
      <c r="B820" s="58">
        <v>15500</v>
      </c>
      <c r="C820" s="58" t="s">
        <v>26</v>
      </c>
      <c r="D820" s="58">
        <v>1249</v>
      </c>
      <c r="E820" s="58">
        <v>12</v>
      </c>
      <c r="F820" s="58">
        <v>0.97008892481810838</v>
      </c>
      <c r="G820" s="58">
        <v>186</v>
      </c>
      <c r="H820" s="58">
        <v>24.7</v>
      </c>
      <c r="I820" s="58">
        <v>602</v>
      </c>
      <c r="J820" s="58">
        <v>-10.799999999999956</v>
      </c>
      <c r="K820" s="58">
        <v>-1.7624020887728389</v>
      </c>
      <c r="L820" s="58">
        <v>9600</v>
      </c>
      <c r="M820" s="58">
        <v>16275</v>
      </c>
      <c r="N820" s="58">
        <v>15136.95</v>
      </c>
      <c r="O820" s="58">
        <v>15500</v>
      </c>
      <c r="P820" s="58" t="s">
        <v>26</v>
      </c>
      <c r="Q820" s="58">
        <v>4688</v>
      </c>
      <c r="R820" s="58">
        <v>71</v>
      </c>
      <c r="S820" s="58">
        <v>1.537795105046567</v>
      </c>
      <c r="T820" s="58">
        <v>1027</v>
      </c>
      <c r="U820" s="58">
        <v>17.75</v>
      </c>
      <c r="V820" s="58">
        <v>276</v>
      </c>
      <c r="W820" s="58">
        <v>-5.6000000000000227</v>
      </c>
      <c r="X820" s="58">
        <v>-1.9886363636363715</v>
      </c>
      <c r="Y820" s="58">
        <v>21000</v>
      </c>
      <c r="Z820" s="58">
        <v>19650</v>
      </c>
      <c r="AA820" s="58">
        <v>15136.95</v>
      </c>
      <c r="AE820" s="57"/>
    </row>
    <row r="821" spans="1:31" x14ac:dyDescent="0.35">
      <c r="A821" s="56" t="s">
        <v>889</v>
      </c>
      <c r="B821" s="58">
        <v>15500</v>
      </c>
      <c r="C821" s="58" t="s">
        <v>35</v>
      </c>
      <c r="D821" s="58">
        <v>1068</v>
      </c>
      <c r="E821" s="58">
        <v>-25</v>
      </c>
      <c r="F821" s="58">
        <v>-2.2872827081427265</v>
      </c>
      <c r="G821" s="58">
        <v>678</v>
      </c>
      <c r="H821" s="58">
        <v>32.79</v>
      </c>
      <c r="I821" s="58">
        <v>375</v>
      </c>
      <c r="J821" s="58">
        <v>-24</v>
      </c>
      <c r="K821" s="58">
        <v>-6.0150375939849621</v>
      </c>
      <c r="L821" s="58">
        <v>185250</v>
      </c>
      <c r="M821" s="58">
        <v>53100</v>
      </c>
      <c r="N821" s="58">
        <v>15136.95</v>
      </c>
      <c r="O821" s="58">
        <v>15500</v>
      </c>
      <c r="P821" s="58" t="s">
        <v>35</v>
      </c>
      <c r="Q821" s="58">
        <v>52469</v>
      </c>
      <c r="R821" s="58">
        <v>10951</v>
      </c>
      <c r="S821" s="58">
        <v>26.376511392648972</v>
      </c>
      <c r="T821" s="58">
        <v>112938</v>
      </c>
      <c r="U821" s="58">
        <v>18.97</v>
      </c>
      <c r="V821" s="58">
        <v>0.45</v>
      </c>
      <c r="W821" s="58">
        <v>-2.15</v>
      </c>
      <c r="X821" s="58">
        <v>-82.692307692307693</v>
      </c>
      <c r="Y821" s="58">
        <v>7335750</v>
      </c>
      <c r="Z821" s="58">
        <v>646350</v>
      </c>
      <c r="AA821" s="58">
        <v>15136.95</v>
      </c>
      <c r="AE821" s="57"/>
    </row>
    <row r="822" spans="1:31" x14ac:dyDescent="0.35">
      <c r="A822" s="56" t="s">
        <v>890</v>
      </c>
      <c r="B822" s="58">
        <v>15500</v>
      </c>
      <c r="C822" s="58" t="s">
        <v>2074</v>
      </c>
      <c r="D822" s="58">
        <v>0</v>
      </c>
      <c r="E822" s="58">
        <v>0</v>
      </c>
      <c r="F822" s="58">
        <v>0</v>
      </c>
      <c r="G822" s="58">
        <v>0</v>
      </c>
      <c r="H822" s="58">
        <v>0</v>
      </c>
      <c r="I822" s="58">
        <v>0</v>
      </c>
      <c r="J822" s="58">
        <v>0</v>
      </c>
      <c r="K822" s="58">
        <v>0</v>
      </c>
      <c r="L822" s="58">
        <v>0</v>
      </c>
      <c r="M822" s="58">
        <v>4875</v>
      </c>
      <c r="N822" s="58">
        <v>15136.95</v>
      </c>
      <c r="O822" s="58">
        <v>15500</v>
      </c>
      <c r="P822" s="58" t="s">
        <v>2074</v>
      </c>
      <c r="Q822" s="58">
        <v>0</v>
      </c>
      <c r="R822" s="58">
        <v>0</v>
      </c>
      <c r="S822" s="58">
        <v>0</v>
      </c>
      <c r="T822" s="58">
        <v>0</v>
      </c>
      <c r="U822" s="58">
        <v>0</v>
      </c>
      <c r="V822" s="58">
        <v>0</v>
      </c>
      <c r="W822" s="58">
        <v>0</v>
      </c>
      <c r="X822" s="58">
        <v>0</v>
      </c>
      <c r="Y822" s="58">
        <v>0</v>
      </c>
      <c r="Z822" s="58">
        <v>4875</v>
      </c>
      <c r="AA822" s="58">
        <v>15136.95</v>
      </c>
      <c r="AE822" s="57"/>
    </row>
    <row r="823" spans="1:31" x14ac:dyDescent="0.35">
      <c r="A823" s="56" t="s">
        <v>891</v>
      </c>
      <c r="B823" s="58">
        <v>15500</v>
      </c>
      <c r="C823" s="58" t="s">
        <v>2071</v>
      </c>
      <c r="D823" s="58">
        <v>14</v>
      </c>
      <c r="E823" s="58">
        <v>0</v>
      </c>
      <c r="F823" s="58">
        <v>0</v>
      </c>
      <c r="G823" s="58">
        <v>1</v>
      </c>
      <c r="H823" s="58">
        <v>25</v>
      </c>
      <c r="I823" s="58">
        <v>710</v>
      </c>
      <c r="J823" s="58">
        <v>-18.350000000000023</v>
      </c>
      <c r="K823" s="58">
        <v>-2.5193931488981978</v>
      </c>
      <c r="L823" s="58">
        <v>4275</v>
      </c>
      <c r="M823" s="58">
        <v>7725</v>
      </c>
      <c r="N823" s="58">
        <v>15136.95</v>
      </c>
      <c r="O823" s="58">
        <v>15500</v>
      </c>
      <c r="P823" s="58" t="s">
        <v>2071</v>
      </c>
      <c r="Q823" s="58">
        <v>437</v>
      </c>
      <c r="R823" s="58">
        <v>32</v>
      </c>
      <c r="S823" s="58">
        <v>7.9012345679012341</v>
      </c>
      <c r="T823" s="58">
        <v>118</v>
      </c>
      <c r="U823" s="58">
        <v>15.97</v>
      </c>
      <c r="V823" s="58">
        <v>428</v>
      </c>
      <c r="W823" s="58">
        <v>3.8999999999999777</v>
      </c>
      <c r="X823" s="58">
        <v>0.91959443527469398</v>
      </c>
      <c r="Y823" s="58">
        <v>12225</v>
      </c>
      <c r="Z823" s="58">
        <v>8775</v>
      </c>
      <c r="AA823" s="58">
        <v>15136.95</v>
      </c>
      <c r="AE823" s="57"/>
    </row>
    <row r="824" spans="1:31" x14ac:dyDescent="0.35">
      <c r="A824" s="56" t="s">
        <v>892</v>
      </c>
      <c r="B824" s="58">
        <v>15500</v>
      </c>
      <c r="C824" s="58" t="s">
        <v>27</v>
      </c>
      <c r="D824" s="58">
        <v>0</v>
      </c>
      <c r="E824" s="58">
        <v>0</v>
      </c>
      <c r="F824" s="58">
        <v>0</v>
      </c>
      <c r="G824" s="58">
        <v>0</v>
      </c>
      <c r="H824" s="58">
        <v>0</v>
      </c>
      <c r="I824" s="58">
        <v>0</v>
      </c>
      <c r="J824" s="58">
        <v>0</v>
      </c>
      <c r="K824" s="58">
        <v>0</v>
      </c>
      <c r="L824" s="58">
        <v>6150</v>
      </c>
      <c r="M824" s="58">
        <v>0</v>
      </c>
      <c r="N824" s="58">
        <v>15136.95</v>
      </c>
      <c r="O824" s="58">
        <v>15500</v>
      </c>
      <c r="P824" s="58" t="s">
        <v>27</v>
      </c>
      <c r="Q824" s="58">
        <v>26</v>
      </c>
      <c r="R824" s="58">
        <v>0</v>
      </c>
      <c r="S824" s="58">
        <v>0</v>
      </c>
      <c r="T824" s="58">
        <v>0</v>
      </c>
      <c r="U824" s="58">
        <v>0</v>
      </c>
      <c r="V824" s="58">
        <v>0</v>
      </c>
      <c r="W824" s="58">
        <v>0</v>
      </c>
      <c r="X824" s="58">
        <v>0</v>
      </c>
      <c r="Y824" s="58">
        <v>6225</v>
      </c>
      <c r="Z824" s="58">
        <v>1950</v>
      </c>
      <c r="AA824" s="58">
        <v>15136.95</v>
      </c>
      <c r="AE824" s="57"/>
    </row>
    <row r="825" spans="1:31" x14ac:dyDescent="0.35">
      <c r="A825" s="56" t="s">
        <v>893</v>
      </c>
      <c r="B825" s="58">
        <v>15500</v>
      </c>
      <c r="C825" s="58" t="s">
        <v>31</v>
      </c>
      <c r="D825" s="58">
        <v>0</v>
      </c>
      <c r="E825" s="58">
        <v>0</v>
      </c>
      <c r="F825" s="58">
        <v>0</v>
      </c>
      <c r="G825" s="58">
        <v>0</v>
      </c>
      <c r="H825" s="58">
        <v>0</v>
      </c>
      <c r="I825" s="58">
        <v>0</v>
      </c>
      <c r="J825" s="58">
        <v>0</v>
      </c>
      <c r="K825" s="58">
        <v>0</v>
      </c>
      <c r="L825" s="58">
        <v>3075</v>
      </c>
      <c r="M825" s="58">
        <v>0</v>
      </c>
      <c r="N825" s="58">
        <v>15136.95</v>
      </c>
      <c r="O825" s="58">
        <v>15500</v>
      </c>
      <c r="P825" s="58" t="s">
        <v>31</v>
      </c>
      <c r="Q825" s="58">
        <v>0</v>
      </c>
      <c r="R825" s="58">
        <v>0</v>
      </c>
      <c r="S825" s="58">
        <v>0</v>
      </c>
      <c r="T825" s="58">
        <v>0</v>
      </c>
      <c r="U825" s="58">
        <v>0</v>
      </c>
      <c r="V825" s="58">
        <v>0</v>
      </c>
      <c r="W825" s="58">
        <v>0</v>
      </c>
      <c r="X825" s="58">
        <v>0</v>
      </c>
      <c r="Y825" s="58">
        <v>2475</v>
      </c>
      <c r="Z825" s="58">
        <v>0</v>
      </c>
      <c r="AA825" s="58">
        <v>15136.95</v>
      </c>
      <c r="AE825" s="57"/>
    </row>
    <row r="826" spans="1:31" x14ac:dyDescent="0.35">
      <c r="A826" s="56" t="s">
        <v>894</v>
      </c>
      <c r="B826" s="58">
        <v>15500</v>
      </c>
      <c r="C826" s="58" t="s">
        <v>29</v>
      </c>
      <c r="D826" s="58">
        <v>15</v>
      </c>
      <c r="E826" s="58">
        <v>0</v>
      </c>
      <c r="F826" s="58">
        <v>0</v>
      </c>
      <c r="G826" s="58">
        <v>1</v>
      </c>
      <c r="H826" s="58">
        <v>0</v>
      </c>
      <c r="I826" s="58">
        <v>1175</v>
      </c>
      <c r="J826" s="58">
        <v>-40</v>
      </c>
      <c r="K826" s="58">
        <v>-3.2921810699588478</v>
      </c>
      <c r="L826" s="58">
        <v>3300</v>
      </c>
      <c r="M826" s="58">
        <v>450</v>
      </c>
      <c r="N826" s="58">
        <v>15136.95</v>
      </c>
      <c r="O826" s="58">
        <v>15500</v>
      </c>
      <c r="P826" s="58" t="s">
        <v>29</v>
      </c>
      <c r="Q826" s="58">
        <v>10</v>
      </c>
      <c r="R826" s="58">
        <v>0</v>
      </c>
      <c r="S826" s="58">
        <v>0</v>
      </c>
      <c r="T826" s="58">
        <v>0</v>
      </c>
      <c r="U826" s="58">
        <v>0</v>
      </c>
      <c r="V826" s="58">
        <v>0</v>
      </c>
      <c r="W826" s="58">
        <v>0</v>
      </c>
      <c r="X826" s="58">
        <v>0</v>
      </c>
      <c r="Y826" s="58">
        <v>525</v>
      </c>
      <c r="Z826" s="58">
        <v>2250</v>
      </c>
      <c r="AA826" s="58">
        <v>15136.95</v>
      </c>
      <c r="AE826" s="57"/>
    </row>
    <row r="827" spans="1:31" x14ac:dyDescent="0.35">
      <c r="A827" s="56" t="s">
        <v>895</v>
      </c>
      <c r="B827" s="58">
        <v>15500</v>
      </c>
      <c r="C827" s="58" t="s">
        <v>67</v>
      </c>
      <c r="D827" s="58">
        <v>0</v>
      </c>
      <c r="E827" s="58">
        <v>0</v>
      </c>
      <c r="F827" s="58">
        <v>0</v>
      </c>
      <c r="G827" s="58">
        <v>0</v>
      </c>
      <c r="H827" s="58">
        <v>0</v>
      </c>
      <c r="I827" s="58">
        <v>0</v>
      </c>
      <c r="J827" s="58">
        <v>0</v>
      </c>
      <c r="K827" s="58">
        <v>0</v>
      </c>
      <c r="L827" s="58">
        <v>0</v>
      </c>
      <c r="M827" s="58">
        <v>4875</v>
      </c>
      <c r="N827" s="58">
        <v>15136.95</v>
      </c>
      <c r="O827" s="58">
        <v>15500</v>
      </c>
      <c r="P827" s="58" t="s">
        <v>67</v>
      </c>
      <c r="Q827" s="58">
        <v>0</v>
      </c>
      <c r="R827" s="58">
        <v>0</v>
      </c>
      <c r="S827" s="58">
        <v>0</v>
      </c>
      <c r="T827" s="58">
        <v>0</v>
      </c>
      <c r="U827" s="58">
        <v>0</v>
      </c>
      <c r="V827" s="58">
        <v>0</v>
      </c>
      <c r="W827" s="58">
        <v>0</v>
      </c>
      <c r="X827" s="58">
        <v>0</v>
      </c>
      <c r="Y827" s="58">
        <v>675</v>
      </c>
      <c r="Z827" s="58">
        <v>0</v>
      </c>
      <c r="AA827" s="58">
        <v>15136.95</v>
      </c>
      <c r="AE827" s="57"/>
    </row>
    <row r="828" spans="1:31" x14ac:dyDescent="0.35">
      <c r="A828" s="56" t="s">
        <v>896</v>
      </c>
      <c r="B828" s="58">
        <v>15550</v>
      </c>
      <c r="C828" s="58" t="s">
        <v>35</v>
      </c>
      <c r="D828" s="58">
        <v>120</v>
      </c>
      <c r="E828" s="58">
        <v>2</v>
      </c>
      <c r="F828" s="58">
        <v>1.6949152542372881</v>
      </c>
      <c r="G828" s="58">
        <v>20</v>
      </c>
      <c r="H828" s="58">
        <v>0</v>
      </c>
      <c r="I828" s="58">
        <v>419.75</v>
      </c>
      <c r="J828" s="58">
        <v>-28.649999999999977</v>
      </c>
      <c r="K828" s="58">
        <v>-6.3893844781445095</v>
      </c>
      <c r="L828" s="58">
        <v>25950</v>
      </c>
      <c r="M828" s="58">
        <v>19500</v>
      </c>
      <c r="N828" s="58">
        <v>15136.95</v>
      </c>
      <c r="O828" s="58">
        <v>15550</v>
      </c>
      <c r="P828" s="58" t="s">
        <v>35</v>
      </c>
      <c r="Q828" s="58">
        <v>8327</v>
      </c>
      <c r="R828" s="58">
        <v>-332</v>
      </c>
      <c r="S828" s="58">
        <v>-3.8341609885668091</v>
      </c>
      <c r="T828" s="58">
        <v>23122</v>
      </c>
      <c r="U828" s="58">
        <v>20.76</v>
      </c>
      <c r="V828" s="58">
        <v>0.4</v>
      </c>
      <c r="W828" s="58">
        <v>-2</v>
      </c>
      <c r="X828" s="58">
        <v>-83.333333333333343</v>
      </c>
      <c r="Y828" s="58">
        <v>1628325</v>
      </c>
      <c r="Z828" s="58">
        <v>230400</v>
      </c>
      <c r="AA828" s="58">
        <v>15136.95</v>
      </c>
      <c r="AE828" s="57"/>
    </row>
    <row r="829" spans="1:31" x14ac:dyDescent="0.35">
      <c r="A829" s="56" t="s">
        <v>897</v>
      </c>
      <c r="B829" s="58">
        <v>15550</v>
      </c>
      <c r="C829" s="58" t="s">
        <v>33</v>
      </c>
      <c r="D829" s="58">
        <v>21</v>
      </c>
      <c r="E829" s="58">
        <v>0</v>
      </c>
      <c r="F829" s="58">
        <v>0</v>
      </c>
      <c r="G829" s="58">
        <v>0</v>
      </c>
      <c r="H829" s="58">
        <v>0</v>
      </c>
      <c r="I829" s="58">
        <v>0</v>
      </c>
      <c r="J829" s="58">
        <v>0</v>
      </c>
      <c r="K829" s="58">
        <v>0</v>
      </c>
      <c r="L829" s="58">
        <v>25950</v>
      </c>
      <c r="M829" s="58">
        <v>15075</v>
      </c>
      <c r="N829" s="58">
        <v>15136.95</v>
      </c>
      <c r="O829" s="58">
        <v>15550</v>
      </c>
      <c r="P829" s="58" t="s">
        <v>33</v>
      </c>
      <c r="Q829" s="58">
        <v>692</v>
      </c>
      <c r="R829" s="58">
        <v>69</v>
      </c>
      <c r="S829" s="58">
        <v>11.075441412520064</v>
      </c>
      <c r="T829" s="58">
        <v>468</v>
      </c>
      <c r="U829" s="58">
        <v>16.13</v>
      </c>
      <c r="V829" s="58">
        <v>63.45</v>
      </c>
      <c r="W829" s="58">
        <v>-5.3499999999999943</v>
      </c>
      <c r="X829" s="58">
        <v>-7.7761627906976658</v>
      </c>
      <c r="Y829" s="58">
        <v>28350</v>
      </c>
      <c r="Z829" s="58">
        <v>21900</v>
      </c>
      <c r="AA829" s="58">
        <v>15136.95</v>
      </c>
      <c r="AE829" s="57"/>
    </row>
    <row r="830" spans="1:31" x14ac:dyDescent="0.35">
      <c r="A830" s="56" t="s">
        <v>898</v>
      </c>
      <c r="B830" s="58">
        <v>15550</v>
      </c>
      <c r="C830" s="58" t="s">
        <v>36</v>
      </c>
      <c r="D830" s="58">
        <v>0</v>
      </c>
      <c r="E830" s="58">
        <v>0</v>
      </c>
      <c r="F830" s="58">
        <v>0</v>
      </c>
      <c r="G830" s="58">
        <v>0</v>
      </c>
      <c r="H830" s="58">
        <v>0</v>
      </c>
      <c r="I830" s="58">
        <v>0</v>
      </c>
      <c r="J830" s="58">
        <v>0</v>
      </c>
      <c r="K830" s="58">
        <v>0</v>
      </c>
      <c r="L830" s="58">
        <v>4875</v>
      </c>
      <c r="M830" s="58">
        <v>600</v>
      </c>
      <c r="N830" s="58">
        <v>15136.95</v>
      </c>
      <c r="O830" s="58">
        <v>15550</v>
      </c>
      <c r="P830" s="58" t="s">
        <v>36</v>
      </c>
      <c r="Q830" s="58">
        <v>0</v>
      </c>
      <c r="R830" s="58">
        <v>0</v>
      </c>
      <c r="S830" s="58">
        <v>0</v>
      </c>
      <c r="T830" s="58">
        <v>0</v>
      </c>
      <c r="U830" s="58">
        <v>0</v>
      </c>
      <c r="V830" s="58">
        <v>0</v>
      </c>
      <c r="W830" s="58">
        <v>0</v>
      </c>
      <c r="X830" s="58">
        <v>0</v>
      </c>
      <c r="Y830" s="58">
        <v>1200</v>
      </c>
      <c r="Z830" s="58">
        <v>1050</v>
      </c>
      <c r="AA830" s="58">
        <v>15136.95</v>
      </c>
      <c r="AE830" s="57"/>
    </row>
    <row r="831" spans="1:31" x14ac:dyDescent="0.35">
      <c r="A831" s="56" t="s">
        <v>899</v>
      </c>
      <c r="B831" s="58">
        <v>15550</v>
      </c>
      <c r="C831" s="58" t="s">
        <v>37</v>
      </c>
      <c r="D831" s="58">
        <v>0</v>
      </c>
      <c r="E831" s="58">
        <v>0</v>
      </c>
      <c r="F831" s="58">
        <v>0</v>
      </c>
      <c r="G831" s="58">
        <v>0</v>
      </c>
      <c r="H831" s="58">
        <v>0</v>
      </c>
      <c r="I831" s="58">
        <v>0</v>
      </c>
      <c r="J831" s="58">
        <v>0</v>
      </c>
      <c r="K831" s="58">
        <v>0</v>
      </c>
      <c r="L831" s="58">
        <v>0</v>
      </c>
      <c r="M831" s="58">
        <v>4875</v>
      </c>
      <c r="N831" s="58">
        <v>15136.95</v>
      </c>
      <c r="O831" s="58">
        <v>15550</v>
      </c>
      <c r="P831" s="58" t="s">
        <v>37</v>
      </c>
      <c r="Q831" s="58">
        <v>0</v>
      </c>
      <c r="R831" s="58">
        <v>0</v>
      </c>
      <c r="S831" s="58">
        <v>0</v>
      </c>
      <c r="T831" s="58">
        <v>0</v>
      </c>
      <c r="U831" s="58">
        <v>0</v>
      </c>
      <c r="V831" s="58">
        <v>0</v>
      </c>
      <c r="W831" s="58">
        <v>0</v>
      </c>
      <c r="X831" s="58">
        <v>0</v>
      </c>
      <c r="Y831" s="58">
        <v>0</v>
      </c>
      <c r="Z831" s="58">
        <v>4875</v>
      </c>
      <c r="AA831" s="58">
        <v>15136.95</v>
      </c>
      <c r="AE831" s="57"/>
    </row>
    <row r="832" spans="1:31" x14ac:dyDescent="0.35">
      <c r="A832" s="56" t="s">
        <v>900</v>
      </c>
      <c r="B832" s="58">
        <v>15550</v>
      </c>
      <c r="C832" s="58" t="s">
        <v>34</v>
      </c>
      <c r="D832" s="58">
        <v>7</v>
      </c>
      <c r="E832" s="58">
        <v>1</v>
      </c>
      <c r="F832" s="58">
        <v>16.666666666666668</v>
      </c>
      <c r="G832" s="58">
        <v>1</v>
      </c>
      <c r="H832" s="58">
        <v>23.06</v>
      </c>
      <c r="I832" s="58">
        <v>437.5</v>
      </c>
      <c r="J832" s="58">
        <v>-76.149999999999977</v>
      </c>
      <c r="K832" s="58">
        <v>-14.825270125571883</v>
      </c>
      <c r="L832" s="58">
        <v>15825</v>
      </c>
      <c r="M832" s="58">
        <v>11175</v>
      </c>
      <c r="N832" s="58">
        <v>15136.95</v>
      </c>
      <c r="O832" s="58">
        <v>15550</v>
      </c>
      <c r="P832" s="58" t="s">
        <v>34</v>
      </c>
      <c r="Q832" s="58">
        <v>968</v>
      </c>
      <c r="R832" s="58">
        <v>229</v>
      </c>
      <c r="S832" s="58">
        <v>30.987821380243577</v>
      </c>
      <c r="T832" s="58">
        <v>1856</v>
      </c>
      <c r="U832" s="58">
        <v>15.63</v>
      </c>
      <c r="V832" s="58">
        <v>19.5</v>
      </c>
      <c r="W832" s="58">
        <v>-6.1499999999999986</v>
      </c>
      <c r="X832" s="58">
        <v>-23.976608187134499</v>
      </c>
      <c r="Y832" s="58">
        <v>51750</v>
      </c>
      <c r="Z832" s="58">
        <v>29550</v>
      </c>
      <c r="AA832" s="58">
        <v>15136.95</v>
      </c>
      <c r="AE832" s="57"/>
    </row>
    <row r="833" spans="1:31" x14ac:dyDescent="0.35">
      <c r="A833" s="56" t="s">
        <v>901</v>
      </c>
      <c r="B833" s="58">
        <v>15550</v>
      </c>
      <c r="C833" s="58" t="s">
        <v>26</v>
      </c>
      <c r="D833" s="58">
        <v>0</v>
      </c>
      <c r="E833" s="58">
        <v>0</v>
      </c>
      <c r="F833" s="58">
        <v>0</v>
      </c>
      <c r="G833" s="58">
        <v>0</v>
      </c>
      <c r="H833" s="58">
        <v>0</v>
      </c>
      <c r="I833" s="58">
        <v>0</v>
      </c>
      <c r="J833" s="58">
        <v>0</v>
      </c>
      <c r="K833" s="58">
        <v>0</v>
      </c>
      <c r="L833" s="58">
        <v>2925</v>
      </c>
      <c r="M833" s="58">
        <v>7725</v>
      </c>
      <c r="N833" s="58">
        <v>15136.95</v>
      </c>
      <c r="O833" s="58">
        <v>15550</v>
      </c>
      <c r="P833" s="58" t="s">
        <v>26</v>
      </c>
      <c r="Q833" s="58">
        <v>27</v>
      </c>
      <c r="R833" s="58">
        <v>0</v>
      </c>
      <c r="S833" s="58">
        <v>0</v>
      </c>
      <c r="T833" s="58">
        <v>2</v>
      </c>
      <c r="U833" s="58">
        <v>17.489999999999998</v>
      </c>
      <c r="V833" s="58">
        <v>259</v>
      </c>
      <c r="W833" s="58">
        <v>-8.3000000000000114</v>
      </c>
      <c r="X833" s="58">
        <v>-3.1051253273475536</v>
      </c>
      <c r="Y833" s="58">
        <v>1875</v>
      </c>
      <c r="Z833" s="58">
        <v>1875</v>
      </c>
      <c r="AA833" s="58">
        <v>15136.95</v>
      </c>
      <c r="AE833" s="57"/>
    </row>
    <row r="834" spans="1:31" x14ac:dyDescent="0.35">
      <c r="A834" s="56" t="s">
        <v>902</v>
      </c>
      <c r="B834" s="58">
        <v>15550</v>
      </c>
      <c r="C834" s="58" t="s">
        <v>67</v>
      </c>
      <c r="D834" s="58">
        <v>0</v>
      </c>
      <c r="E834" s="58">
        <v>0</v>
      </c>
      <c r="F834" s="58">
        <v>0</v>
      </c>
      <c r="G834" s="58">
        <v>0</v>
      </c>
      <c r="H834" s="58">
        <v>0</v>
      </c>
      <c r="I834" s="58">
        <v>0</v>
      </c>
      <c r="J834" s="58">
        <v>0</v>
      </c>
      <c r="K834" s="58">
        <v>0</v>
      </c>
      <c r="L834" s="58">
        <v>0</v>
      </c>
      <c r="M834" s="58">
        <v>4875</v>
      </c>
      <c r="N834" s="58">
        <v>15136.95</v>
      </c>
      <c r="O834" s="58">
        <v>15550</v>
      </c>
      <c r="P834" s="58" t="s">
        <v>67</v>
      </c>
      <c r="Q834" s="58">
        <v>0</v>
      </c>
      <c r="R834" s="58">
        <v>0</v>
      </c>
      <c r="S834" s="58">
        <v>0</v>
      </c>
      <c r="T834" s="58">
        <v>0</v>
      </c>
      <c r="U834" s="58">
        <v>0</v>
      </c>
      <c r="V834" s="58">
        <v>0</v>
      </c>
      <c r="W834" s="58">
        <v>0</v>
      </c>
      <c r="X834" s="58">
        <v>0</v>
      </c>
      <c r="Y834" s="58">
        <v>0</v>
      </c>
      <c r="Z834" s="58">
        <v>0</v>
      </c>
      <c r="AA834" s="58">
        <v>15136.95</v>
      </c>
      <c r="AE834" s="57"/>
    </row>
    <row r="835" spans="1:31" x14ac:dyDescent="0.35">
      <c r="A835" s="56" t="s">
        <v>903</v>
      </c>
      <c r="B835" s="58">
        <v>15550</v>
      </c>
      <c r="C835" s="58" t="s">
        <v>2074</v>
      </c>
      <c r="D835" s="58">
        <v>0</v>
      </c>
      <c r="E835" s="58">
        <v>0</v>
      </c>
      <c r="F835" s="58">
        <v>0</v>
      </c>
      <c r="G835" s="58">
        <v>0</v>
      </c>
      <c r="H835" s="58">
        <v>0</v>
      </c>
      <c r="I835" s="58">
        <v>0</v>
      </c>
      <c r="J835" s="58">
        <v>0</v>
      </c>
      <c r="K835" s="58">
        <v>0</v>
      </c>
      <c r="L835" s="58">
        <v>0</v>
      </c>
      <c r="M835" s="58">
        <v>4875</v>
      </c>
      <c r="N835" s="58">
        <v>15136.95</v>
      </c>
      <c r="O835" s="58">
        <v>15550</v>
      </c>
      <c r="P835" s="58" t="s">
        <v>2074</v>
      </c>
      <c r="Q835" s="58">
        <v>0</v>
      </c>
      <c r="R835" s="58">
        <v>0</v>
      </c>
      <c r="S835" s="58">
        <v>0</v>
      </c>
      <c r="T835" s="58">
        <v>0</v>
      </c>
      <c r="U835" s="58">
        <v>0</v>
      </c>
      <c r="V835" s="58">
        <v>0</v>
      </c>
      <c r="W835" s="58">
        <v>0</v>
      </c>
      <c r="X835" s="58">
        <v>0</v>
      </c>
      <c r="Y835" s="58">
        <v>1350</v>
      </c>
      <c r="Z835" s="58">
        <v>4875</v>
      </c>
      <c r="AA835" s="58">
        <v>15136.95</v>
      </c>
      <c r="AE835" s="57"/>
    </row>
    <row r="836" spans="1:31" x14ac:dyDescent="0.35">
      <c r="A836" s="56" t="s">
        <v>904</v>
      </c>
      <c r="B836" s="58">
        <v>15550</v>
      </c>
      <c r="C836" s="58" t="s">
        <v>2071</v>
      </c>
      <c r="D836" s="58">
        <v>0</v>
      </c>
      <c r="E836" s="58">
        <v>0</v>
      </c>
      <c r="F836" s="58">
        <v>0</v>
      </c>
      <c r="G836" s="58">
        <v>0</v>
      </c>
      <c r="H836" s="58">
        <v>0</v>
      </c>
      <c r="I836" s="58">
        <v>0</v>
      </c>
      <c r="J836" s="58">
        <v>0</v>
      </c>
      <c r="K836" s="58">
        <v>0</v>
      </c>
      <c r="L836" s="58">
        <v>0</v>
      </c>
      <c r="M836" s="58">
        <v>4875</v>
      </c>
      <c r="N836" s="58">
        <v>15136.95</v>
      </c>
      <c r="O836" s="58">
        <v>0</v>
      </c>
      <c r="P836" s="58">
        <v>0</v>
      </c>
      <c r="Q836" s="58">
        <v>0</v>
      </c>
      <c r="R836" s="58">
        <v>0</v>
      </c>
      <c r="S836" s="58">
        <v>0</v>
      </c>
      <c r="T836" s="58">
        <v>0</v>
      </c>
      <c r="U836" s="58">
        <v>0</v>
      </c>
      <c r="V836" s="58">
        <v>0</v>
      </c>
      <c r="W836" s="58">
        <v>0</v>
      </c>
      <c r="X836" s="58">
        <v>0</v>
      </c>
      <c r="Y836" s="58">
        <v>0</v>
      </c>
      <c r="Z836" s="58">
        <v>0</v>
      </c>
      <c r="AA836" s="58">
        <v>0</v>
      </c>
      <c r="AE836" s="57"/>
    </row>
    <row r="837" spans="1:31" x14ac:dyDescent="0.35">
      <c r="A837" s="56" t="s">
        <v>905</v>
      </c>
      <c r="B837" s="58">
        <v>15550</v>
      </c>
      <c r="C837" s="58" t="s">
        <v>38</v>
      </c>
      <c r="D837" s="58">
        <v>0</v>
      </c>
      <c r="E837" s="58">
        <v>0</v>
      </c>
      <c r="F837" s="58">
        <v>0</v>
      </c>
      <c r="G837" s="58">
        <v>0</v>
      </c>
      <c r="H837" s="58">
        <v>0</v>
      </c>
      <c r="I837" s="58">
        <v>0</v>
      </c>
      <c r="J837" s="58">
        <v>0</v>
      </c>
      <c r="K837" s="58">
        <v>0</v>
      </c>
      <c r="L837" s="58">
        <v>0</v>
      </c>
      <c r="M837" s="58">
        <v>4875</v>
      </c>
      <c r="N837" s="58">
        <v>15136.95</v>
      </c>
      <c r="O837" s="58">
        <v>15550</v>
      </c>
      <c r="P837" s="58" t="s">
        <v>38</v>
      </c>
      <c r="Q837" s="58">
        <v>0</v>
      </c>
      <c r="R837" s="58">
        <v>0</v>
      </c>
      <c r="S837" s="58">
        <v>0</v>
      </c>
      <c r="T837" s="58">
        <v>0</v>
      </c>
      <c r="U837" s="58">
        <v>0</v>
      </c>
      <c r="V837" s="58">
        <v>0</v>
      </c>
      <c r="W837" s="58">
        <v>0</v>
      </c>
      <c r="X837" s="58">
        <v>0</v>
      </c>
      <c r="Y837" s="58">
        <v>0</v>
      </c>
      <c r="Z837" s="58">
        <v>4875</v>
      </c>
      <c r="AA837" s="58">
        <v>15136.95</v>
      </c>
      <c r="AE837" s="57"/>
    </row>
    <row r="838" spans="1:31" x14ac:dyDescent="0.35">
      <c r="A838" s="56" t="s">
        <v>906</v>
      </c>
      <c r="B838" s="58">
        <v>15600</v>
      </c>
      <c r="C838" s="58" t="s">
        <v>35</v>
      </c>
      <c r="D838" s="58">
        <v>144</v>
      </c>
      <c r="E838" s="58">
        <v>9</v>
      </c>
      <c r="F838" s="58">
        <v>6.666666666666667</v>
      </c>
      <c r="G838" s="58">
        <v>52</v>
      </c>
      <c r="H838" s="58">
        <v>36.32</v>
      </c>
      <c r="I838" s="58">
        <v>475.2</v>
      </c>
      <c r="J838" s="58">
        <v>-18.199999999999989</v>
      </c>
      <c r="K838" s="58">
        <v>-3.6886907174706098</v>
      </c>
      <c r="L838" s="58">
        <v>41475</v>
      </c>
      <c r="M838" s="58">
        <v>28800</v>
      </c>
      <c r="N838" s="58">
        <v>15136.95</v>
      </c>
      <c r="O838" s="58">
        <v>15600</v>
      </c>
      <c r="P838" s="58" t="s">
        <v>35</v>
      </c>
      <c r="Q838" s="58">
        <v>32214</v>
      </c>
      <c r="R838" s="58">
        <v>4498</v>
      </c>
      <c r="S838" s="58">
        <v>16.228893058161351</v>
      </c>
      <c r="T838" s="58">
        <v>33680</v>
      </c>
      <c r="U838" s="58">
        <v>22.99</v>
      </c>
      <c r="V838" s="58">
        <v>0.4</v>
      </c>
      <c r="W838" s="58">
        <v>-1.65</v>
      </c>
      <c r="X838" s="58">
        <v>-80.487804878048792</v>
      </c>
      <c r="Y838" s="58">
        <v>1954350</v>
      </c>
      <c r="Z838" s="58">
        <v>259425</v>
      </c>
      <c r="AA838" s="58">
        <v>15136.95</v>
      </c>
      <c r="AE838" s="57"/>
    </row>
    <row r="839" spans="1:31" x14ac:dyDescent="0.35">
      <c r="A839" s="56" t="s">
        <v>907</v>
      </c>
      <c r="B839" s="58">
        <v>15600</v>
      </c>
      <c r="C839" s="58" t="s">
        <v>34</v>
      </c>
      <c r="D839" s="58">
        <v>33</v>
      </c>
      <c r="E839" s="58">
        <v>3</v>
      </c>
      <c r="F839" s="58">
        <v>10</v>
      </c>
      <c r="G839" s="58">
        <v>6</v>
      </c>
      <c r="H839" s="58">
        <v>20.41</v>
      </c>
      <c r="I839" s="58">
        <v>462.6</v>
      </c>
      <c r="J839" s="58">
        <v>-37.149999999999977</v>
      </c>
      <c r="K839" s="58">
        <v>-7.4337168584292099</v>
      </c>
      <c r="L839" s="58">
        <v>17475</v>
      </c>
      <c r="M839" s="58">
        <v>13200</v>
      </c>
      <c r="N839" s="58">
        <v>15136.95</v>
      </c>
      <c r="O839" s="58">
        <v>15600</v>
      </c>
      <c r="P839" s="58" t="s">
        <v>34</v>
      </c>
      <c r="Q839" s="58">
        <v>5595</v>
      </c>
      <c r="R839" s="58">
        <v>831</v>
      </c>
      <c r="S839" s="58">
        <v>17.443324937027707</v>
      </c>
      <c r="T839" s="58">
        <v>9613</v>
      </c>
      <c r="U839" s="58">
        <v>15.58</v>
      </c>
      <c r="V839" s="58">
        <v>14.15</v>
      </c>
      <c r="W839" s="58">
        <v>-5.2000000000000011</v>
      </c>
      <c r="X839" s="58">
        <v>-26.873385012919897</v>
      </c>
      <c r="Y839" s="58">
        <v>89025</v>
      </c>
      <c r="Z839" s="58">
        <v>56400</v>
      </c>
      <c r="AA839" s="58">
        <v>15136.95</v>
      </c>
      <c r="AE839" s="57"/>
    </row>
    <row r="840" spans="1:31" x14ac:dyDescent="0.35">
      <c r="A840" s="56" t="s">
        <v>908</v>
      </c>
      <c r="B840" s="58">
        <v>15600</v>
      </c>
      <c r="C840" s="58" t="s">
        <v>33</v>
      </c>
      <c r="D840" s="58">
        <v>259</v>
      </c>
      <c r="E840" s="58">
        <v>9</v>
      </c>
      <c r="F840" s="58">
        <v>3.6</v>
      </c>
      <c r="G840" s="58">
        <v>43</v>
      </c>
      <c r="H840" s="58">
        <v>21</v>
      </c>
      <c r="I840" s="58">
        <v>515.65</v>
      </c>
      <c r="J840" s="58">
        <v>-23.25</v>
      </c>
      <c r="K840" s="58">
        <v>-4.3143440341436259</v>
      </c>
      <c r="L840" s="58">
        <v>33375</v>
      </c>
      <c r="M840" s="58">
        <v>24975</v>
      </c>
      <c r="N840" s="58">
        <v>15136.95</v>
      </c>
      <c r="O840" s="58">
        <v>15600</v>
      </c>
      <c r="P840" s="58" t="s">
        <v>33</v>
      </c>
      <c r="Q840" s="58">
        <v>6852</v>
      </c>
      <c r="R840" s="58">
        <v>277</v>
      </c>
      <c r="S840" s="58">
        <v>4.2129277566539924</v>
      </c>
      <c r="T840" s="58">
        <v>5211</v>
      </c>
      <c r="U840" s="58">
        <v>16.05</v>
      </c>
      <c r="V840" s="58">
        <v>53</v>
      </c>
      <c r="W840" s="58">
        <v>-7.3500000000000014</v>
      </c>
      <c r="X840" s="58">
        <v>-12.178956089478046</v>
      </c>
      <c r="Y840" s="58">
        <v>41400</v>
      </c>
      <c r="Z840" s="58">
        <v>44100</v>
      </c>
      <c r="AA840" s="58">
        <v>15136.95</v>
      </c>
      <c r="AE840" s="57"/>
    </row>
    <row r="841" spans="1:31" x14ac:dyDescent="0.35">
      <c r="A841" s="56" t="s">
        <v>909</v>
      </c>
      <c r="B841" s="58">
        <v>15600</v>
      </c>
      <c r="C841" s="58" t="s">
        <v>36</v>
      </c>
      <c r="D841" s="58">
        <v>0</v>
      </c>
      <c r="E841" s="58">
        <v>0</v>
      </c>
      <c r="F841" s="58">
        <v>0</v>
      </c>
      <c r="G841" s="58">
        <v>0</v>
      </c>
      <c r="H841" s="58">
        <v>0</v>
      </c>
      <c r="I841" s="58">
        <v>0</v>
      </c>
      <c r="J841" s="58">
        <v>0</v>
      </c>
      <c r="K841" s="58">
        <v>0</v>
      </c>
      <c r="L841" s="58">
        <v>4875</v>
      </c>
      <c r="M841" s="58">
        <v>600</v>
      </c>
      <c r="N841" s="58">
        <v>15136.95</v>
      </c>
      <c r="O841" s="58">
        <v>15600</v>
      </c>
      <c r="P841" s="58" t="s">
        <v>36</v>
      </c>
      <c r="Q841" s="58">
        <v>1</v>
      </c>
      <c r="R841" s="58">
        <v>0</v>
      </c>
      <c r="S841" s="58">
        <v>0</v>
      </c>
      <c r="T841" s="58">
        <v>0</v>
      </c>
      <c r="U841" s="58">
        <v>0</v>
      </c>
      <c r="V841" s="58">
        <v>0</v>
      </c>
      <c r="W841" s="58">
        <v>0</v>
      </c>
      <c r="X841" s="58">
        <v>0</v>
      </c>
      <c r="Y841" s="58">
        <v>1275</v>
      </c>
      <c r="Z841" s="58">
        <v>6225</v>
      </c>
      <c r="AA841" s="58">
        <v>15136.95</v>
      </c>
      <c r="AE841" s="57"/>
    </row>
    <row r="842" spans="1:31" x14ac:dyDescent="0.35">
      <c r="A842" s="56" t="s">
        <v>910</v>
      </c>
      <c r="B842" s="58">
        <v>15600</v>
      </c>
      <c r="C842" s="58" t="s">
        <v>37</v>
      </c>
      <c r="D842" s="58">
        <v>2</v>
      </c>
      <c r="E842" s="58">
        <v>0</v>
      </c>
      <c r="F842" s="58">
        <v>0</v>
      </c>
      <c r="G842" s="58">
        <v>0</v>
      </c>
      <c r="H842" s="58">
        <v>0</v>
      </c>
      <c r="I842" s="58">
        <v>0</v>
      </c>
      <c r="J842" s="58">
        <v>0</v>
      </c>
      <c r="K842" s="58">
        <v>0</v>
      </c>
      <c r="L842" s="58">
        <v>750</v>
      </c>
      <c r="M842" s="58">
        <v>5025</v>
      </c>
      <c r="N842" s="58">
        <v>15136.95</v>
      </c>
      <c r="O842" s="58">
        <v>15600</v>
      </c>
      <c r="P842" s="58" t="s">
        <v>37</v>
      </c>
      <c r="Q842" s="58">
        <v>0</v>
      </c>
      <c r="R842" s="58">
        <v>0</v>
      </c>
      <c r="S842" s="58">
        <v>0</v>
      </c>
      <c r="T842" s="58">
        <v>0</v>
      </c>
      <c r="U842" s="58">
        <v>0</v>
      </c>
      <c r="V842" s="58">
        <v>0</v>
      </c>
      <c r="W842" s="58">
        <v>0</v>
      </c>
      <c r="X842" s="58">
        <v>0</v>
      </c>
      <c r="Y842" s="58">
        <v>1575</v>
      </c>
      <c r="Z842" s="58">
        <v>5475</v>
      </c>
      <c r="AA842" s="58">
        <v>15136.95</v>
      </c>
      <c r="AE842" s="57"/>
    </row>
    <row r="843" spans="1:31" x14ac:dyDescent="0.35">
      <c r="A843" s="56" t="s">
        <v>911</v>
      </c>
      <c r="B843" s="58">
        <v>15600</v>
      </c>
      <c r="C843" s="58" t="s">
        <v>38</v>
      </c>
      <c r="D843" s="58">
        <v>0</v>
      </c>
      <c r="E843" s="58">
        <v>0</v>
      </c>
      <c r="F843" s="58">
        <v>0</v>
      </c>
      <c r="G843" s="58">
        <v>0</v>
      </c>
      <c r="H843" s="58">
        <v>0</v>
      </c>
      <c r="I843" s="58">
        <v>0</v>
      </c>
      <c r="J843" s="58">
        <v>0</v>
      </c>
      <c r="K843" s="58">
        <v>0</v>
      </c>
      <c r="L843" s="58">
        <v>0</v>
      </c>
      <c r="M843" s="58">
        <v>4875</v>
      </c>
      <c r="N843" s="58">
        <v>15136.95</v>
      </c>
      <c r="O843" s="58">
        <v>15600</v>
      </c>
      <c r="P843" s="58" t="s">
        <v>38</v>
      </c>
      <c r="Q843" s="58">
        <v>0</v>
      </c>
      <c r="R843" s="58">
        <v>0</v>
      </c>
      <c r="S843" s="58">
        <v>0</v>
      </c>
      <c r="T843" s="58">
        <v>0</v>
      </c>
      <c r="U843" s="58">
        <v>0</v>
      </c>
      <c r="V843" s="58">
        <v>0</v>
      </c>
      <c r="W843" s="58">
        <v>0</v>
      </c>
      <c r="X843" s="58">
        <v>0</v>
      </c>
      <c r="Y843" s="58">
        <v>300</v>
      </c>
      <c r="Z843" s="58">
        <v>4875</v>
      </c>
      <c r="AA843" s="58">
        <v>15136.95</v>
      </c>
      <c r="AE843" s="57"/>
    </row>
    <row r="844" spans="1:31" x14ac:dyDescent="0.35">
      <c r="A844" s="56" t="s">
        <v>912</v>
      </c>
      <c r="B844" s="58">
        <v>15600</v>
      </c>
      <c r="C844" s="58" t="s">
        <v>26</v>
      </c>
      <c r="D844" s="58">
        <v>13</v>
      </c>
      <c r="E844" s="58">
        <v>0</v>
      </c>
      <c r="F844" s="58">
        <v>0</v>
      </c>
      <c r="G844" s="58">
        <v>0</v>
      </c>
      <c r="H844" s="58">
        <v>0</v>
      </c>
      <c r="I844" s="58">
        <v>0</v>
      </c>
      <c r="J844" s="58">
        <v>0</v>
      </c>
      <c r="K844" s="58">
        <v>0</v>
      </c>
      <c r="L844" s="58">
        <v>5250</v>
      </c>
      <c r="M844" s="58">
        <v>5175</v>
      </c>
      <c r="N844" s="58">
        <v>15136.95</v>
      </c>
      <c r="O844" s="58">
        <v>15600</v>
      </c>
      <c r="P844" s="58" t="s">
        <v>26</v>
      </c>
      <c r="Q844" s="58">
        <v>348</v>
      </c>
      <c r="R844" s="58">
        <v>13</v>
      </c>
      <c r="S844" s="58">
        <v>3.8805970149253728</v>
      </c>
      <c r="T844" s="58">
        <v>97</v>
      </c>
      <c r="U844" s="58">
        <v>17.55</v>
      </c>
      <c r="V844" s="58">
        <v>240</v>
      </c>
      <c r="W844" s="58">
        <v>3.8000000000000114</v>
      </c>
      <c r="X844" s="58">
        <v>1.6088060965283708</v>
      </c>
      <c r="Y844" s="58">
        <v>2925</v>
      </c>
      <c r="Z844" s="58">
        <v>3375</v>
      </c>
      <c r="AA844" s="58">
        <v>15136.95</v>
      </c>
      <c r="AE844" s="57"/>
    </row>
    <row r="845" spans="1:31" x14ac:dyDescent="0.35">
      <c r="A845" s="56" t="s">
        <v>913</v>
      </c>
      <c r="B845" s="58">
        <v>15600</v>
      </c>
      <c r="C845" s="58" t="s">
        <v>67</v>
      </c>
      <c r="D845" s="58">
        <v>0</v>
      </c>
      <c r="E845" s="58">
        <v>0</v>
      </c>
      <c r="F845" s="58">
        <v>0</v>
      </c>
      <c r="G845" s="58">
        <v>0</v>
      </c>
      <c r="H845" s="58">
        <v>0</v>
      </c>
      <c r="I845" s="58">
        <v>0</v>
      </c>
      <c r="J845" s="58">
        <v>0</v>
      </c>
      <c r="K845" s="58">
        <v>0</v>
      </c>
      <c r="L845" s="58">
        <v>0</v>
      </c>
      <c r="M845" s="58">
        <v>4875</v>
      </c>
      <c r="N845" s="58">
        <v>15136.95</v>
      </c>
      <c r="O845" s="58">
        <v>15600</v>
      </c>
      <c r="P845" s="58" t="s">
        <v>67</v>
      </c>
      <c r="Q845" s="58">
        <v>0</v>
      </c>
      <c r="R845" s="58">
        <v>0</v>
      </c>
      <c r="S845" s="58">
        <v>0</v>
      </c>
      <c r="T845" s="58">
        <v>0</v>
      </c>
      <c r="U845" s="58">
        <v>0</v>
      </c>
      <c r="V845" s="58">
        <v>0</v>
      </c>
      <c r="W845" s="58">
        <v>0</v>
      </c>
      <c r="X845" s="58">
        <v>0</v>
      </c>
      <c r="Y845" s="58">
        <v>75</v>
      </c>
      <c r="Z845" s="58">
        <v>0</v>
      </c>
      <c r="AA845" s="58">
        <v>15136.95</v>
      </c>
      <c r="AE845" s="57"/>
    </row>
    <row r="846" spans="1:31" x14ac:dyDescent="0.35">
      <c r="A846" s="56" t="s">
        <v>914</v>
      </c>
      <c r="B846" s="58">
        <v>15600</v>
      </c>
      <c r="C846" s="58" t="s">
        <v>2074</v>
      </c>
      <c r="D846" s="58">
        <v>0</v>
      </c>
      <c r="E846" s="58">
        <v>0</v>
      </c>
      <c r="F846" s="58">
        <v>0</v>
      </c>
      <c r="G846" s="58">
        <v>0</v>
      </c>
      <c r="H846" s="58">
        <v>0</v>
      </c>
      <c r="I846" s="58">
        <v>0</v>
      </c>
      <c r="J846" s="58">
        <v>0</v>
      </c>
      <c r="K846" s="58">
        <v>0</v>
      </c>
      <c r="L846" s="58">
        <v>0</v>
      </c>
      <c r="M846" s="58">
        <v>4875</v>
      </c>
      <c r="N846" s="58">
        <v>15136.95</v>
      </c>
      <c r="O846" s="58">
        <v>15600</v>
      </c>
      <c r="P846" s="58" t="s">
        <v>2074</v>
      </c>
      <c r="Q846" s="58">
        <v>0</v>
      </c>
      <c r="R846" s="58">
        <v>0</v>
      </c>
      <c r="S846" s="58">
        <v>0</v>
      </c>
      <c r="T846" s="58">
        <v>0</v>
      </c>
      <c r="U846" s="58">
        <v>0</v>
      </c>
      <c r="V846" s="58">
        <v>0</v>
      </c>
      <c r="W846" s="58">
        <v>0</v>
      </c>
      <c r="X846" s="58">
        <v>0</v>
      </c>
      <c r="Y846" s="58">
        <v>150</v>
      </c>
      <c r="Z846" s="58">
        <v>4875</v>
      </c>
      <c r="AA846" s="58">
        <v>15136.95</v>
      </c>
      <c r="AE846" s="57"/>
    </row>
    <row r="847" spans="1:31" x14ac:dyDescent="0.35">
      <c r="A847" s="56" t="s">
        <v>915</v>
      </c>
      <c r="B847" s="58">
        <v>15600</v>
      </c>
      <c r="C847" s="58" t="s">
        <v>2071</v>
      </c>
      <c r="D847" s="58">
        <v>0</v>
      </c>
      <c r="E847" s="58">
        <v>0</v>
      </c>
      <c r="F847" s="58">
        <v>0</v>
      </c>
      <c r="G847" s="58">
        <v>0</v>
      </c>
      <c r="H847" s="58">
        <v>0</v>
      </c>
      <c r="I847" s="58">
        <v>0</v>
      </c>
      <c r="J847" s="58">
        <v>0</v>
      </c>
      <c r="K847" s="58">
        <v>0</v>
      </c>
      <c r="L847" s="58">
        <v>0</v>
      </c>
      <c r="M847" s="58">
        <v>4875</v>
      </c>
      <c r="N847" s="58">
        <v>15136.95</v>
      </c>
      <c r="O847" s="58">
        <v>15600</v>
      </c>
      <c r="P847" s="58" t="s">
        <v>2071</v>
      </c>
      <c r="Q847" s="58">
        <v>0</v>
      </c>
      <c r="R847" s="58">
        <v>0</v>
      </c>
      <c r="S847" s="58">
        <v>0</v>
      </c>
      <c r="T847" s="58">
        <v>0</v>
      </c>
      <c r="U847" s="58">
        <v>0</v>
      </c>
      <c r="V847" s="58">
        <v>0</v>
      </c>
      <c r="W847" s="58">
        <v>0</v>
      </c>
      <c r="X847" s="58">
        <v>0</v>
      </c>
      <c r="Y847" s="58">
        <v>1725</v>
      </c>
      <c r="Z847" s="58">
        <v>450</v>
      </c>
      <c r="AA847" s="58">
        <v>15136.95</v>
      </c>
      <c r="AE847" s="57"/>
    </row>
    <row r="848" spans="1:31" x14ac:dyDescent="0.35">
      <c r="A848" s="56" t="s">
        <v>916</v>
      </c>
      <c r="B848" s="58">
        <v>15650</v>
      </c>
      <c r="C848" s="58" t="s">
        <v>35</v>
      </c>
      <c r="D848" s="58">
        <v>23</v>
      </c>
      <c r="E848" s="58">
        <v>2</v>
      </c>
      <c r="F848" s="58">
        <v>9.5238095238095237</v>
      </c>
      <c r="G848" s="58">
        <v>15</v>
      </c>
      <c r="H848" s="58">
        <v>41.08</v>
      </c>
      <c r="I848" s="58">
        <v>510</v>
      </c>
      <c r="J848" s="58">
        <v>-22.100000000000023</v>
      </c>
      <c r="K848" s="58">
        <v>-4.1533546325878632</v>
      </c>
      <c r="L848" s="58">
        <v>20850</v>
      </c>
      <c r="M848" s="58">
        <v>15450</v>
      </c>
      <c r="N848" s="58">
        <v>15136.95</v>
      </c>
      <c r="O848" s="58">
        <v>15650</v>
      </c>
      <c r="P848" s="58" t="s">
        <v>35</v>
      </c>
      <c r="Q848" s="58">
        <v>3026</v>
      </c>
      <c r="R848" s="58">
        <v>57</v>
      </c>
      <c r="S848" s="58">
        <v>1.9198383294038397</v>
      </c>
      <c r="T848" s="58">
        <v>4021</v>
      </c>
      <c r="U848" s="58">
        <v>25.18</v>
      </c>
      <c r="V848" s="58">
        <v>0.35</v>
      </c>
      <c r="W848" s="58">
        <v>-1.6</v>
      </c>
      <c r="X848" s="58">
        <v>-82.051282051282058</v>
      </c>
      <c r="Y848" s="58">
        <v>290250</v>
      </c>
      <c r="Z848" s="58">
        <v>131550</v>
      </c>
      <c r="AA848" s="58">
        <v>15136.95</v>
      </c>
      <c r="AE848" s="57"/>
    </row>
    <row r="849" spans="1:31" x14ac:dyDescent="0.35">
      <c r="A849" s="56" t="s">
        <v>917</v>
      </c>
      <c r="B849" s="58">
        <v>15650</v>
      </c>
      <c r="C849" s="58" t="s">
        <v>34</v>
      </c>
      <c r="D849" s="58">
        <v>2</v>
      </c>
      <c r="E849" s="58">
        <v>0</v>
      </c>
      <c r="F849" s="58">
        <v>0</v>
      </c>
      <c r="G849" s="58">
        <v>0</v>
      </c>
      <c r="H849" s="58">
        <v>0</v>
      </c>
      <c r="I849" s="58">
        <v>0</v>
      </c>
      <c r="J849" s="58">
        <v>0</v>
      </c>
      <c r="K849" s="58">
        <v>0</v>
      </c>
      <c r="L849" s="58">
        <v>14775</v>
      </c>
      <c r="M849" s="58">
        <v>10050</v>
      </c>
      <c r="N849" s="58">
        <v>15136.95</v>
      </c>
      <c r="O849" s="58">
        <v>15650</v>
      </c>
      <c r="P849" s="58" t="s">
        <v>34</v>
      </c>
      <c r="Q849" s="58">
        <v>1207</v>
      </c>
      <c r="R849" s="58">
        <v>540</v>
      </c>
      <c r="S849" s="58">
        <v>80.959520239880064</v>
      </c>
      <c r="T849" s="58">
        <v>2014</v>
      </c>
      <c r="U849" s="58">
        <v>15.53</v>
      </c>
      <c r="V849" s="58">
        <v>10.55</v>
      </c>
      <c r="W849" s="58">
        <v>-4</v>
      </c>
      <c r="X849" s="58">
        <v>-27.491408934707906</v>
      </c>
      <c r="Y849" s="58">
        <v>104925</v>
      </c>
      <c r="Z849" s="58">
        <v>29775</v>
      </c>
      <c r="AA849" s="58">
        <v>15136.95</v>
      </c>
      <c r="AE849" s="57"/>
    </row>
    <row r="850" spans="1:31" x14ac:dyDescent="0.35">
      <c r="A850" s="56" t="s">
        <v>918</v>
      </c>
      <c r="B850" s="58">
        <v>15650</v>
      </c>
      <c r="C850" s="58" t="s">
        <v>36</v>
      </c>
      <c r="D850" s="58">
        <v>0</v>
      </c>
      <c r="E850" s="58">
        <v>0</v>
      </c>
      <c r="F850" s="58">
        <v>0</v>
      </c>
      <c r="G850" s="58">
        <v>0</v>
      </c>
      <c r="H850" s="58">
        <v>0</v>
      </c>
      <c r="I850" s="58">
        <v>0</v>
      </c>
      <c r="J850" s="58">
        <v>0</v>
      </c>
      <c r="K850" s="58">
        <v>0</v>
      </c>
      <c r="L850" s="58">
        <v>4875</v>
      </c>
      <c r="M850" s="58">
        <v>4875</v>
      </c>
      <c r="N850" s="58">
        <v>15136.95</v>
      </c>
      <c r="O850" s="58">
        <v>15650</v>
      </c>
      <c r="P850" s="58" t="s">
        <v>36</v>
      </c>
      <c r="Q850" s="58">
        <v>0</v>
      </c>
      <c r="R850" s="58">
        <v>0</v>
      </c>
      <c r="S850" s="58">
        <v>0</v>
      </c>
      <c r="T850" s="58">
        <v>0</v>
      </c>
      <c r="U850" s="58">
        <v>0</v>
      </c>
      <c r="V850" s="58">
        <v>0</v>
      </c>
      <c r="W850" s="58">
        <v>0</v>
      </c>
      <c r="X850" s="58">
        <v>0</v>
      </c>
      <c r="Y850" s="58">
        <v>450</v>
      </c>
      <c r="Z850" s="58">
        <v>4875</v>
      </c>
      <c r="AA850" s="58">
        <v>15136.95</v>
      </c>
      <c r="AE850" s="57"/>
    </row>
    <row r="851" spans="1:31" x14ac:dyDescent="0.35">
      <c r="A851" s="56" t="s">
        <v>919</v>
      </c>
      <c r="B851" s="58">
        <v>15650</v>
      </c>
      <c r="C851" s="58" t="s">
        <v>37</v>
      </c>
      <c r="D851" s="58">
        <v>0</v>
      </c>
      <c r="E851" s="58">
        <v>0</v>
      </c>
      <c r="F851" s="58">
        <v>0</v>
      </c>
      <c r="G851" s="58">
        <v>0</v>
      </c>
      <c r="H851" s="58">
        <v>0</v>
      </c>
      <c r="I851" s="58">
        <v>0</v>
      </c>
      <c r="J851" s="58">
        <v>0</v>
      </c>
      <c r="K851" s="58">
        <v>0</v>
      </c>
      <c r="L851" s="58">
        <v>4875</v>
      </c>
      <c r="M851" s="58">
        <v>4875</v>
      </c>
      <c r="N851" s="58">
        <v>15136.95</v>
      </c>
      <c r="O851" s="58">
        <v>15650</v>
      </c>
      <c r="P851" s="58" t="s">
        <v>37</v>
      </c>
      <c r="Q851" s="58">
        <v>0</v>
      </c>
      <c r="R851" s="58">
        <v>0</v>
      </c>
      <c r="S851" s="58">
        <v>0</v>
      </c>
      <c r="T851" s="58">
        <v>0</v>
      </c>
      <c r="U851" s="58">
        <v>0</v>
      </c>
      <c r="V851" s="58">
        <v>0</v>
      </c>
      <c r="W851" s="58">
        <v>0</v>
      </c>
      <c r="X851" s="58">
        <v>0</v>
      </c>
      <c r="Y851" s="58">
        <v>0</v>
      </c>
      <c r="Z851" s="58">
        <v>4875</v>
      </c>
      <c r="AA851" s="58">
        <v>15136.95</v>
      </c>
      <c r="AE851" s="57"/>
    </row>
    <row r="852" spans="1:31" x14ac:dyDescent="0.35">
      <c r="A852" s="56" t="s">
        <v>920</v>
      </c>
      <c r="B852" s="58">
        <v>15650</v>
      </c>
      <c r="C852" s="58" t="s">
        <v>38</v>
      </c>
      <c r="D852" s="58">
        <v>0</v>
      </c>
      <c r="E852" s="58">
        <v>0</v>
      </c>
      <c r="F852" s="58">
        <v>0</v>
      </c>
      <c r="G852" s="58">
        <v>0</v>
      </c>
      <c r="H852" s="58">
        <v>0</v>
      </c>
      <c r="I852" s="58">
        <v>0</v>
      </c>
      <c r="J852" s="58">
        <v>0</v>
      </c>
      <c r="K852" s="58">
        <v>0</v>
      </c>
      <c r="L852" s="58">
        <v>4875</v>
      </c>
      <c r="M852" s="58">
        <v>4875</v>
      </c>
      <c r="N852" s="58">
        <v>15136.95</v>
      </c>
      <c r="O852" s="58">
        <v>15650</v>
      </c>
      <c r="P852" s="58" t="s">
        <v>38</v>
      </c>
      <c r="Q852" s="58">
        <v>0</v>
      </c>
      <c r="R852" s="58">
        <v>0</v>
      </c>
      <c r="S852" s="58">
        <v>0</v>
      </c>
      <c r="T852" s="58">
        <v>0</v>
      </c>
      <c r="U852" s="58">
        <v>0</v>
      </c>
      <c r="V852" s="58">
        <v>0</v>
      </c>
      <c r="W852" s="58">
        <v>0</v>
      </c>
      <c r="X852" s="58">
        <v>0</v>
      </c>
      <c r="Y852" s="58">
        <v>0</v>
      </c>
      <c r="Z852" s="58">
        <v>4875</v>
      </c>
      <c r="AA852" s="58">
        <v>15136.95</v>
      </c>
      <c r="AE852" s="57"/>
    </row>
    <row r="853" spans="1:31" x14ac:dyDescent="0.35">
      <c r="A853" s="56" t="s">
        <v>921</v>
      </c>
      <c r="B853" s="58">
        <v>15650</v>
      </c>
      <c r="C853" s="58" t="s">
        <v>26</v>
      </c>
      <c r="D853" s="58">
        <v>0</v>
      </c>
      <c r="E853" s="58">
        <v>0</v>
      </c>
      <c r="F853" s="58">
        <v>0</v>
      </c>
      <c r="G853" s="58">
        <v>0</v>
      </c>
      <c r="H853" s="58">
        <v>0</v>
      </c>
      <c r="I853" s="58">
        <v>0</v>
      </c>
      <c r="J853" s="58">
        <v>0</v>
      </c>
      <c r="K853" s="58">
        <v>0</v>
      </c>
      <c r="L853" s="58">
        <v>2850</v>
      </c>
      <c r="M853" s="58">
        <v>7725</v>
      </c>
      <c r="N853" s="58">
        <v>15136.95</v>
      </c>
      <c r="O853" s="58">
        <v>15650</v>
      </c>
      <c r="P853" s="58" t="s">
        <v>26</v>
      </c>
      <c r="Q853" s="58">
        <v>6</v>
      </c>
      <c r="R853" s="58">
        <v>2</v>
      </c>
      <c r="S853" s="58">
        <v>50</v>
      </c>
      <c r="T853" s="58">
        <v>3</v>
      </c>
      <c r="U853" s="58">
        <v>17.850000000000001</v>
      </c>
      <c r="V853" s="58">
        <v>229.4</v>
      </c>
      <c r="W853" s="58">
        <v>16.849999999999994</v>
      </c>
      <c r="X853" s="58">
        <v>7.9275464596565479</v>
      </c>
      <c r="Y853" s="58">
        <v>750</v>
      </c>
      <c r="Z853" s="58">
        <v>675</v>
      </c>
      <c r="AA853" s="58">
        <v>15136.95</v>
      </c>
      <c r="AE853" s="57"/>
    </row>
    <row r="854" spans="1:31" x14ac:dyDescent="0.35">
      <c r="A854" s="56" t="s">
        <v>922</v>
      </c>
      <c r="B854" s="58">
        <v>15650</v>
      </c>
      <c r="C854" s="58" t="s">
        <v>67</v>
      </c>
      <c r="D854" s="58">
        <v>0</v>
      </c>
      <c r="E854" s="58">
        <v>0</v>
      </c>
      <c r="F854" s="58">
        <v>0</v>
      </c>
      <c r="G854" s="58">
        <v>0</v>
      </c>
      <c r="H854" s="58">
        <v>0</v>
      </c>
      <c r="I854" s="58">
        <v>0</v>
      </c>
      <c r="J854" s="58">
        <v>0</v>
      </c>
      <c r="K854" s="58">
        <v>0</v>
      </c>
      <c r="L854" s="58">
        <v>0</v>
      </c>
      <c r="M854" s="58">
        <v>4875</v>
      </c>
      <c r="N854" s="58">
        <v>15136.95</v>
      </c>
      <c r="O854" s="58">
        <v>15650</v>
      </c>
      <c r="P854" s="58" t="s">
        <v>67</v>
      </c>
      <c r="Q854" s="58">
        <v>0</v>
      </c>
      <c r="R854" s="58">
        <v>0</v>
      </c>
      <c r="S854" s="58">
        <v>0</v>
      </c>
      <c r="T854" s="58">
        <v>0</v>
      </c>
      <c r="U854" s="58">
        <v>0</v>
      </c>
      <c r="V854" s="58">
        <v>0</v>
      </c>
      <c r="W854" s="58">
        <v>0</v>
      </c>
      <c r="X854" s="58">
        <v>0</v>
      </c>
      <c r="Y854" s="58">
        <v>0</v>
      </c>
      <c r="Z854" s="58">
        <v>0</v>
      </c>
      <c r="AA854" s="58">
        <v>15136.95</v>
      </c>
      <c r="AE854" s="57"/>
    </row>
    <row r="855" spans="1:31" x14ac:dyDescent="0.35">
      <c r="A855" s="56" t="s">
        <v>923</v>
      </c>
      <c r="B855" s="58">
        <v>15650</v>
      </c>
      <c r="C855" s="58" t="s">
        <v>2074</v>
      </c>
      <c r="D855" s="58">
        <v>0</v>
      </c>
      <c r="E855" s="58">
        <v>0</v>
      </c>
      <c r="F855" s="58">
        <v>0</v>
      </c>
      <c r="G855" s="58">
        <v>0</v>
      </c>
      <c r="H855" s="58">
        <v>0</v>
      </c>
      <c r="I855" s="58">
        <v>0</v>
      </c>
      <c r="J855" s="58">
        <v>0</v>
      </c>
      <c r="K855" s="58">
        <v>0</v>
      </c>
      <c r="L855" s="58">
        <v>0</v>
      </c>
      <c r="M855" s="58">
        <v>4875</v>
      </c>
      <c r="N855" s="58">
        <v>15136.95</v>
      </c>
      <c r="O855" s="58">
        <v>15650</v>
      </c>
      <c r="P855" s="58" t="s">
        <v>2074</v>
      </c>
      <c r="Q855" s="58">
        <v>0</v>
      </c>
      <c r="R855" s="58">
        <v>0</v>
      </c>
      <c r="S855" s="58">
        <v>0</v>
      </c>
      <c r="T855" s="58">
        <v>0</v>
      </c>
      <c r="U855" s="58">
        <v>0</v>
      </c>
      <c r="V855" s="58">
        <v>0</v>
      </c>
      <c r="W855" s="58">
        <v>0</v>
      </c>
      <c r="X855" s="58">
        <v>0</v>
      </c>
      <c r="Y855" s="58">
        <v>0</v>
      </c>
      <c r="Z855" s="58">
        <v>4875</v>
      </c>
      <c r="AA855" s="58">
        <v>15136.95</v>
      </c>
      <c r="AE855" s="57"/>
    </row>
    <row r="856" spans="1:31" x14ac:dyDescent="0.35">
      <c r="A856" s="56" t="s">
        <v>924</v>
      </c>
      <c r="B856" s="58">
        <v>15650</v>
      </c>
      <c r="C856" s="58" t="s">
        <v>2071</v>
      </c>
      <c r="D856" s="58">
        <v>0</v>
      </c>
      <c r="E856" s="58">
        <v>0</v>
      </c>
      <c r="F856" s="58">
        <v>0</v>
      </c>
      <c r="G856" s="58">
        <v>0</v>
      </c>
      <c r="H856" s="58">
        <v>0</v>
      </c>
      <c r="I856" s="58">
        <v>0</v>
      </c>
      <c r="J856" s="58">
        <v>0</v>
      </c>
      <c r="K856" s="58">
        <v>0</v>
      </c>
      <c r="L856" s="58">
        <v>0</v>
      </c>
      <c r="M856" s="58">
        <v>4875</v>
      </c>
      <c r="N856" s="58">
        <v>15136.95</v>
      </c>
      <c r="O856" s="58">
        <v>15650</v>
      </c>
      <c r="P856" s="58" t="s">
        <v>2071</v>
      </c>
      <c r="Q856" s="58">
        <v>0</v>
      </c>
      <c r="R856" s="58">
        <v>0</v>
      </c>
      <c r="S856" s="58">
        <v>0</v>
      </c>
      <c r="T856" s="58">
        <v>0</v>
      </c>
      <c r="U856" s="58">
        <v>0</v>
      </c>
      <c r="V856" s="58">
        <v>0</v>
      </c>
      <c r="W856" s="58">
        <v>0</v>
      </c>
      <c r="X856" s="58">
        <v>0</v>
      </c>
      <c r="Y856" s="58">
        <v>0</v>
      </c>
      <c r="Z856" s="58">
        <v>0</v>
      </c>
      <c r="AA856" s="58">
        <v>15136.95</v>
      </c>
      <c r="AE856" s="57"/>
    </row>
    <row r="857" spans="1:31" x14ac:dyDescent="0.35">
      <c r="A857" s="56" t="s">
        <v>925</v>
      </c>
      <c r="B857" s="58">
        <v>15650</v>
      </c>
      <c r="C857" s="58" t="s">
        <v>33</v>
      </c>
      <c r="D857" s="58">
        <v>5</v>
      </c>
      <c r="E857" s="58">
        <v>0</v>
      </c>
      <c r="F857" s="58">
        <v>0</v>
      </c>
      <c r="G857" s="58">
        <v>0</v>
      </c>
      <c r="H857" s="58">
        <v>0</v>
      </c>
      <c r="I857" s="58">
        <v>0</v>
      </c>
      <c r="J857" s="58">
        <v>0</v>
      </c>
      <c r="K857" s="58">
        <v>0</v>
      </c>
      <c r="L857" s="58">
        <v>23625</v>
      </c>
      <c r="M857" s="58">
        <v>14850</v>
      </c>
      <c r="N857" s="58">
        <v>15136.95</v>
      </c>
      <c r="O857" s="58">
        <v>15650</v>
      </c>
      <c r="P857" s="58" t="s">
        <v>33</v>
      </c>
      <c r="Q857" s="58">
        <v>291</v>
      </c>
      <c r="R857" s="58">
        <v>-25</v>
      </c>
      <c r="S857" s="58">
        <v>-7.9113924050632916</v>
      </c>
      <c r="T857" s="58">
        <v>392</v>
      </c>
      <c r="U857" s="58">
        <v>16.079999999999998</v>
      </c>
      <c r="V857" s="58">
        <v>44.75</v>
      </c>
      <c r="W857" s="58">
        <v>-4.6499999999999986</v>
      </c>
      <c r="X857" s="58">
        <v>-9.4129554655870393</v>
      </c>
      <c r="Y857" s="58">
        <v>22050</v>
      </c>
      <c r="Z857" s="58">
        <v>16725</v>
      </c>
      <c r="AA857" s="58">
        <v>15136.95</v>
      </c>
      <c r="AE857" s="57"/>
    </row>
    <row r="858" spans="1:31" x14ac:dyDescent="0.35">
      <c r="A858" s="56" t="s">
        <v>926</v>
      </c>
      <c r="B858" s="58">
        <v>15700</v>
      </c>
      <c r="C858" s="58" t="s">
        <v>34</v>
      </c>
      <c r="D858" s="58">
        <v>4</v>
      </c>
      <c r="E858" s="58">
        <v>0</v>
      </c>
      <c r="F858" s="58">
        <v>0</v>
      </c>
      <c r="G858" s="58">
        <v>2</v>
      </c>
      <c r="H858" s="58">
        <v>32.5</v>
      </c>
      <c r="I858" s="58">
        <v>614.65</v>
      </c>
      <c r="J858" s="58">
        <v>4.6499999999999773</v>
      </c>
      <c r="K858" s="58">
        <v>0.76229508196720941</v>
      </c>
      <c r="L858" s="58">
        <v>18375</v>
      </c>
      <c r="M858" s="58">
        <v>12600</v>
      </c>
      <c r="N858" s="58">
        <v>15136.95</v>
      </c>
      <c r="O858" s="58">
        <v>15700</v>
      </c>
      <c r="P858" s="58" t="s">
        <v>34</v>
      </c>
      <c r="Q858" s="58">
        <v>7287</v>
      </c>
      <c r="R858" s="58">
        <v>358</v>
      </c>
      <c r="S858" s="58">
        <v>5.1666907201616397</v>
      </c>
      <c r="T858" s="58">
        <v>10381</v>
      </c>
      <c r="U858" s="58">
        <v>15.63</v>
      </c>
      <c r="V858" s="58">
        <v>7.6</v>
      </c>
      <c r="W858" s="58">
        <v>-3.25</v>
      </c>
      <c r="X858" s="58">
        <v>-29.953917050691249</v>
      </c>
      <c r="Y858" s="58">
        <v>252225</v>
      </c>
      <c r="Z858" s="58">
        <v>42075</v>
      </c>
      <c r="AA858" s="58">
        <v>15136.95</v>
      </c>
      <c r="AE858" s="57"/>
    </row>
    <row r="859" spans="1:31" x14ac:dyDescent="0.35">
      <c r="A859" s="56" t="s">
        <v>927</v>
      </c>
      <c r="B859" s="58">
        <v>15700</v>
      </c>
      <c r="C859" s="58" t="s">
        <v>33</v>
      </c>
      <c r="D859" s="58">
        <v>87</v>
      </c>
      <c r="E859" s="58">
        <v>1</v>
      </c>
      <c r="F859" s="58">
        <v>1.1627906976744189</v>
      </c>
      <c r="G859" s="58">
        <v>14</v>
      </c>
      <c r="H859" s="58">
        <v>22.76</v>
      </c>
      <c r="I859" s="58">
        <v>589.29999999999995</v>
      </c>
      <c r="J859" s="58">
        <v>-32.650000000000091</v>
      </c>
      <c r="K859" s="58">
        <v>-5.2496181365061645</v>
      </c>
      <c r="L859" s="58">
        <v>28875</v>
      </c>
      <c r="M859" s="58">
        <v>16200</v>
      </c>
      <c r="N859" s="58">
        <v>15136.95</v>
      </c>
      <c r="O859" s="58">
        <v>15700</v>
      </c>
      <c r="P859" s="58" t="s">
        <v>33</v>
      </c>
      <c r="Q859" s="58">
        <v>6546</v>
      </c>
      <c r="R859" s="58">
        <v>248</v>
      </c>
      <c r="S859" s="58">
        <v>3.9377580184185454</v>
      </c>
      <c r="T859" s="58">
        <v>3389</v>
      </c>
      <c r="U859" s="58">
        <v>16.079999999999998</v>
      </c>
      <c r="V859" s="58">
        <v>36.450000000000003</v>
      </c>
      <c r="W859" s="58">
        <v>-5.25</v>
      </c>
      <c r="X859" s="58">
        <v>-12.589928057553957</v>
      </c>
      <c r="Y859" s="58">
        <v>64725</v>
      </c>
      <c r="Z859" s="58">
        <v>41100</v>
      </c>
      <c r="AA859" s="58">
        <v>15136.95</v>
      </c>
      <c r="AE859" s="57"/>
    </row>
    <row r="860" spans="1:31" x14ac:dyDescent="0.35">
      <c r="A860" s="56" t="s">
        <v>928</v>
      </c>
      <c r="B860" s="58">
        <v>15700</v>
      </c>
      <c r="C860" s="58" t="s">
        <v>37</v>
      </c>
      <c r="D860" s="58">
        <v>0</v>
      </c>
      <c r="E860" s="58">
        <v>0</v>
      </c>
      <c r="F860" s="58">
        <v>0</v>
      </c>
      <c r="G860" s="58">
        <v>0</v>
      </c>
      <c r="H860" s="58">
        <v>0</v>
      </c>
      <c r="I860" s="58">
        <v>0</v>
      </c>
      <c r="J860" s="58">
        <v>0</v>
      </c>
      <c r="K860" s="58">
        <v>0</v>
      </c>
      <c r="L860" s="58">
        <v>4875</v>
      </c>
      <c r="M860" s="58">
        <v>4875</v>
      </c>
      <c r="N860" s="58">
        <v>15136.95</v>
      </c>
      <c r="O860" s="58">
        <v>15700</v>
      </c>
      <c r="P860" s="58" t="s">
        <v>37</v>
      </c>
      <c r="Q860" s="58">
        <v>0</v>
      </c>
      <c r="R860" s="58">
        <v>0</v>
      </c>
      <c r="S860" s="58">
        <v>0</v>
      </c>
      <c r="T860" s="58">
        <v>0</v>
      </c>
      <c r="U860" s="58">
        <v>0</v>
      </c>
      <c r="V860" s="58">
        <v>0</v>
      </c>
      <c r="W860" s="58">
        <v>0</v>
      </c>
      <c r="X860" s="58">
        <v>0</v>
      </c>
      <c r="Y860" s="58">
        <v>300</v>
      </c>
      <c r="Z860" s="58">
        <v>5475</v>
      </c>
      <c r="AA860" s="58">
        <v>15136.95</v>
      </c>
      <c r="AE860" s="57"/>
    </row>
    <row r="861" spans="1:31" x14ac:dyDescent="0.35">
      <c r="A861" s="56" t="s">
        <v>929</v>
      </c>
      <c r="B861" s="58">
        <v>15700</v>
      </c>
      <c r="C861" s="58" t="s">
        <v>38</v>
      </c>
      <c r="D861" s="58">
        <v>0</v>
      </c>
      <c r="E861" s="58">
        <v>0</v>
      </c>
      <c r="F861" s="58">
        <v>0</v>
      </c>
      <c r="G861" s="58">
        <v>0</v>
      </c>
      <c r="H861" s="58">
        <v>0</v>
      </c>
      <c r="I861" s="58">
        <v>0</v>
      </c>
      <c r="J861" s="58">
        <v>0</v>
      </c>
      <c r="K861" s="58">
        <v>0</v>
      </c>
      <c r="L861" s="58">
        <v>4875</v>
      </c>
      <c r="M861" s="58">
        <v>4875</v>
      </c>
      <c r="N861" s="58">
        <v>15136.95</v>
      </c>
      <c r="O861" s="58">
        <v>15700</v>
      </c>
      <c r="P861" s="58" t="s">
        <v>38</v>
      </c>
      <c r="Q861" s="58">
        <v>0</v>
      </c>
      <c r="R861" s="58">
        <v>0</v>
      </c>
      <c r="S861" s="58">
        <v>0</v>
      </c>
      <c r="T861" s="58">
        <v>0</v>
      </c>
      <c r="U861" s="58">
        <v>0</v>
      </c>
      <c r="V861" s="58">
        <v>0</v>
      </c>
      <c r="W861" s="58">
        <v>0</v>
      </c>
      <c r="X861" s="58">
        <v>0</v>
      </c>
      <c r="Y861" s="58">
        <v>300</v>
      </c>
      <c r="Z861" s="58">
        <v>0</v>
      </c>
      <c r="AA861" s="58">
        <v>15136.95</v>
      </c>
      <c r="AE861" s="57"/>
    </row>
    <row r="862" spans="1:31" x14ac:dyDescent="0.35">
      <c r="A862" s="56" t="s">
        <v>930</v>
      </c>
      <c r="B862" s="58">
        <v>15700</v>
      </c>
      <c r="C862" s="58" t="s">
        <v>26</v>
      </c>
      <c r="D862" s="58">
        <v>16</v>
      </c>
      <c r="E862" s="58">
        <v>0</v>
      </c>
      <c r="F862" s="58">
        <v>0</v>
      </c>
      <c r="G862" s="58">
        <v>0</v>
      </c>
      <c r="H862" s="58">
        <v>0</v>
      </c>
      <c r="I862" s="58">
        <v>0</v>
      </c>
      <c r="J862" s="58">
        <v>0</v>
      </c>
      <c r="K862" s="58">
        <v>0</v>
      </c>
      <c r="L862" s="58">
        <v>5250</v>
      </c>
      <c r="M862" s="58">
        <v>5325</v>
      </c>
      <c r="N862" s="58">
        <v>15136.95</v>
      </c>
      <c r="O862" s="58">
        <v>15700</v>
      </c>
      <c r="P862" s="58" t="s">
        <v>26</v>
      </c>
      <c r="Q862" s="58">
        <v>548</v>
      </c>
      <c r="R862" s="58">
        <v>86</v>
      </c>
      <c r="S862" s="58">
        <v>18.614718614718615</v>
      </c>
      <c r="T862" s="58">
        <v>299</v>
      </c>
      <c r="U862" s="58">
        <v>17.399999999999999</v>
      </c>
      <c r="V862" s="58">
        <v>204</v>
      </c>
      <c r="W862" s="58">
        <v>-3.5</v>
      </c>
      <c r="X862" s="58">
        <v>-1.6867469879518071</v>
      </c>
      <c r="Y862" s="58">
        <v>3600</v>
      </c>
      <c r="Z862" s="58">
        <v>4050</v>
      </c>
      <c r="AA862" s="58">
        <v>15136.95</v>
      </c>
      <c r="AE862" s="57"/>
    </row>
    <row r="863" spans="1:31" x14ac:dyDescent="0.35">
      <c r="A863" s="56" t="s">
        <v>931</v>
      </c>
      <c r="B863" s="58">
        <v>15700</v>
      </c>
      <c r="C863" s="58" t="s">
        <v>67</v>
      </c>
      <c r="D863" s="58">
        <v>0</v>
      </c>
      <c r="E863" s="58">
        <v>0</v>
      </c>
      <c r="F863" s="58">
        <v>0</v>
      </c>
      <c r="G863" s="58">
        <v>0</v>
      </c>
      <c r="H863" s="58">
        <v>0</v>
      </c>
      <c r="I863" s="58">
        <v>0</v>
      </c>
      <c r="J863" s="58">
        <v>0</v>
      </c>
      <c r="K863" s="58">
        <v>0</v>
      </c>
      <c r="L863" s="58">
        <v>0</v>
      </c>
      <c r="M863" s="58">
        <v>0</v>
      </c>
      <c r="N863" s="58">
        <v>15136.95</v>
      </c>
      <c r="O863" s="58">
        <v>15700</v>
      </c>
      <c r="P863" s="58" t="s">
        <v>67</v>
      </c>
      <c r="Q863" s="58">
        <v>0</v>
      </c>
      <c r="R863" s="58">
        <v>0</v>
      </c>
      <c r="S863" s="58">
        <v>0</v>
      </c>
      <c r="T863" s="58">
        <v>0</v>
      </c>
      <c r="U863" s="58">
        <v>0</v>
      </c>
      <c r="V863" s="58">
        <v>0</v>
      </c>
      <c r="W863" s="58">
        <v>0</v>
      </c>
      <c r="X863" s="58">
        <v>0</v>
      </c>
      <c r="Y863" s="58">
        <v>0</v>
      </c>
      <c r="Z863" s="58">
        <v>0</v>
      </c>
      <c r="AA863" s="58">
        <v>15136.95</v>
      </c>
      <c r="AE863" s="57"/>
    </row>
    <row r="864" spans="1:31" x14ac:dyDescent="0.35">
      <c r="A864" s="56" t="s">
        <v>932</v>
      </c>
      <c r="B864" s="58">
        <v>15700</v>
      </c>
      <c r="C864" s="58" t="s">
        <v>2074</v>
      </c>
      <c r="D864" s="58">
        <v>0</v>
      </c>
      <c r="E864" s="58">
        <v>0</v>
      </c>
      <c r="F864" s="58">
        <v>0</v>
      </c>
      <c r="G864" s="58">
        <v>0</v>
      </c>
      <c r="H864" s="58">
        <v>0</v>
      </c>
      <c r="I864" s="58">
        <v>0</v>
      </c>
      <c r="J864" s="58">
        <v>0</v>
      </c>
      <c r="K864" s="58">
        <v>0</v>
      </c>
      <c r="L864" s="58">
        <v>0</v>
      </c>
      <c r="M864" s="58">
        <v>4875</v>
      </c>
      <c r="N864" s="58">
        <v>15136.95</v>
      </c>
      <c r="O864" s="58">
        <v>15700</v>
      </c>
      <c r="P864" s="58" t="s">
        <v>2074</v>
      </c>
      <c r="Q864" s="58">
        <v>0</v>
      </c>
      <c r="R864" s="58">
        <v>0</v>
      </c>
      <c r="S864" s="58">
        <v>0</v>
      </c>
      <c r="T864" s="58">
        <v>0</v>
      </c>
      <c r="U864" s="58">
        <v>0</v>
      </c>
      <c r="V864" s="58">
        <v>0</v>
      </c>
      <c r="W864" s="58">
        <v>0</v>
      </c>
      <c r="X864" s="58">
        <v>0</v>
      </c>
      <c r="Y864" s="58">
        <v>0</v>
      </c>
      <c r="Z864" s="58">
        <v>4875</v>
      </c>
      <c r="AA864" s="58">
        <v>15136.95</v>
      </c>
      <c r="AE864" s="57"/>
    </row>
    <row r="865" spans="1:31" x14ac:dyDescent="0.35">
      <c r="A865" s="56" t="s">
        <v>933</v>
      </c>
      <c r="B865" s="58">
        <v>15700</v>
      </c>
      <c r="C865" s="58" t="s">
        <v>2071</v>
      </c>
      <c r="D865" s="58">
        <v>0</v>
      </c>
      <c r="E865" s="58">
        <v>0</v>
      </c>
      <c r="F865" s="58">
        <v>0</v>
      </c>
      <c r="G865" s="58">
        <v>0</v>
      </c>
      <c r="H865" s="58">
        <v>0</v>
      </c>
      <c r="I865" s="58">
        <v>0</v>
      </c>
      <c r="J865" s="58">
        <v>0</v>
      </c>
      <c r="K865" s="58">
        <v>0</v>
      </c>
      <c r="L865" s="58">
        <v>0</v>
      </c>
      <c r="M865" s="58">
        <v>4875</v>
      </c>
      <c r="N865" s="58">
        <v>15136.95</v>
      </c>
      <c r="O865" s="58">
        <v>15700</v>
      </c>
      <c r="P865" s="58" t="s">
        <v>2071</v>
      </c>
      <c r="Q865" s="58">
        <v>0</v>
      </c>
      <c r="R865" s="58">
        <v>0</v>
      </c>
      <c r="S865" s="58">
        <v>0</v>
      </c>
      <c r="T865" s="58">
        <v>0</v>
      </c>
      <c r="U865" s="58">
        <v>0</v>
      </c>
      <c r="V865" s="58">
        <v>0</v>
      </c>
      <c r="W865" s="58">
        <v>0</v>
      </c>
      <c r="X865" s="58">
        <v>0</v>
      </c>
      <c r="Y865" s="58">
        <v>1275</v>
      </c>
      <c r="Z865" s="58">
        <v>5100</v>
      </c>
      <c r="AA865" s="58">
        <v>15136.95</v>
      </c>
      <c r="AE865" s="57"/>
    </row>
    <row r="866" spans="1:31" x14ac:dyDescent="0.35">
      <c r="A866" s="56" t="s">
        <v>934</v>
      </c>
      <c r="B866" s="58">
        <v>15700</v>
      </c>
      <c r="C866" s="58" t="s">
        <v>35</v>
      </c>
      <c r="D866" s="58">
        <v>96</v>
      </c>
      <c r="E866" s="58">
        <v>12</v>
      </c>
      <c r="F866" s="58">
        <v>14.285714285714286</v>
      </c>
      <c r="G866" s="58">
        <v>44</v>
      </c>
      <c r="H866" s="58">
        <v>0</v>
      </c>
      <c r="I866" s="58">
        <v>548.04999999999995</v>
      </c>
      <c r="J866" s="58">
        <v>-68.650000000000091</v>
      </c>
      <c r="K866" s="58">
        <v>-11.131830711853429</v>
      </c>
      <c r="L866" s="58">
        <v>25575</v>
      </c>
      <c r="M866" s="58">
        <v>16800</v>
      </c>
      <c r="N866" s="58">
        <v>15136.95</v>
      </c>
      <c r="O866" s="58">
        <v>15700</v>
      </c>
      <c r="P866" s="58" t="s">
        <v>35</v>
      </c>
      <c r="Q866" s="58">
        <v>15468</v>
      </c>
      <c r="R866" s="58">
        <v>-2298</v>
      </c>
      <c r="S866" s="58">
        <v>-12.93481931779804</v>
      </c>
      <c r="T866" s="58">
        <v>17790</v>
      </c>
      <c r="U866" s="58">
        <v>26.59</v>
      </c>
      <c r="V866" s="58">
        <v>0.4</v>
      </c>
      <c r="W866" s="58">
        <v>-1.2999999999999998</v>
      </c>
      <c r="X866" s="58">
        <v>-76.470588235294116</v>
      </c>
      <c r="Y866" s="58">
        <v>1431900</v>
      </c>
      <c r="Z866" s="58">
        <v>196650</v>
      </c>
      <c r="AA866" s="58">
        <v>15136.95</v>
      </c>
      <c r="AE866" s="57"/>
    </row>
    <row r="867" spans="1:31" x14ac:dyDescent="0.35">
      <c r="A867" s="56" t="s">
        <v>935</v>
      </c>
      <c r="B867" s="58">
        <v>15700</v>
      </c>
      <c r="C867" s="58" t="s">
        <v>36</v>
      </c>
      <c r="D867" s="58">
        <v>0</v>
      </c>
      <c r="E867" s="58">
        <v>0</v>
      </c>
      <c r="F867" s="58">
        <v>0</v>
      </c>
      <c r="G867" s="58">
        <v>0</v>
      </c>
      <c r="H867" s="58">
        <v>0</v>
      </c>
      <c r="I867" s="58">
        <v>0</v>
      </c>
      <c r="J867" s="58">
        <v>0</v>
      </c>
      <c r="K867" s="58">
        <v>0</v>
      </c>
      <c r="L867" s="58">
        <v>4875</v>
      </c>
      <c r="M867" s="58">
        <v>0</v>
      </c>
      <c r="N867" s="58">
        <v>15136.95</v>
      </c>
      <c r="O867" s="58">
        <v>15700</v>
      </c>
      <c r="P867" s="58" t="s">
        <v>36</v>
      </c>
      <c r="Q867" s="58">
        <v>12</v>
      </c>
      <c r="R867" s="58">
        <v>3</v>
      </c>
      <c r="S867" s="58">
        <v>33.333333333333336</v>
      </c>
      <c r="T867" s="58">
        <v>13</v>
      </c>
      <c r="U867" s="58">
        <v>16.71</v>
      </c>
      <c r="V867" s="58">
        <v>80.3</v>
      </c>
      <c r="W867" s="58">
        <v>5.9500000000000028</v>
      </c>
      <c r="X867" s="58">
        <v>8.0026899798251563</v>
      </c>
      <c r="Y867" s="58">
        <v>600</v>
      </c>
      <c r="Z867" s="58">
        <v>675</v>
      </c>
      <c r="AA867" s="58">
        <v>15136.95</v>
      </c>
      <c r="AE867" s="57"/>
    </row>
    <row r="868" spans="1:31" x14ac:dyDescent="0.35">
      <c r="A868" s="56" t="s">
        <v>936</v>
      </c>
      <c r="B868" s="58">
        <v>15750</v>
      </c>
      <c r="C868" s="58" t="s">
        <v>33</v>
      </c>
      <c r="D868" s="58">
        <v>4</v>
      </c>
      <c r="E868" s="58">
        <v>0</v>
      </c>
      <c r="F868" s="58">
        <v>0</v>
      </c>
      <c r="G868" s="58">
        <v>0</v>
      </c>
      <c r="H868" s="58">
        <v>0</v>
      </c>
      <c r="I868" s="58">
        <v>0</v>
      </c>
      <c r="J868" s="58">
        <v>0</v>
      </c>
      <c r="K868" s="58">
        <v>0</v>
      </c>
      <c r="L868" s="58">
        <v>21000</v>
      </c>
      <c r="M868" s="58">
        <v>14250</v>
      </c>
      <c r="N868" s="58">
        <v>15136.95</v>
      </c>
      <c r="O868" s="58">
        <v>15750</v>
      </c>
      <c r="P868" s="58" t="s">
        <v>33</v>
      </c>
      <c r="Q868" s="58">
        <v>431</v>
      </c>
      <c r="R868" s="58">
        <v>66</v>
      </c>
      <c r="S868" s="58">
        <v>18.082191780821919</v>
      </c>
      <c r="T868" s="58">
        <v>247</v>
      </c>
      <c r="U868" s="58">
        <v>16.12</v>
      </c>
      <c r="V868" s="58">
        <v>31.5</v>
      </c>
      <c r="W868" s="58">
        <v>-3.4500000000000028</v>
      </c>
      <c r="X868" s="58">
        <v>-9.8712446351931415</v>
      </c>
      <c r="Y868" s="58">
        <v>66375</v>
      </c>
      <c r="Z868" s="58">
        <v>13725</v>
      </c>
      <c r="AA868" s="58">
        <v>15136.95</v>
      </c>
      <c r="AE868" s="57"/>
    </row>
    <row r="869" spans="1:31" x14ac:dyDescent="0.35">
      <c r="A869" s="56" t="s">
        <v>937</v>
      </c>
      <c r="B869" s="58">
        <v>15750</v>
      </c>
      <c r="C869" s="58" t="s">
        <v>37</v>
      </c>
      <c r="D869" s="58">
        <v>0</v>
      </c>
      <c r="E869" s="58">
        <v>0</v>
      </c>
      <c r="F869" s="58">
        <v>0</v>
      </c>
      <c r="G869" s="58">
        <v>0</v>
      </c>
      <c r="H869" s="58">
        <v>0</v>
      </c>
      <c r="I869" s="58">
        <v>0</v>
      </c>
      <c r="J869" s="58">
        <v>0</v>
      </c>
      <c r="K869" s="58">
        <v>0</v>
      </c>
      <c r="L869" s="58">
        <v>4875</v>
      </c>
      <c r="M869" s="58">
        <v>4875</v>
      </c>
      <c r="N869" s="58">
        <v>15136.95</v>
      </c>
      <c r="O869" s="58">
        <v>15750</v>
      </c>
      <c r="P869" s="58" t="s">
        <v>37</v>
      </c>
      <c r="Q869" s="58">
        <v>0</v>
      </c>
      <c r="R869" s="58">
        <v>0</v>
      </c>
      <c r="S869" s="58">
        <v>0</v>
      </c>
      <c r="T869" s="58">
        <v>0</v>
      </c>
      <c r="U869" s="58">
        <v>0</v>
      </c>
      <c r="V869" s="58">
        <v>0</v>
      </c>
      <c r="W869" s="58">
        <v>0</v>
      </c>
      <c r="X869" s="58">
        <v>0</v>
      </c>
      <c r="Y869" s="58">
        <v>0</v>
      </c>
      <c r="Z869" s="58">
        <v>4875</v>
      </c>
      <c r="AA869" s="58">
        <v>15136.95</v>
      </c>
      <c r="AE869" s="57"/>
    </row>
    <row r="870" spans="1:31" x14ac:dyDescent="0.35">
      <c r="A870" s="56" t="s">
        <v>938</v>
      </c>
      <c r="B870" s="58">
        <v>15750</v>
      </c>
      <c r="C870" s="58" t="s">
        <v>38</v>
      </c>
      <c r="D870" s="58">
        <v>0</v>
      </c>
      <c r="E870" s="58">
        <v>0</v>
      </c>
      <c r="F870" s="58">
        <v>0</v>
      </c>
      <c r="G870" s="58">
        <v>0</v>
      </c>
      <c r="H870" s="58">
        <v>0</v>
      </c>
      <c r="I870" s="58">
        <v>0</v>
      </c>
      <c r="J870" s="58">
        <v>0</v>
      </c>
      <c r="K870" s="58">
        <v>0</v>
      </c>
      <c r="L870" s="58">
        <v>4875</v>
      </c>
      <c r="M870" s="58">
        <v>4875</v>
      </c>
      <c r="N870" s="58">
        <v>15136.95</v>
      </c>
      <c r="O870" s="58">
        <v>15750</v>
      </c>
      <c r="P870" s="58" t="s">
        <v>38</v>
      </c>
      <c r="Q870" s="58">
        <v>0</v>
      </c>
      <c r="R870" s="58">
        <v>0</v>
      </c>
      <c r="S870" s="58">
        <v>0</v>
      </c>
      <c r="T870" s="58">
        <v>0</v>
      </c>
      <c r="U870" s="58">
        <v>0</v>
      </c>
      <c r="V870" s="58">
        <v>0</v>
      </c>
      <c r="W870" s="58">
        <v>0</v>
      </c>
      <c r="X870" s="58">
        <v>0</v>
      </c>
      <c r="Y870" s="58">
        <v>0</v>
      </c>
      <c r="Z870" s="58">
        <v>4875</v>
      </c>
      <c r="AA870" s="58">
        <v>15136.95</v>
      </c>
      <c r="AE870" s="57"/>
    </row>
    <row r="871" spans="1:31" x14ac:dyDescent="0.35">
      <c r="A871" s="56" t="s">
        <v>939</v>
      </c>
      <c r="B871" s="58">
        <v>15750</v>
      </c>
      <c r="C871" s="58" t="s">
        <v>26</v>
      </c>
      <c r="D871" s="58">
        <v>0</v>
      </c>
      <c r="E871" s="58">
        <v>0</v>
      </c>
      <c r="F871" s="58">
        <v>0</v>
      </c>
      <c r="G871" s="58">
        <v>0</v>
      </c>
      <c r="H871" s="58">
        <v>0</v>
      </c>
      <c r="I871" s="58">
        <v>0</v>
      </c>
      <c r="J871" s="58">
        <v>0</v>
      </c>
      <c r="K871" s="58">
        <v>0</v>
      </c>
      <c r="L871" s="58">
        <v>7725</v>
      </c>
      <c r="M871" s="58">
        <v>7725</v>
      </c>
      <c r="N871" s="58">
        <v>15136.95</v>
      </c>
      <c r="O871" s="58">
        <v>15750</v>
      </c>
      <c r="P871" s="58" t="s">
        <v>26</v>
      </c>
      <c r="Q871" s="58">
        <v>11</v>
      </c>
      <c r="R871" s="58">
        <v>4</v>
      </c>
      <c r="S871" s="58">
        <v>57.142857142857146</v>
      </c>
      <c r="T871" s="58">
        <v>11</v>
      </c>
      <c r="U871" s="58">
        <v>17.64</v>
      </c>
      <c r="V871" s="58">
        <v>192.65</v>
      </c>
      <c r="W871" s="58">
        <v>14.300000000000011</v>
      </c>
      <c r="X871" s="58">
        <v>8.0179422483880067</v>
      </c>
      <c r="Y871" s="58">
        <v>675</v>
      </c>
      <c r="Z871" s="58">
        <v>675</v>
      </c>
      <c r="AA871" s="58">
        <v>15136.95</v>
      </c>
      <c r="AE871" s="57"/>
    </row>
    <row r="872" spans="1:31" x14ac:dyDescent="0.35">
      <c r="A872" s="56" t="s">
        <v>940</v>
      </c>
      <c r="B872" s="58">
        <v>15750</v>
      </c>
      <c r="C872" s="58" t="s">
        <v>67</v>
      </c>
      <c r="D872" s="58">
        <v>0</v>
      </c>
      <c r="E872" s="58">
        <v>0</v>
      </c>
      <c r="F872" s="58">
        <v>0</v>
      </c>
      <c r="G872" s="58">
        <v>0</v>
      </c>
      <c r="H872" s="58">
        <v>0</v>
      </c>
      <c r="I872" s="58">
        <v>0</v>
      </c>
      <c r="J872" s="58">
        <v>0</v>
      </c>
      <c r="K872" s="58">
        <v>0</v>
      </c>
      <c r="L872" s="58">
        <v>0</v>
      </c>
      <c r="M872" s="58">
        <v>0</v>
      </c>
      <c r="N872" s="58">
        <v>15136.95</v>
      </c>
      <c r="O872" s="58">
        <v>15750</v>
      </c>
      <c r="P872" s="58" t="s">
        <v>67</v>
      </c>
      <c r="Q872" s="58">
        <v>0</v>
      </c>
      <c r="R872" s="58">
        <v>0</v>
      </c>
      <c r="S872" s="58">
        <v>0</v>
      </c>
      <c r="T872" s="58">
        <v>0</v>
      </c>
      <c r="U872" s="58">
        <v>0</v>
      </c>
      <c r="V872" s="58">
        <v>0</v>
      </c>
      <c r="W872" s="58">
        <v>0</v>
      </c>
      <c r="X872" s="58">
        <v>0</v>
      </c>
      <c r="Y872" s="58">
        <v>0</v>
      </c>
      <c r="Z872" s="58">
        <v>4875</v>
      </c>
      <c r="AA872" s="58">
        <v>15136.95</v>
      </c>
      <c r="AE872" s="57"/>
    </row>
    <row r="873" spans="1:31" x14ac:dyDescent="0.35">
      <c r="A873" s="56" t="s">
        <v>941</v>
      </c>
      <c r="B873" s="58">
        <v>15750</v>
      </c>
      <c r="C873" s="58" t="s">
        <v>2074</v>
      </c>
      <c r="D873" s="58">
        <v>0</v>
      </c>
      <c r="E873" s="58">
        <v>0</v>
      </c>
      <c r="F873" s="58">
        <v>0</v>
      </c>
      <c r="G873" s="58">
        <v>0</v>
      </c>
      <c r="H873" s="58">
        <v>0</v>
      </c>
      <c r="I873" s="58">
        <v>0</v>
      </c>
      <c r="J873" s="58">
        <v>0</v>
      </c>
      <c r="K873" s="58">
        <v>0</v>
      </c>
      <c r="L873" s="58">
        <v>0</v>
      </c>
      <c r="M873" s="58">
        <v>4875</v>
      </c>
      <c r="N873" s="58">
        <v>15136.95</v>
      </c>
      <c r="O873" s="58">
        <v>15750</v>
      </c>
      <c r="P873" s="58" t="s">
        <v>2074</v>
      </c>
      <c r="Q873" s="58">
        <v>0</v>
      </c>
      <c r="R873" s="58">
        <v>0</v>
      </c>
      <c r="S873" s="58">
        <v>0</v>
      </c>
      <c r="T873" s="58">
        <v>0</v>
      </c>
      <c r="U873" s="58">
        <v>0</v>
      </c>
      <c r="V873" s="58">
        <v>0</v>
      </c>
      <c r="W873" s="58">
        <v>0</v>
      </c>
      <c r="X873" s="58">
        <v>0</v>
      </c>
      <c r="Y873" s="58">
        <v>0</v>
      </c>
      <c r="Z873" s="58">
        <v>4875</v>
      </c>
      <c r="AA873" s="58">
        <v>15136.95</v>
      </c>
      <c r="AE873" s="57"/>
    </row>
    <row r="874" spans="1:31" x14ac:dyDescent="0.35">
      <c r="A874" s="56" t="s">
        <v>942</v>
      </c>
      <c r="B874" s="58">
        <v>15750</v>
      </c>
      <c r="C874" s="58" t="s">
        <v>2071</v>
      </c>
      <c r="D874" s="58">
        <v>0</v>
      </c>
      <c r="E874" s="58">
        <v>0</v>
      </c>
      <c r="F874" s="58">
        <v>0</v>
      </c>
      <c r="G874" s="58">
        <v>0</v>
      </c>
      <c r="H874" s="58">
        <v>0</v>
      </c>
      <c r="I874" s="58">
        <v>0</v>
      </c>
      <c r="J874" s="58">
        <v>0</v>
      </c>
      <c r="K874" s="58">
        <v>0</v>
      </c>
      <c r="L874" s="58">
        <v>0</v>
      </c>
      <c r="M874" s="58">
        <v>4875</v>
      </c>
      <c r="N874" s="58">
        <v>15136.95</v>
      </c>
      <c r="O874" s="58">
        <v>15750</v>
      </c>
      <c r="P874" s="58" t="s">
        <v>2071</v>
      </c>
      <c r="Q874" s="58">
        <v>0</v>
      </c>
      <c r="R874" s="58">
        <v>0</v>
      </c>
      <c r="S874" s="58">
        <v>0</v>
      </c>
      <c r="T874" s="58">
        <v>0</v>
      </c>
      <c r="U874" s="58">
        <v>0</v>
      </c>
      <c r="V874" s="58">
        <v>0</v>
      </c>
      <c r="W874" s="58">
        <v>0</v>
      </c>
      <c r="X874" s="58">
        <v>0</v>
      </c>
      <c r="Y874" s="58">
        <v>0</v>
      </c>
      <c r="Z874" s="58">
        <v>0</v>
      </c>
      <c r="AA874" s="58">
        <v>15136.95</v>
      </c>
      <c r="AE874" s="57"/>
    </row>
    <row r="875" spans="1:31" x14ac:dyDescent="0.35">
      <c r="A875" s="56" t="s">
        <v>943</v>
      </c>
      <c r="B875" s="58">
        <v>15750</v>
      </c>
      <c r="C875" s="58" t="s">
        <v>34</v>
      </c>
      <c r="D875" s="58">
        <v>0</v>
      </c>
      <c r="E875" s="58">
        <v>0</v>
      </c>
      <c r="F875" s="58">
        <v>0</v>
      </c>
      <c r="G875" s="58">
        <v>0</v>
      </c>
      <c r="H875" s="58">
        <v>0</v>
      </c>
      <c r="I875" s="58">
        <v>0</v>
      </c>
      <c r="J875" s="58">
        <v>0</v>
      </c>
      <c r="K875" s="58">
        <v>0</v>
      </c>
      <c r="L875" s="58">
        <v>19125</v>
      </c>
      <c r="M875" s="58">
        <v>10350</v>
      </c>
      <c r="N875" s="58">
        <v>15136.95</v>
      </c>
      <c r="O875" s="58">
        <v>15750</v>
      </c>
      <c r="P875" s="58" t="s">
        <v>34</v>
      </c>
      <c r="Q875" s="58">
        <v>904</v>
      </c>
      <c r="R875" s="58">
        <v>23</v>
      </c>
      <c r="S875" s="58">
        <v>2.6106696935300793</v>
      </c>
      <c r="T875" s="58">
        <v>1252</v>
      </c>
      <c r="U875" s="58">
        <v>15.98</v>
      </c>
      <c r="V875" s="58">
        <v>6.2</v>
      </c>
      <c r="W875" s="58">
        <v>-2.4500000000000002</v>
      </c>
      <c r="X875" s="58">
        <v>-28.323699421965319</v>
      </c>
      <c r="Y875" s="58">
        <v>92550</v>
      </c>
      <c r="Z875" s="58">
        <v>19350</v>
      </c>
      <c r="AA875" s="58">
        <v>15136.95</v>
      </c>
      <c r="AE875" s="57"/>
    </row>
    <row r="876" spans="1:31" x14ac:dyDescent="0.35">
      <c r="A876" s="56" t="s">
        <v>944</v>
      </c>
      <c r="B876" s="58">
        <v>15750</v>
      </c>
      <c r="C876" s="58" t="s">
        <v>36</v>
      </c>
      <c r="D876" s="58">
        <v>0</v>
      </c>
      <c r="E876" s="58">
        <v>0</v>
      </c>
      <c r="F876" s="58">
        <v>0</v>
      </c>
      <c r="G876" s="58">
        <v>0</v>
      </c>
      <c r="H876" s="58">
        <v>0</v>
      </c>
      <c r="I876" s="58">
        <v>0</v>
      </c>
      <c r="J876" s="58">
        <v>0</v>
      </c>
      <c r="K876" s="58">
        <v>0</v>
      </c>
      <c r="L876" s="58">
        <v>4875</v>
      </c>
      <c r="M876" s="58">
        <v>0</v>
      </c>
      <c r="N876" s="58">
        <v>15136.95</v>
      </c>
      <c r="O876" s="58">
        <v>15750</v>
      </c>
      <c r="P876" s="58" t="s">
        <v>36</v>
      </c>
      <c r="Q876" s="58">
        <v>0</v>
      </c>
      <c r="R876" s="58">
        <v>0</v>
      </c>
      <c r="S876" s="58">
        <v>0</v>
      </c>
      <c r="T876" s="58">
        <v>0</v>
      </c>
      <c r="U876" s="58">
        <v>0</v>
      </c>
      <c r="V876" s="58">
        <v>0</v>
      </c>
      <c r="W876" s="58">
        <v>0</v>
      </c>
      <c r="X876" s="58">
        <v>0</v>
      </c>
      <c r="Y876" s="58">
        <v>0</v>
      </c>
      <c r="Z876" s="58">
        <v>0</v>
      </c>
      <c r="AA876" s="58">
        <v>15136.95</v>
      </c>
      <c r="AE876" s="57"/>
    </row>
    <row r="877" spans="1:31" x14ac:dyDescent="0.35">
      <c r="A877" s="56" t="s">
        <v>945</v>
      </c>
      <c r="B877" s="58">
        <v>15750</v>
      </c>
      <c r="C877" s="58" t="s">
        <v>35</v>
      </c>
      <c r="D877" s="58">
        <v>3</v>
      </c>
      <c r="E877" s="58">
        <v>0</v>
      </c>
      <c r="F877" s="58">
        <v>0</v>
      </c>
      <c r="G877" s="58">
        <v>0</v>
      </c>
      <c r="H877" s="58">
        <v>0</v>
      </c>
      <c r="I877" s="58">
        <v>0</v>
      </c>
      <c r="J877" s="58">
        <v>0</v>
      </c>
      <c r="K877" s="58">
        <v>0</v>
      </c>
      <c r="L877" s="58">
        <v>19275</v>
      </c>
      <c r="M877" s="58">
        <v>15375</v>
      </c>
      <c r="N877" s="58">
        <v>15136.95</v>
      </c>
      <c r="O877" s="58">
        <v>15750</v>
      </c>
      <c r="P877" s="58" t="s">
        <v>35</v>
      </c>
      <c r="Q877" s="58">
        <v>1440</v>
      </c>
      <c r="R877" s="58">
        <v>-98</v>
      </c>
      <c r="S877" s="58">
        <v>-6.3719115734720413</v>
      </c>
      <c r="T877" s="58">
        <v>897</v>
      </c>
      <c r="U877" s="58">
        <v>28.68</v>
      </c>
      <c r="V877" s="58">
        <v>0.35</v>
      </c>
      <c r="W877" s="58">
        <v>-1.35</v>
      </c>
      <c r="X877" s="58">
        <v>-79.411764705882362</v>
      </c>
      <c r="Y877" s="58">
        <v>89250</v>
      </c>
      <c r="Z877" s="58">
        <v>79200</v>
      </c>
      <c r="AA877" s="58">
        <v>15136.95</v>
      </c>
      <c r="AE877" s="57"/>
    </row>
    <row r="878" spans="1:31" x14ac:dyDescent="0.35">
      <c r="A878" s="56" t="s">
        <v>946</v>
      </c>
      <c r="B878" s="58">
        <v>15800</v>
      </c>
      <c r="C878" s="58" t="s">
        <v>33</v>
      </c>
      <c r="D878" s="58">
        <v>315</v>
      </c>
      <c r="E878" s="58">
        <v>11</v>
      </c>
      <c r="F878" s="58">
        <v>3.6184210526315792</v>
      </c>
      <c r="G878" s="58">
        <v>71</v>
      </c>
      <c r="H878" s="58">
        <v>22.67</v>
      </c>
      <c r="I878" s="58">
        <v>667.5</v>
      </c>
      <c r="J878" s="58">
        <v>-47</v>
      </c>
      <c r="K878" s="58">
        <v>-6.5780265920223933</v>
      </c>
      <c r="L878" s="58">
        <v>26850</v>
      </c>
      <c r="M878" s="58">
        <v>19125</v>
      </c>
      <c r="N878" s="58">
        <v>15136.95</v>
      </c>
      <c r="O878" s="58">
        <v>15800</v>
      </c>
      <c r="P878" s="58" t="s">
        <v>33</v>
      </c>
      <c r="Q878" s="58">
        <v>8148</v>
      </c>
      <c r="R878" s="58">
        <v>437</v>
      </c>
      <c r="S878" s="58">
        <v>5.6672286344183638</v>
      </c>
      <c r="T878" s="58">
        <v>3787</v>
      </c>
      <c r="U878" s="58">
        <v>16.18</v>
      </c>
      <c r="V878" s="58">
        <v>25.4</v>
      </c>
      <c r="W878" s="58">
        <v>-4.0500000000000007</v>
      </c>
      <c r="X878" s="58">
        <v>-13.752122241086589</v>
      </c>
      <c r="Y878" s="58">
        <v>99375</v>
      </c>
      <c r="Z878" s="58">
        <v>44775</v>
      </c>
      <c r="AA878" s="58">
        <v>15136.95</v>
      </c>
      <c r="AE878" s="57"/>
    </row>
    <row r="879" spans="1:31" x14ac:dyDescent="0.35">
      <c r="A879" s="56" t="s">
        <v>947</v>
      </c>
      <c r="B879" s="58">
        <v>15800</v>
      </c>
      <c r="C879" s="58" t="s">
        <v>36</v>
      </c>
      <c r="D879" s="58">
        <v>0</v>
      </c>
      <c r="E879" s="58">
        <v>0</v>
      </c>
      <c r="F879" s="58">
        <v>0</v>
      </c>
      <c r="G879" s="58">
        <v>0</v>
      </c>
      <c r="H879" s="58">
        <v>0</v>
      </c>
      <c r="I879" s="58">
        <v>0</v>
      </c>
      <c r="J879" s="58">
        <v>0</v>
      </c>
      <c r="K879" s="58">
        <v>0</v>
      </c>
      <c r="L879" s="58">
        <v>4875</v>
      </c>
      <c r="M879" s="58">
        <v>4875</v>
      </c>
      <c r="N879" s="58">
        <v>15136.95</v>
      </c>
      <c r="O879" s="58">
        <v>15800</v>
      </c>
      <c r="P879" s="58" t="s">
        <v>36</v>
      </c>
      <c r="Q879" s="58">
        <v>0</v>
      </c>
      <c r="R879" s="58">
        <v>0</v>
      </c>
      <c r="S879" s="58">
        <v>0</v>
      </c>
      <c r="T879" s="58">
        <v>0</v>
      </c>
      <c r="U879" s="58">
        <v>0</v>
      </c>
      <c r="V879" s="58">
        <v>0</v>
      </c>
      <c r="W879" s="58">
        <v>0</v>
      </c>
      <c r="X879" s="58">
        <v>0</v>
      </c>
      <c r="Y879" s="58">
        <v>2700</v>
      </c>
      <c r="Z879" s="58">
        <v>5775</v>
      </c>
      <c r="AA879" s="58">
        <v>15136.95</v>
      </c>
      <c r="AE879" s="57"/>
    </row>
    <row r="880" spans="1:31" x14ac:dyDescent="0.35">
      <c r="A880" s="56" t="s">
        <v>948</v>
      </c>
      <c r="B880" s="58">
        <v>15800</v>
      </c>
      <c r="C880" s="58" t="s">
        <v>37</v>
      </c>
      <c r="D880" s="58">
        <v>0</v>
      </c>
      <c r="E880" s="58">
        <v>0</v>
      </c>
      <c r="F880" s="58">
        <v>0</v>
      </c>
      <c r="G880" s="58">
        <v>0</v>
      </c>
      <c r="H880" s="58">
        <v>0</v>
      </c>
      <c r="I880" s="58">
        <v>0</v>
      </c>
      <c r="J880" s="58">
        <v>0</v>
      </c>
      <c r="K880" s="58">
        <v>0</v>
      </c>
      <c r="L880" s="58">
        <v>4875</v>
      </c>
      <c r="M880" s="58">
        <v>4875</v>
      </c>
      <c r="N880" s="58">
        <v>15136.95</v>
      </c>
      <c r="O880" s="58">
        <v>15800</v>
      </c>
      <c r="P880" s="58" t="s">
        <v>37</v>
      </c>
      <c r="Q880" s="58">
        <v>0</v>
      </c>
      <c r="R880" s="58">
        <v>0</v>
      </c>
      <c r="S880" s="58">
        <v>0</v>
      </c>
      <c r="T880" s="58">
        <v>0</v>
      </c>
      <c r="U880" s="58">
        <v>0</v>
      </c>
      <c r="V880" s="58">
        <v>0</v>
      </c>
      <c r="W880" s="58">
        <v>0</v>
      </c>
      <c r="X880" s="58">
        <v>0</v>
      </c>
      <c r="Y880" s="58">
        <v>600</v>
      </c>
      <c r="Z880" s="58">
        <v>5475</v>
      </c>
      <c r="AA880" s="58">
        <v>15136.95</v>
      </c>
      <c r="AE880" s="57"/>
    </row>
    <row r="881" spans="1:31" x14ac:dyDescent="0.35">
      <c r="A881" s="56" t="s">
        <v>949</v>
      </c>
      <c r="B881" s="58">
        <v>15800</v>
      </c>
      <c r="C881" s="58" t="s">
        <v>38</v>
      </c>
      <c r="D881" s="58">
        <v>0</v>
      </c>
      <c r="E881" s="58">
        <v>0</v>
      </c>
      <c r="F881" s="58">
        <v>0</v>
      </c>
      <c r="G881" s="58">
        <v>0</v>
      </c>
      <c r="H881" s="58">
        <v>0</v>
      </c>
      <c r="I881" s="58">
        <v>0</v>
      </c>
      <c r="J881" s="58">
        <v>0</v>
      </c>
      <c r="K881" s="58">
        <v>0</v>
      </c>
      <c r="L881" s="58">
        <v>4875</v>
      </c>
      <c r="M881" s="58">
        <v>4875</v>
      </c>
      <c r="N881" s="58">
        <v>15136.95</v>
      </c>
      <c r="O881" s="58">
        <v>15800</v>
      </c>
      <c r="P881" s="58" t="s">
        <v>38</v>
      </c>
      <c r="Q881" s="58">
        <v>0</v>
      </c>
      <c r="R881" s="58">
        <v>0</v>
      </c>
      <c r="S881" s="58">
        <v>0</v>
      </c>
      <c r="T881" s="58">
        <v>0</v>
      </c>
      <c r="U881" s="58">
        <v>0</v>
      </c>
      <c r="V881" s="58">
        <v>0</v>
      </c>
      <c r="W881" s="58">
        <v>0</v>
      </c>
      <c r="X881" s="58">
        <v>0</v>
      </c>
      <c r="Y881" s="58">
        <v>675</v>
      </c>
      <c r="Z881" s="58">
        <v>0</v>
      </c>
      <c r="AA881" s="58">
        <v>15136.95</v>
      </c>
      <c r="AE881" s="57"/>
    </row>
    <row r="882" spans="1:31" x14ac:dyDescent="0.35">
      <c r="A882" s="56" t="s">
        <v>950</v>
      </c>
      <c r="B882" s="58">
        <v>15800</v>
      </c>
      <c r="C882" s="58" t="s">
        <v>26</v>
      </c>
      <c r="D882" s="58">
        <v>4</v>
      </c>
      <c r="E882" s="58">
        <v>0</v>
      </c>
      <c r="F882" s="58">
        <v>0</v>
      </c>
      <c r="G882" s="58">
        <v>1</v>
      </c>
      <c r="H882" s="58">
        <v>24.42</v>
      </c>
      <c r="I882" s="58">
        <v>780</v>
      </c>
      <c r="J882" s="58">
        <v>-20.200000000000045</v>
      </c>
      <c r="K882" s="58">
        <v>-2.5243689077730624</v>
      </c>
      <c r="L882" s="58">
        <v>10125</v>
      </c>
      <c r="M882" s="58">
        <v>10050</v>
      </c>
      <c r="N882" s="58">
        <v>15136.95</v>
      </c>
      <c r="O882" s="58">
        <v>15800</v>
      </c>
      <c r="P882" s="58" t="s">
        <v>26</v>
      </c>
      <c r="Q882" s="58">
        <v>643</v>
      </c>
      <c r="R882" s="58">
        <v>73</v>
      </c>
      <c r="S882" s="58">
        <v>12.807017543859647</v>
      </c>
      <c r="T882" s="58">
        <v>436</v>
      </c>
      <c r="U882" s="58">
        <v>17.350000000000001</v>
      </c>
      <c r="V882" s="58">
        <v>169</v>
      </c>
      <c r="W882" s="58">
        <v>1.1500000000000057</v>
      </c>
      <c r="X882" s="58">
        <v>0.68513553768245805</v>
      </c>
      <c r="Y882" s="58">
        <v>3150</v>
      </c>
      <c r="Z882" s="58">
        <v>5325</v>
      </c>
      <c r="AA882" s="58">
        <v>15136.95</v>
      </c>
      <c r="AE882" s="57"/>
    </row>
    <row r="883" spans="1:31" x14ac:dyDescent="0.35">
      <c r="A883" s="56" t="s">
        <v>951</v>
      </c>
      <c r="B883" s="58">
        <v>15800</v>
      </c>
      <c r="C883" s="58" t="s">
        <v>35</v>
      </c>
      <c r="D883" s="58">
        <v>14</v>
      </c>
      <c r="E883" s="58">
        <v>0</v>
      </c>
      <c r="F883" s="58">
        <v>0</v>
      </c>
      <c r="G883" s="58">
        <v>13</v>
      </c>
      <c r="H883" s="58">
        <v>39.86</v>
      </c>
      <c r="I883" s="58">
        <v>653.15</v>
      </c>
      <c r="J883" s="58">
        <v>-26.350000000000023</v>
      </c>
      <c r="K883" s="58">
        <v>-3.8778513612950731</v>
      </c>
      <c r="L883" s="58">
        <v>20925</v>
      </c>
      <c r="M883" s="58">
        <v>16275</v>
      </c>
      <c r="N883" s="58">
        <v>15136.95</v>
      </c>
      <c r="O883" s="58">
        <v>15800</v>
      </c>
      <c r="P883" s="58" t="s">
        <v>35</v>
      </c>
      <c r="Q883" s="58">
        <v>12167</v>
      </c>
      <c r="R883" s="58">
        <v>-1263</v>
      </c>
      <c r="S883" s="58">
        <v>-9.4043186895011157</v>
      </c>
      <c r="T883" s="58">
        <v>9135</v>
      </c>
      <c r="U883" s="58">
        <v>30.75</v>
      </c>
      <c r="V883" s="58">
        <v>0.35</v>
      </c>
      <c r="W883" s="58">
        <v>-1.25</v>
      </c>
      <c r="X883" s="58">
        <v>-78.125</v>
      </c>
      <c r="Y883" s="58">
        <v>803625</v>
      </c>
      <c r="Z883" s="58">
        <v>126525</v>
      </c>
      <c r="AA883" s="58">
        <v>15136.95</v>
      </c>
      <c r="AE883" s="57"/>
    </row>
    <row r="884" spans="1:31" x14ac:dyDescent="0.35">
      <c r="A884" s="56" t="s">
        <v>952</v>
      </c>
      <c r="B884" s="58">
        <v>15800</v>
      </c>
      <c r="C884" s="58" t="s">
        <v>2074</v>
      </c>
      <c r="D884" s="58">
        <v>0</v>
      </c>
      <c r="E884" s="58">
        <v>0</v>
      </c>
      <c r="F884" s="58">
        <v>0</v>
      </c>
      <c r="G884" s="58">
        <v>0</v>
      </c>
      <c r="H884" s="58">
        <v>0</v>
      </c>
      <c r="I884" s="58">
        <v>0</v>
      </c>
      <c r="J884" s="58">
        <v>0</v>
      </c>
      <c r="K884" s="58">
        <v>0</v>
      </c>
      <c r="L884" s="58">
        <v>0</v>
      </c>
      <c r="M884" s="58">
        <v>4875</v>
      </c>
      <c r="N884" s="58">
        <v>15136.95</v>
      </c>
      <c r="O884" s="58">
        <v>15800</v>
      </c>
      <c r="P884" s="58" t="s">
        <v>2074</v>
      </c>
      <c r="Q884" s="58">
        <v>0</v>
      </c>
      <c r="R884" s="58">
        <v>0</v>
      </c>
      <c r="S884" s="58">
        <v>0</v>
      </c>
      <c r="T884" s="58">
        <v>0</v>
      </c>
      <c r="U884" s="58">
        <v>0</v>
      </c>
      <c r="V884" s="58">
        <v>0</v>
      </c>
      <c r="W884" s="58">
        <v>0</v>
      </c>
      <c r="X884" s="58">
        <v>0</v>
      </c>
      <c r="Y884" s="58">
        <v>0</v>
      </c>
      <c r="Z884" s="58">
        <v>4875</v>
      </c>
      <c r="AA884" s="58">
        <v>15136.95</v>
      </c>
      <c r="AE884" s="57"/>
    </row>
    <row r="885" spans="1:31" x14ac:dyDescent="0.35">
      <c r="A885" s="56" t="s">
        <v>953</v>
      </c>
      <c r="B885" s="58">
        <v>15800</v>
      </c>
      <c r="C885" s="58" t="s">
        <v>2071</v>
      </c>
      <c r="D885" s="58">
        <v>0</v>
      </c>
      <c r="E885" s="58">
        <v>0</v>
      </c>
      <c r="F885" s="58">
        <v>0</v>
      </c>
      <c r="G885" s="58">
        <v>0</v>
      </c>
      <c r="H885" s="58">
        <v>0</v>
      </c>
      <c r="I885" s="58">
        <v>0</v>
      </c>
      <c r="J885" s="58">
        <v>0</v>
      </c>
      <c r="K885" s="58">
        <v>0</v>
      </c>
      <c r="L885" s="58">
        <v>0</v>
      </c>
      <c r="M885" s="58">
        <v>4875</v>
      </c>
      <c r="N885" s="58">
        <v>15136.95</v>
      </c>
      <c r="O885" s="58">
        <v>15800</v>
      </c>
      <c r="P885" s="58" t="s">
        <v>2071</v>
      </c>
      <c r="Q885" s="58">
        <v>0</v>
      </c>
      <c r="R885" s="58">
        <v>0</v>
      </c>
      <c r="S885" s="58">
        <v>0</v>
      </c>
      <c r="T885" s="58">
        <v>0</v>
      </c>
      <c r="U885" s="58">
        <v>0</v>
      </c>
      <c r="V885" s="58">
        <v>0</v>
      </c>
      <c r="W885" s="58">
        <v>0</v>
      </c>
      <c r="X885" s="58">
        <v>0</v>
      </c>
      <c r="Y885" s="58">
        <v>12450</v>
      </c>
      <c r="Z885" s="58">
        <v>0</v>
      </c>
      <c r="AA885" s="58">
        <v>15136.95</v>
      </c>
      <c r="AE885" s="57"/>
    </row>
    <row r="886" spans="1:31" x14ac:dyDescent="0.35">
      <c r="A886" s="56" t="s">
        <v>954</v>
      </c>
      <c r="B886" s="58">
        <v>15800</v>
      </c>
      <c r="C886" s="58" t="s">
        <v>34</v>
      </c>
      <c r="D886" s="58">
        <v>1</v>
      </c>
      <c r="E886" s="58">
        <v>1</v>
      </c>
      <c r="F886" s="58">
        <v>0</v>
      </c>
      <c r="G886" s="58">
        <v>4</v>
      </c>
      <c r="H886" s="58">
        <v>25.86</v>
      </c>
      <c r="I886" s="58">
        <v>660.45</v>
      </c>
      <c r="J886" s="58">
        <v>53.450000000000045</v>
      </c>
      <c r="K886" s="58">
        <v>8.8056013179571728</v>
      </c>
      <c r="L886" s="58">
        <v>13650</v>
      </c>
      <c r="M886" s="58">
        <v>11925</v>
      </c>
      <c r="N886" s="58">
        <v>15136.95</v>
      </c>
      <c r="O886" s="58">
        <v>15800</v>
      </c>
      <c r="P886" s="58" t="s">
        <v>34</v>
      </c>
      <c r="Q886" s="58">
        <v>6335</v>
      </c>
      <c r="R886" s="58">
        <v>2025</v>
      </c>
      <c r="S886" s="58">
        <v>46.983758700696058</v>
      </c>
      <c r="T886" s="58">
        <v>8246</v>
      </c>
      <c r="U886" s="58">
        <v>16.38</v>
      </c>
      <c r="V886" s="58">
        <v>5</v>
      </c>
      <c r="W886" s="58">
        <v>-2.2000000000000002</v>
      </c>
      <c r="X886" s="58">
        <v>-30.555555555555557</v>
      </c>
      <c r="Y886" s="58">
        <v>300000</v>
      </c>
      <c r="Z886" s="58">
        <v>41775</v>
      </c>
      <c r="AA886" s="58">
        <v>15136.95</v>
      </c>
      <c r="AE886" s="57"/>
    </row>
    <row r="887" spans="1:31" x14ac:dyDescent="0.35">
      <c r="A887" s="56" t="s">
        <v>955</v>
      </c>
      <c r="B887" s="58">
        <v>15800</v>
      </c>
      <c r="C887" s="58" t="s">
        <v>67</v>
      </c>
      <c r="D887" s="58">
        <v>0</v>
      </c>
      <c r="E887" s="58">
        <v>0</v>
      </c>
      <c r="F887" s="58">
        <v>0</v>
      </c>
      <c r="G887" s="58">
        <v>0</v>
      </c>
      <c r="H887" s="58">
        <v>0</v>
      </c>
      <c r="I887" s="58">
        <v>0</v>
      </c>
      <c r="J887" s="58">
        <v>0</v>
      </c>
      <c r="K887" s="58">
        <v>0</v>
      </c>
      <c r="L887" s="58">
        <v>4875</v>
      </c>
      <c r="M887" s="58">
        <v>0</v>
      </c>
      <c r="N887" s="58">
        <v>15136.95</v>
      </c>
      <c r="O887" s="58">
        <v>15800</v>
      </c>
      <c r="P887" s="58" t="s">
        <v>67</v>
      </c>
      <c r="Q887" s="58">
        <v>0</v>
      </c>
      <c r="R887" s="58">
        <v>0</v>
      </c>
      <c r="S887" s="58">
        <v>0</v>
      </c>
      <c r="T887" s="58">
        <v>0</v>
      </c>
      <c r="U887" s="58">
        <v>0</v>
      </c>
      <c r="V887" s="58">
        <v>0</v>
      </c>
      <c r="W887" s="58">
        <v>0</v>
      </c>
      <c r="X887" s="58">
        <v>0</v>
      </c>
      <c r="Y887" s="58">
        <v>0</v>
      </c>
      <c r="Z887" s="58">
        <v>4875</v>
      </c>
      <c r="AA887" s="58">
        <v>15136.95</v>
      </c>
      <c r="AE887" s="57"/>
    </row>
    <row r="888" spans="1:31" x14ac:dyDescent="0.35">
      <c r="A888" s="56" t="s">
        <v>956</v>
      </c>
      <c r="B888" s="58">
        <v>15850</v>
      </c>
      <c r="C888" s="58" t="s">
        <v>34</v>
      </c>
      <c r="D888" s="58">
        <v>1</v>
      </c>
      <c r="E888" s="58">
        <v>0</v>
      </c>
      <c r="F888" s="58">
        <v>0</v>
      </c>
      <c r="G888" s="58">
        <v>0</v>
      </c>
      <c r="H888" s="58">
        <v>0</v>
      </c>
      <c r="I888" s="58">
        <v>0</v>
      </c>
      <c r="J888" s="58">
        <v>0</v>
      </c>
      <c r="K888" s="58">
        <v>0</v>
      </c>
      <c r="L888" s="58">
        <v>14175</v>
      </c>
      <c r="M888" s="58">
        <v>10575</v>
      </c>
      <c r="N888" s="58">
        <v>15136.95</v>
      </c>
      <c r="O888" s="58">
        <v>15850</v>
      </c>
      <c r="P888" s="58" t="s">
        <v>34</v>
      </c>
      <c r="Q888" s="58">
        <v>250</v>
      </c>
      <c r="R888" s="58">
        <v>0</v>
      </c>
      <c r="S888" s="58">
        <v>0</v>
      </c>
      <c r="T888" s="58">
        <v>775</v>
      </c>
      <c r="U888" s="58">
        <v>17.05</v>
      </c>
      <c r="V888" s="58">
        <v>4.45</v>
      </c>
      <c r="W888" s="58">
        <v>-1.7999999999999998</v>
      </c>
      <c r="X888" s="58">
        <v>-28.799999999999997</v>
      </c>
      <c r="Y888" s="58">
        <v>80625</v>
      </c>
      <c r="Z888" s="58">
        <v>24375</v>
      </c>
      <c r="AA888" s="58">
        <v>15136.95</v>
      </c>
      <c r="AE888" s="57"/>
    </row>
    <row r="889" spans="1:31" x14ac:dyDescent="0.35">
      <c r="A889" s="56" t="s">
        <v>957</v>
      </c>
      <c r="B889" s="58">
        <v>15850</v>
      </c>
      <c r="C889" s="58" t="s">
        <v>36</v>
      </c>
      <c r="D889" s="58">
        <v>0</v>
      </c>
      <c r="E889" s="58">
        <v>0</v>
      </c>
      <c r="F889" s="58">
        <v>0</v>
      </c>
      <c r="G889" s="58">
        <v>0</v>
      </c>
      <c r="H889" s="58">
        <v>0</v>
      </c>
      <c r="I889" s="58">
        <v>0</v>
      </c>
      <c r="J889" s="58">
        <v>0</v>
      </c>
      <c r="K889" s="58">
        <v>0</v>
      </c>
      <c r="L889" s="58">
        <v>4875</v>
      </c>
      <c r="M889" s="58">
        <v>4875</v>
      </c>
      <c r="N889" s="58">
        <v>15136.95</v>
      </c>
      <c r="O889" s="58">
        <v>15850</v>
      </c>
      <c r="P889" s="58" t="s">
        <v>36</v>
      </c>
      <c r="Q889" s="58">
        <v>0</v>
      </c>
      <c r="R889" s="58">
        <v>0</v>
      </c>
      <c r="S889" s="58">
        <v>0</v>
      </c>
      <c r="T889" s="58">
        <v>0</v>
      </c>
      <c r="U889" s="58">
        <v>0</v>
      </c>
      <c r="V889" s="58">
        <v>0</v>
      </c>
      <c r="W889" s="58">
        <v>0</v>
      </c>
      <c r="X889" s="58">
        <v>0</v>
      </c>
      <c r="Y889" s="58">
        <v>0</v>
      </c>
      <c r="Z889" s="58">
        <v>4875</v>
      </c>
      <c r="AA889" s="58">
        <v>15136.95</v>
      </c>
      <c r="AE889" s="57"/>
    </row>
    <row r="890" spans="1:31" x14ac:dyDescent="0.35">
      <c r="A890" s="56" t="s">
        <v>958</v>
      </c>
      <c r="B890" s="58">
        <v>15850</v>
      </c>
      <c r="C890" s="58" t="s">
        <v>37</v>
      </c>
      <c r="D890" s="58">
        <v>0</v>
      </c>
      <c r="E890" s="58">
        <v>0</v>
      </c>
      <c r="F890" s="58">
        <v>0</v>
      </c>
      <c r="G890" s="58">
        <v>0</v>
      </c>
      <c r="H890" s="58">
        <v>0</v>
      </c>
      <c r="I890" s="58">
        <v>0</v>
      </c>
      <c r="J890" s="58">
        <v>0</v>
      </c>
      <c r="K890" s="58">
        <v>0</v>
      </c>
      <c r="L890" s="58">
        <v>4875</v>
      </c>
      <c r="M890" s="58">
        <v>4875</v>
      </c>
      <c r="N890" s="58">
        <v>15136.95</v>
      </c>
      <c r="O890" s="58">
        <v>0</v>
      </c>
      <c r="P890" s="58">
        <v>0</v>
      </c>
      <c r="Q890" s="58">
        <v>0</v>
      </c>
      <c r="R890" s="58">
        <v>0</v>
      </c>
      <c r="S890" s="58">
        <v>0</v>
      </c>
      <c r="T890" s="58">
        <v>0</v>
      </c>
      <c r="U890" s="58">
        <v>0</v>
      </c>
      <c r="V890" s="58">
        <v>0</v>
      </c>
      <c r="W890" s="58">
        <v>0</v>
      </c>
      <c r="X890" s="58">
        <v>0</v>
      </c>
      <c r="Y890" s="58">
        <v>0</v>
      </c>
      <c r="Z890" s="58">
        <v>0</v>
      </c>
      <c r="AA890" s="58">
        <v>0</v>
      </c>
      <c r="AE890" s="57"/>
    </row>
    <row r="891" spans="1:31" x14ac:dyDescent="0.35">
      <c r="A891" s="56" t="s">
        <v>959</v>
      </c>
      <c r="B891" s="58">
        <v>15850</v>
      </c>
      <c r="C891" s="58" t="s">
        <v>38</v>
      </c>
      <c r="D891" s="58">
        <v>0</v>
      </c>
      <c r="E891" s="58">
        <v>0</v>
      </c>
      <c r="F891" s="58">
        <v>0</v>
      </c>
      <c r="G891" s="58">
        <v>0</v>
      </c>
      <c r="H891" s="58">
        <v>0</v>
      </c>
      <c r="I891" s="58">
        <v>0</v>
      </c>
      <c r="J891" s="58">
        <v>0</v>
      </c>
      <c r="K891" s="58">
        <v>0</v>
      </c>
      <c r="L891" s="58">
        <v>4875</v>
      </c>
      <c r="M891" s="58">
        <v>4875</v>
      </c>
      <c r="N891" s="58">
        <v>15136.95</v>
      </c>
      <c r="O891" s="58">
        <v>15850</v>
      </c>
      <c r="P891" s="58" t="s">
        <v>38</v>
      </c>
      <c r="Q891" s="58">
        <v>0</v>
      </c>
      <c r="R891" s="58">
        <v>0</v>
      </c>
      <c r="S891" s="58">
        <v>0</v>
      </c>
      <c r="T891" s="58">
        <v>0</v>
      </c>
      <c r="U891" s="58">
        <v>0</v>
      </c>
      <c r="V891" s="58">
        <v>0</v>
      </c>
      <c r="W891" s="58">
        <v>0</v>
      </c>
      <c r="X891" s="58">
        <v>0</v>
      </c>
      <c r="Y891" s="58">
        <v>0</v>
      </c>
      <c r="Z891" s="58">
        <v>4875</v>
      </c>
      <c r="AA891" s="58">
        <v>15136.95</v>
      </c>
      <c r="AE891" s="57"/>
    </row>
    <row r="892" spans="1:31" x14ac:dyDescent="0.35">
      <c r="A892" s="56" t="s">
        <v>960</v>
      </c>
      <c r="B892" s="58">
        <v>15850</v>
      </c>
      <c r="C892" s="58" t="s">
        <v>33</v>
      </c>
      <c r="D892" s="58">
        <v>6</v>
      </c>
      <c r="E892" s="58">
        <v>0</v>
      </c>
      <c r="F892" s="58">
        <v>0</v>
      </c>
      <c r="G892" s="58">
        <v>0</v>
      </c>
      <c r="H892" s="58">
        <v>0</v>
      </c>
      <c r="I892" s="58">
        <v>0</v>
      </c>
      <c r="J892" s="58">
        <v>0</v>
      </c>
      <c r="K892" s="58">
        <v>0</v>
      </c>
      <c r="L892" s="58">
        <v>21000</v>
      </c>
      <c r="M892" s="58">
        <v>11250</v>
      </c>
      <c r="N892" s="58">
        <v>15136.95</v>
      </c>
      <c r="O892" s="58">
        <v>15850</v>
      </c>
      <c r="P892" s="58" t="s">
        <v>33</v>
      </c>
      <c r="Q892" s="58">
        <v>602</v>
      </c>
      <c r="R892" s="58">
        <v>8</v>
      </c>
      <c r="S892" s="58">
        <v>1.3468013468013469</v>
      </c>
      <c r="T892" s="58">
        <v>175</v>
      </c>
      <c r="U892" s="58">
        <v>16.39</v>
      </c>
      <c r="V892" s="58">
        <v>21.9</v>
      </c>
      <c r="W892" s="58">
        <v>-3.2000000000000028</v>
      </c>
      <c r="X892" s="58">
        <v>-12.749003984063757</v>
      </c>
      <c r="Y892" s="58">
        <v>78750</v>
      </c>
      <c r="Z892" s="58">
        <v>20700</v>
      </c>
      <c r="AA892" s="58">
        <v>15136.95</v>
      </c>
      <c r="AE892" s="57"/>
    </row>
    <row r="893" spans="1:31" x14ac:dyDescent="0.35">
      <c r="A893" s="56" t="s">
        <v>961</v>
      </c>
      <c r="B893" s="58">
        <v>15850</v>
      </c>
      <c r="C893" s="58" t="s">
        <v>67</v>
      </c>
      <c r="D893" s="58">
        <v>0</v>
      </c>
      <c r="E893" s="58">
        <v>0</v>
      </c>
      <c r="F893" s="58">
        <v>0</v>
      </c>
      <c r="G893" s="58">
        <v>0</v>
      </c>
      <c r="H893" s="58">
        <v>0</v>
      </c>
      <c r="I893" s="58">
        <v>0</v>
      </c>
      <c r="J893" s="58">
        <v>0</v>
      </c>
      <c r="K893" s="58">
        <v>0</v>
      </c>
      <c r="L893" s="58">
        <v>4875</v>
      </c>
      <c r="M893" s="58">
        <v>0</v>
      </c>
      <c r="N893" s="58">
        <v>15136.95</v>
      </c>
      <c r="O893" s="58">
        <v>0</v>
      </c>
      <c r="P893" s="58">
        <v>0</v>
      </c>
      <c r="Q893" s="58">
        <v>0</v>
      </c>
      <c r="R893" s="58">
        <v>0</v>
      </c>
      <c r="S893" s="58">
        <v>0</v>
      </c>
      <c r="T893" s="58">
        <v>0</v>
      </c>
      <c r="U893" s="58">
        <v>0</v>
      </c>
      <c r="V893" s="58">
        <v>0</v>
      </c>
      <c r="W893" s="58">
        <v>0</v>
      </c>
      <c r="X893" s="58">
        <v>0</v>
      </c>
      <c r="Y893" s="58">
        <v>0</v>
      </c>
      <c r="Z893" s="58">
        <v>0</v>
      </c>
      <c r="AA893" s="58">
        <v>0</v>
      </c>
      <c r="AE893" s="57"/>
    </row>
    <row r="894" spans="1:31" x14ac:dyDescent="0.35">
      <c r="A894" s="56" t="s">
        <v>962</v>
      </c>
      <c r="B894" s="58">
        <v>15850</v>
      </c>
      <c r="C894" s="58" t="s">
        <v>2074</v>
      </c>
      <c r="D894" s="58">
        <v>0</v>
      </c>
      <c r="E894" s="58">
        <v>0</v>
      </c>
      <c r="F894" s="58">
        <v>0</v>
      </c>
      <c r="G894" s="58">
        <v>0</v>
      </c>
      <c r="H894" s="58">
        <v>0</v>
      </c>
      <c r="I894" s="58">
        <v>0</v>
      </c>
      <c r="J894" s="58">
        <v>0</v>
      </c>
      <c r="K894" s="58">
        <v>0</v>
      </c>
      <c r="L894" s="58">
        <v>0</v>
      </c>
      <c r="M894" s="58">
        <v>4875</v>
      </c>
      <c r="N894" s="58">
        <v>15136.95</v>
      </c>
      <c r="O894" s="58">
        <v>15850</v>
      </c>
      <c r="P894" s="58" t="s">
        <v>2074</v>
      </c>
      <c r="Q894" s="58">
        <v>0</v>
      </c>
      <c r="R894" s="58">
        <v>0</v>
      </c>
      <c r="S894" s="58">
        <v>0</v>
      </c>
      <c r="T894" s="58">
        <v>0</v>
      </c>
      <c r="U894" s="58">
        <v>0</v>
      </c>
      <c r="V894" s="58">
        <v>0</v>
      </c>
      <c r="W894" s="58">
        <v>0</v>
      </c>
      <c r="X894" s="58">
        <v>0</v>
      </c>
      <c r="Y894" s="58">
        <v>0</v>
      </c>
      <c r="Z894" s="58">
        <v>75</v>
      </c>
      <c r="AA894" s="58">
        <v>15136.95</v>
      </c>
      <c r="AE894" s="57"/>
    </row>
    <row r="895" spans="1:31" x14ac:dyDescent="0.35">
      <c r="A895" s="56" t="s">
        <v>963</v>
      </c>
      <c r="B895" s="58">
        <v>15850</v>
      </c>
      <c r="C895" s="58" t="s">
        <v>2071</v>
      </c>
      <c r="D895" s="58">
        <v>0</v>
      </c>
      <c r="E895" s="58">
        <v>0</v>
      </c>
      <c r="F895" s="58">
        <v>0</v>
      </c>
      <c r="G895" s="58">
        <v>0</v>
      </c>
      <c r="H895" s="58">
        <v>0</v>
      </c>
      <c r="I895" s="58">
        <v>0</v>
      </c>
      <c r="J895" s="58">
        <v>0</v>
      </c>
      <c r="K895" s="58">
        <v>0</v>
      </c>
      <c r="L895" s="58">
        <v>0</v>
      </c>
      <c r="M895" s="58">
        <v>4875</v>
      </c>
      <c r="N895" s="58">
        <v>15136.95</v>
      </c>
      <c r="O895" s="58">
        <v>15850</v>
      </c>
      <c r="P895" s="58" t="s">
        <v>2071</v>
      </c>
      <c r="Q895" s="58">
        <v>0</v>
      </c>
      <c r="R895" s="58">
        <v>0</v>
      </c>
      <c r="S895" s="58">
        <v>0</v>
      </c>
      <c r="T895" s="58">
        <v>0</v>
      </c>
      <c r="U895" s="58">
        <v>0</v>
      </c>
      <c r="V895" s="58">
        <v>0</v>
      </c>
      <c r="W895" s="58">
        <v>0</v>
      </c>
      <c r="X895" s="58">
        <v>0</v>
      </c>
      <c r="Y895" s="58">
        <v>0</v>
      </c>
      <c r="Z895" s="58">
        <v>4875</v>
      </c>
      <c r="AA895" s="58">
        <v>15136.95</v>
      </c>
      <c r="AE895" s="57"/>
    </row>
    <row r="896" spans="1:31" x14ac:dyDescent="0.35">
      <c r="A896" s="56" t="s">
        <v>964</v>
      </c>
      <c r="B896" s="58">
        <v>15850</v>
      </c>
      <c r="C896" s="58" t="s">
        <v>35</v>
      </c>
      <c r="D896" s="58">
        <v>6</v>
      </c>
      <c r="E896" s="58">
        <v>0</v>
      </c>
      <c r="F896" s="58">
        <v>0</v>
      </c>
      <c r="G896" s="58">
        <v>1</v>
      </c>
      <c r="H896" s="58">
        <v>0</v>
      </c>
      <c r="I896" s="58">
        <v>698.6</v>
      </c>
      <c r="J896" s="58">
        <v>-38.399999999999977</v>
      </c>
      <c r="K896" s="58">
        <v>-5.2103120759837145</v>
      </c>
      <c r="L896" s="58">
        <v>19275</v>
      </c>
      <c r="M896" s="58">
        <v>15450</v>
      </c>
      <c r="N896" s="58">
        <v>15136.95</v>
      </c>
      <c r="O896" s="58">
        <v>15850</v>
      </c>
      <c r="P896" s="58" t="s">
        <v>35</v>
      </c>
      <c r="Q896" s="58">
        <v>601</v>
      </c>
      <c r="R896" s="58">
        <v>-80</v>
      </c>
      <c r="S896" s="58">
        <v>-11.747430249632894</v>
      </c>
      <c r="T896" s="58">
        <v>733</v>
      </c>
      <c r="U896" s="58">
        <v>32.799999999999997</v>
      </c>
      <c r="V896" s="58">
        <v>0.35</v>
      </c>
      <c r="W896" s="58">
        <v>-1.1499999999999999</v>
      </c>
      <c r="X896" s="58">
        <v>-76.666666666666657</v>
      </c>
      <c r="Y896" s="58">
        <v>66150</v>
      </c>
      <c r="Z896" s="58">
        <v>65550</v>
      </c>
      <c r="AA896" s="58">
        <v>15136.95</v>
      </c>
      <c r="AE896" s="57"/>
    </row>
    <row r="897" spans="1:31" x14ac:dyDescent="0.35">
      <c r="A897" s="56" t="s">
        <v>965</v>
      </c>
      <c r="B897" s="58">
        <v>15850</v>
      </c>
      <c r="C897" s="58" t="s">
        <v>26</v>
      </c>
      <c r="D897" s="58">
        <v>0</v>
      </c>
      <c r="E897" s="58">
        <v>0</v>
      </c>
      <c r="F897" s="58">
        <v>0</v>
      </c>
      <c r="G897" s="58">
        <v>0</v>
      </c>
      <c r="H897" s="58">
        <v>0</v>
      </c>
      <c r="I897" s="58">
        <v>0</v>
      </c>
      <c r="J897" s="58">
        <v>0</v>
      </c>
      <c r="K897" s="58">
        <v>0</v>
      </c>
      <c r="L897" s="58">
        <v>12675</v>
      </c>
      <c r="M897" s="58">
        <v>4875</v>
      </c>
      <c r="N897" s="58">
        <v>15136.95</v>
      </c>
      <c r="O897" s="58">
        <v>15850</v>
      </c>
      <c r="P897" s="58" t="s">
        <v>26</v>
      </c>
      <c r="Q897" s="58">
        <v>0</v>
      </c>
      <c r="R897" s="58">
        <v>0</v>
      </c>
      <c r="S897" s="58">
        <v>0</v>
      </c>
      <c r="T897" s="58">
        <v>0</v>
      </c>
      <c r="U897" s="58">
        <v>0</v>
      </c>
      <c r="V897" s="58">
        <v>0</v>
      </c>
      <c r="W897" s="58">
        <v>0</v>
      </c>
      <c r="X897" s="58">
        <v>0</v>
      </c>
      <c r="Y897" s="58">
        <v>225</v>
      </c>
      <c r="Z897" s="58">
        <v>0</v>
      </c>
      <c r="AA897" s="58">
        <v>15136.95</v>
      </c>
      <c r="AE897" s="57"/>
    </row>
    <row r="898" spans="1:31" x14ac:dyDescent="0.35">
      <c r="A898" s="56" t="s">
        <v>966</v>
      </c>
      <c r="B898" s="58">
        <v>15900</v>
      </c>
      <c r="C898" s="58" t="s">
        <v>34</v>
      </c>
      <c r="D898" s="58">
        <v>0</v>
      </c>
      <c r="E898" s="58">
        <v>0</v>
      </c>
      <c r="F898" s="58">
        <v>0</v>
      </c>
      <c r="G898" s="58">
        <v>3</v>
      </c>
      <c r="H898" s="58">
        <v>35.090000000000003</v>
      </c>
      <c r="I898" s="58">
        <v>791.9</v>
      </c>
      <c r="J898" s="58">
        <v>-690.00000000000011</v>
      </c>
      <c r="K898" s="58">
        <v>-46.561846278426351</v>
      </c>
      <c r="L898" s="58">
        <v>15525</v>
      </c>
      <c r="M898" s="58">
        <v>11775</v>
      </c>
      <c r="N898" s="58">
        <v>15136.95</v>
      </c>
      <c r="O898" s="58">
        <v>15900</v>
      </c>
      <c r="P898" s="58" t="s">
        <v>34</v>
      </c>
      <c r="Q898" s="58">
        <v>3009</v>
      </c>
      <c r="R898" s="58">
        <v>136</v>
      </c>
      <c r="S898" s="58">
        <v>4.7337278106508878</v>
      </c>
      <c r="T898" s="58">
        <v>4376</v>
      </c>
      <c r="U898" s="58">
        <v>17.600000000000001</v>
      </c>
      <c r="V898" s="58">
        <v>4.05</v>
      </c>
      <c r="W898" s="58">
        <v>-1.4500000000000002</v>
      </c>
      <c r="X898" s="58">
        <v>-26.363636363636367</v>
      </c>
      <c r="Y898" s="58">
        <v>130875</v>
      </c>
      <c r="Z898" s="58">
        <v>25500</v>
      </c>
      <c r="AA898" s="58">
        <v>15136.95</v>
      </c>
      <c r="AE898" s="57"/>
    </row>
    <row r="899" spans="1:31" x14ac:dyDescent="0.35">
      <c r="A899" s="56" t="s">
        <v>967</v>
      </c>
      <c r="B899" s="58">
        <v>15900</v>
      </c>
      <c r="C899" s="58" t="s">
        <v>33</v>
      </c>
      <c r="D899" s="58">
        <v>124</v>
      </c>
      <c r="E899" s="58">
        <v>15</v>
      </c>
      <c r="F899" s="58">
        <v>13.761467889908255</v>
      </c>
      <c r="G899" s="58">
        <v>18</v>
      </c>
      <c r="H899" s="58">
        <v>23.97</v>
      </c>
      <c r="I899" s="58">
        <v>760</v>
      </c>
      <c r="J899" s="58">
        <v>-58.350000000000023</v>
      </c>
      <c r="K899" s="58">
        <v>-7.1302010142359649</v>
      </c>
      <c r="L899" s="58">
        <v>25725</v>
      </c>
      <c r="M899" s="58">
        <v>17850</v>
      </c>
      <c r="N899" s="58">
        <v>15136.95</v>
      </c>
      <c r="O899" s="58">
        <v>15900</v>
      </c>
      <c r="P899" s="58" t="s">
        <v>33</v>
      </c>
      <c r="Q899" s="58">
        <v>6723</v>
      </c>
      <c r="R899" s="58">
        <v>144</v>
      </c>
      <c r="S899" s="58">
        <v>2.188782489740082</v>
      </c>
      <c r="T899" s="58">
        <v>2465</v>
      </c>
      <c r="U899" s="58">
        <v>16.440000000000001</v>
      </c>
      <c r="V899" s="58">
        <v>18.350000000000001</v>
      </c>
      <c r="W899" s="58">
        <v>-2.5499999999999972</v>
      </c>
      <c r="X899" s="58">
        <v>-12.200956937799033</v>
      </c>
      <c r="Y899" s="58">
        <v>106200</v>
      </c>
      <c r="Z899" s="58">
        <v>30000</v>
      </c>
      <c r="AA899" s="58">
        <v>15136.95</v>
      </c>
      <c r="AE899" s="57"/>
    </row>
    <row r="900" spans="1:31" x14ac:dyDescent="0.35">
      <c r="A900" s="56" t="s">
        <v>968</v>
      </c>
      <c r="B900" s="58">
        <v>15900</v>
      </c>
      <c r="C900" s="58" t="s">
        <v>36</v>
      </c>
      <c r="D900" s="58">
        <v>0</v>
      </c>
      <c r="E900" s="58">
        <v>0</v>
      </c>
      <c r="F900" s="58">
        <v>0</v>
      </c>
      <c r="G900" s="58">
        <v>0</v>
      </c>
      <c r="H900" s="58">
        <v>0</v>
      </c>
      <c r="I900" s="58">
        <v>0</v>
      </c>
      <c r="J900" s="58">
        <v>0</v>
      </c>
      <c r="K900" s="58">
        <v>0</v>
      </c>
      <c r="L900" s="58">
        <v>4875</v>
      </c>
      <c r="M900" s="58">
        <v>4875</v>
      </c>
      <c r="N900" s="58">
        <v>15136.95</v>
      </c>
      <c r="O900" s="58">
        <v>15900</v>
      </c>
      <c r="P900" s="58" t="s">
        <v>36</v>
      </c>
      <c r="Q900" s="58">
        <v>0</v>
      </c>
      <c r="R900" s="58">
        <v>0</v>
      </c>
      <c r="S900" s="58">
        <v>0</v>
      </c>
      <c r="T900" s="58">
        <v>0</v>
      </c>
      <c r="U900" s="58">
        <v>0</v>
      </c>
      <c r="V900" s="58">
        <v>0</v>
      </c>
      <c r="W900" s="58">
        <v>0</v>
      </c>
      <c r="X900" s="58">
        <v>0</v>
      </c>
      <c r="Y900" s="58">
        <v>1050</v>
      </c>
      <c r="Z900" s="58">
        <v>5400</v>
      </c>
      <c r="AA900" s="58">
        <v>15136.95</v>
      </c>
      <c r="AE900" s="57"/>
    </row>
    <row r="901" spans="1:31" x14ac:dyDescent="0.35">
      <c r="A901" s="56" t="s">
        <v>969</v>
      </c>
      <c r="B901" s="58">
        <v>15900</v>
      </c>
      <c r="C901" s="58" t="s">
        <v>37</v>
      </c>
      <c r="D901" s="58">
        <v>0</v>
      </c>
      <c r="E901" s="58">
        <v>0</v>
      </c>
      <c r="F901" s="58">
        <v>0</v>
      </c>
      <c r="G901" s="58">
        <v>0</v>
      </c>
      <c r="H901" s="58">
        <v>0</v>
      </c>
      <c r="I901" s="58">
        <v>0</v>
      </c>
      <c r="J901" s="58">
        <v>0</v>
      </c>
      <c r="K901" s="58">
        <v>0</v>
      </c>
      <c r="L901" s="58">
        <v>4875</v>
      </c>
      <c r="M901" s="58">
        <v>4875</v>
      </c>
      <c r="N901" s="58">
        <v>15136.95</v>
      </c>
      <c r="O901" s="58">
        <v>15900</v>
      </c>
      <c r="P901" s="58" t="s">
        <v>37</v>
      </c>
      <c r="Q901" s="58">
        <v>0</v>
      </c>
      <c r="R901" s="58">
        <v>0</v>
      </c>
      <c r="S901" s="58">
        <v>0</v>
      </c>
      <c r="T901" s="58">
        <v>0</v>
      </c>
      <c r="U901" s="58">
        <v>0</v>
      </c>
      <c r="V901" s="58">
        <v>0</v>
      </c>
      <c r="W901" s="58">
        <v>0</v>
      </c>
      <c r="X901" s="58">
        <v>0</v>
      </c>
      <c r="Y901" s="58">
        <v>600</v>
      </c>
      <c r="Z901" s="58">
        <v>600</v>
      </c>
      <c r="AA901" s="58">
        <v>15136.95</v>
      </c>
      <c r="AE901" s="57"/>
    </row>
    <row r="902" spans="1:31" x14ac:dyDescent="0.35">
      <c r="A902" s="56" t="s">
        <v>970</v>
      </c>
      <c r="B902" s="58">
        <v>15900</v>
      </c>
      <c r="C902" s="58" t="s">
        <v>38</v>
      </c>
      <c r="D902" s="58">
        <v>0</v>
      </c>
      <c r="E902" s="58">
        <v>0</v>
      </c>
      <c r="F902" s="58">
        <v>0</v>
      </c>
      <c r="G902" s="58">
        <v>0</v>
      </c>
      <c r="H902" s="58">
        <v>0</v>
      </c>
      <c r="I902" s="58">
        <v>0</v>
      </c>
      <c r="J902" s="58">
        <v>0</v>
      </c>
      <c r="K902" s="58">
        <v>0</v>
      </c>
      <c r="L902" s="58">
        <v>4875</v>
      </c>
      <c r="M902" s="58">
        <v>4875</v>
      </c>
      <c r="N902" s="58">
        <v>15136.95</v>
      </c>
      <c r="O902" s="58">
        <v>15900</v>
      </c>
      <c r="P902" s="58" t="s">
        <v>38</v>
      </c>
      <c r="Q902" s="58">
        <v>0</v>
      </c>
      <c r="R902" s="58">
        <v>0</v>
      </c>
      <c r="S902" s="58">
        <v>0</v>
      </c>
      <c r="T902" s="58">
        <v>0</v>
      </c>
      <c r="U902" s="58">
        <v>0</v>
      </c>
      <c r="V902" s="58">
        <v>0</v>
      </c>
      <c r="W902" s="58">
        <v>0</v>
      </c>
      <c r="X902" s="58">
        <v>0</v>
      </c>
      <c r="Y902" s="58">
        <v>900</v>
      </c>
      <c r="Z902" s="58">
        <v>0</v>
      </c>
      <c r="AA902" s="58">
        <v>15136.95</v>
      </c>
      <c r="AE902" s="57"/>
    </row>
    <row r="903" spans="1:31" x14ac:dyDescent="0.35">
      <c r="A903" s="56" t="s">
        <v>971</v>
      </c>
      <c r="B903" s="58">
        <v>15900</v>
      </c>
      <c r="C903" s="58" t="s">
        <v>26</v>
      </c>
      <c r="D903" s="58">
        <v>1</v>
      </c>
      <c r="E903" s="58">
        <v>0</v>
      </c>
      <c r="F903" s="58">
        <v>0</v>
      </c>
      <c r="G903" s="58">
        <v>0</v>
      </c>
      <c r="H903" s="58">
        <v>0</v>
      </c>
      <c r="I903" s="58">
        <v>0</v>
      </c>
      <c r="J903" s="58">
        <v>0</v>
      </c>
      <c r="K903" s="58">
        <v>0</v>
      </c>
      <c r="L903" s="58">
        <v>9975</v>
      </c>
      <c r="M903" s="58">
        <v>9975</v>
      </c>
      <c r="N903" s="58">
        <v>15136.95</v>
      </c>
      <c r="O903" s="58">
        <v>15900</v>
      </c>
      <c r="P903" s="58" t="s">
        <v>26</v>
      </c>
      <c r="Q903" s="58">
        <v>253</v>
      </c>
      <c r="R903" s="58">
        <v>54</v>
      </c>
      <c r="S903" s="58">
        <v>27.1356783919598</v>
      </c>
      <c r="T903" s="58">
        <v>239</v>
      </c>
      <c r="U903" s="58">
        <v>17.11</v>
      </c>
      <c r="V903" s="58">
        <v>141.5</v>
      </c>
      <c r="W903" s="58">
        <v>0.15000000000000568</v>
      </c>
      <c r="X903" s="58">
        <v>0.10611956137248368</v>
      </c>
      <c r="Y903" s="58">
        <v>3750</v>
      </c>
      <c r="Z903" s="58">
        <v>4800</v>
      </c>
      <c r="AA903" s="58">
        <v>15136.95</v>
      </c>
      <c r="AE903" s="57"/>
    </row>
    <row r="904" spans="1:31" x14ac:dyDescent="0.35">
      <c r="A904" s="56" t="s">
        <v>972</v>
      </c>
      <c r="B904" s="58">
        <v>15900</v>
      </c>
      <c r="C904" s="58" t="s">
        <v>35</v>
      </c>
      <c r="D904" s="58">
        <v>5</v>
      </c>
      <c r="E904" s="58">
        <v>1</v>
      </c>
      <c r="F904" s="58">
        <v>25</v>
      </c>
      <c r="G904" s="58">
        <v>9</v>
      </c>
      <c r="H904" s="58">
        <v>47.64</v>
      </c>
      <c r="I904" s="58">
        <v>754.35</v>
      </c>
      <c r="J904" s="58">
        <v>-24.850000000000023</v>
      </c>
      <c r="K904" s="58">
        <v>-3.1891683778234112</v>
      </c>
      <c r="L904" s="58">
        <v>21975</v>
      </c>
      <c r="M904" s="58">
        <v>16725</v>
      </c>
      <c r="N904" s="58">
        <v>15136.95</v>
      </c>
      <c r="O904" s="58">
        <v>15900</v>
      </c>
      <c r="P904" s="58" t="s">
        <v>35</v>
      </c>
      <c r="Q904" s="58">
        <v>8845</v>
      </c>
      <c r="R904" s="58">
        <v>-78</v>
      </c>
      <c r="S904" s="58">
        <v>-0.87414546677126526</v>
      </c>
      <c r="T904" s="58">
        <v>6410</v>
      </c>
      <c r="U904" s="58">
        <v>34.29</v>
      </c>
      <c r="V904" s="58">
        <v>0.35</v>
      </c>
      <c r="W904" s="58">
        <v>-1.25</v>
      </c>
      <c r="X904" s="58">
        <v>-78.125</v>
      </c>
      <c r="Y904" s="58">
        <v>455100</v>
      </c>
      <c r="Z904" s="58">
        <v>94950</v>
      </c>
      <c r="AA904" s="58">
        <v>15136.95</v>
      </c>
      <c r="AE904" s="57"/>
    </row>
    <row r="905" spans="1:31" x14ac:dyDescent="0.35">
      <c r="A905" s="56" t="s">
        <v>973</v>
      </c>
      <c r="B905" s="58">
        <v>15900</v>
      </c>
      <c r="C905" s="58" t="s">
        <v>2074</v>
      </c>
      <c r="D905" s="58">
        <v>0</v>
      </c>
      <c r="E905" s="58">
        <v>0</v>
      </c>
      <c r="F905" s="58">
        <v>0</v>
      </c>
      <c r="G905" s="58">
        <v>0</v>
      </c>
      <c r="H905" s="58">
        <v>0</v>
      </c>
      <c r="I905" s="58">
        <v>0</v>
      </c>
      <c r="J905" s="58">
        <v>0</v>
      </c>
      <c r="K905" s="58">
        <v>0</v>
      </c>
      <c r="L905" s="58">
        <v>4875</v>
      </c>
      <c r="M905" s="58">
        <v>4875</v>
      </c>
      <c r="N905" s="58">
        <v>15136.95</v>
      </c>
      <c r="O905" s="58">
        <v>15900</v>
      </c>
      <c r="P905" s="58" t="s">
        <v>2074</v>
      </c>
      <c r="Q905" s="58">
        <v>0</v>
      </c>
      <c r="R905" s="58">
        <v>0</v>
      </c>
      <c r="S905" s="58">
        <v>0</v>
      </c>
      <c r="T905" s="58">
        <v>0</v>
      </c>
      <c r="U905" s="58">
        <v>0</v>
      </c>
      <c r="V905" s="58">
        <v>0</v>
      </c>
      <c r="W905" s="58">
        <v>0</v>
      </c>
      <c r="X905" s="58">
        <v>0</v>
      </c>
      <c r="Y905" s="58">
        <v>0</v>
      </c>
      <c r="Z905" s="58">
        <v>0</v>
      </c>
      <c r="AA905" s="58">
        <v>15136.95</v>
      </c>
      <c r="AE905" s="57"/>
    </row>
    <row r="906" spans="1:31" x14ac:dyDescent="0.35">
      <c r="A906" s="56" t="s">
        <v>974</v>
      </c>
      <c r="B906" s="58">
        <v>15900</v>
      </c>
      <c r="C906" s="58" t="s">
        <v>2071</v>
      </c>
      <c r="D906" s="58">
        <v>0</v>
      </c>
      <c r="E906" s="58">
        <v>0</v>
      </c>
      <c r="F906" s="58">
        <v>0</v>
      </c>
      <c r="G906" s="58">
        <v>0</v>
      </c>
      <c r="H906" s="58">
        <v>0</v>
      </c>
      <c r="I906" s="58">
        <v>0</v>
      </c>
      <c r="J906" s="58">
        <v>0</v>
      </c>
      <c r="K906" s="58">
        <v>0</v>
      </c>
      <c r="L906" s="58">
        <v>0</v>
      </c>
      <c r="M906" s="58">
        <v>4875</v>
      </c>
      <c r="N906" s="58">
        <v>15136.95</v>
      </c>
      <c r="O906" s="58">
        <v>15900</v>
      </c>
      <c r="P906" s="58" t="s">
        <v>2071</v>
      </c>
      <c r="Q906" s="58">
        <v>0</v>
      </c>
      <c r="R906" s="58">
        <v>0</v>
      </c>
      <c r="S906" s="58">
        <v>0</v>
      </c>
      <c r="T906" s="58">
        <v>0</v>
      </c>
      <c r="U906" s="58">
        <v>0</v>
      </c>
      <c r="V906" s="58">
        <v>0</v>
      </c>
      <c r="W906" s="58">
        <v>0</v>
      </c>
      <c r="X906" s="58">
        <v>0</v>
      </c>
      <c r="Y906" s="58">
        <v>1050</v>
      </c>
      <c r="Z906" s="58">
        <v>4950</v>
      </c>
      <c r="AA906" s="58">
        <v>15136.95</v>
      </c>
      <c r="AE906" s="57"/>
    </row>
    <row r="907" spans="1:31" x14ac:dyDescent="0.35">
      <c r="A907" s="56" t="s">
        <v>975</v>
      </c>
      <c r="B907" s="58">
        <v>15900</v>
      </c>
      <c r="C907" s="58" t="s">
        <v>67</v>
      </c>
      <c r="D907" s="58">
        <v>0</v>
      </c>
      <c r="E907" s="58">
        <v>0</v>
      </c>
      <c r="F907" s="58">
        <v>0</v>
      </c>
      <c r="G907" s="58">
        <v>0</v>
      </c>
      <c r="H907" s="58">
        <v>0</v>
      </c>
      <c r="I907" s="58">
        <v>0</v>
      </c>
      <c r="J907" s="58">
        <v>0</v>
      </c>
      <c r="K907" s="58">
        <v>0</v>
      </c>
      <c r="L907" s="58">
        <v>4875</v>
      </c>
      <c r="M907" s="58">
        <v>0</v>
      </c>
      <c r="N907" s="58">
        <v>15136.95</v>
      </c>
      <c r="O907" s="58">
        <v>0</v>
      </c>
      <c r="P907" s="58">
        <v>0</v>
      </c>
      <c r="Q907" s="58">
        <v>0</v>
      </c>
      <c r="R907" s="58">
        <v>0</v>
      </c>
      <c r="S907" s="58">
        <v>0</v>
      </c>
      <c r="T907" s="58">
        <v>0</v>
      </c>
      <c r="U907" s="58">
        <v>0</v>
      </c>
      <c r="V907" s="58">
        <v>0</v>
      </c>
      <c r="W907" s="58">
        <v>0</v>
      </c>
      <c r="X907" s="58">
        <v>0</v>
      </c>
      <c r="Y907" s="58">
        <v>0</v>
      </c>
      <c r="Z907" s="58">
        <v>0</v>
      </c>
      <c r="AA907" s="58">
        <v>0</v>
      </c>
      <c r="AE907" s="57"/>
    </row>
    <row r="908" spans="1:31" x14ac:dyDescent="0.35">
      <c r="A908" s="56" t="s">
        <v>976</v>
      </c>
      <c r="B908" s="58">
        <v>15950</v>
      </c>
      <c r="C908" s="58" t="s">
        <v>35</v>
      </c>
      <c r="D908" s="58">
        <v>2</v>
      </c>
      <c r="E908" s="58">
        <v>0</v>
      </c>
      <c r="F908" s="58">
        <v>0</v>
      </c>
      <c r="G908" s="58">
        <v>0</v>
      </c>
      <c r="H908" s="58">
        <v>0</v>
      </c>
      <c r="I908" s="58">
        <v>0</v>
      </c>
      <c r="J908" s="58">
        <v>0</v>
      </c>
      <c r="K908" s="58">
        <v>0</v>
      </c>
      <c r="L908" s="58">
        <v>18225</v>
      </c>
      <c r="M908" s="58">
        <v>14250</v>
      </c>
      <c r="N908" s="58">
        <v>15136.95</v>
      </c>
      <c r="O908" s="58">
        <v>15950</v>
      </c>
      <c r="P908" s="58" t="s">
        <v>35</v>
      </c>
      <c r="Q908" s="58">
        <v>339</v>
      </c>
      <c r="R908" s="58">
        <v>114</v>
      </c>
      <c r="S908" s="58">
        <v>50.666666666666664</v>
      </c>
      <c r="T908" s="58">
        <v>296</v>
      </c>
      <c r="U908" s="58">
        <v>36.85</v>
      </c>
      <c r="V908" s="58">
        <v>0.35</v>
      </c>
      <c r="W908" s="58">
        <v>-1</v>
      </c>
      <c r="X908" s="58">
        <v>-74.074074074074076</v>
      </c>
      <c r="Y908" s="58">
        <v>147975</v>
      </c>
      <c r="Z908" s="58">
        <v>65700</v>
      </c>
      <c r="AA908" s="58">
        <v>15136.95</v>
      </c>
      <c r="AE908" s="57"/>
    </row>
    <row r="909" spans="1:31" x14ac:dyDescent="0.35">
      <c r="A909" s="56" t="s">
        <v>977</v>
      </c>
      <c r="B909" s="58">
        <v>15950</v>
      </c>
      <c r="C909" s="58" t="s">
        <v>33</v>
      </c>
      <c r="D909" s="58">
        <v>1</v>
      </c>
      <c r="E909" s="58">
        <v>0</v>
      </c>
      <c r="F909" s="58">
        <v>0</v>
      </c>
      <c r="G909" s="58">
        <v>0</v>
      </c>
      <c r="H909" s="58">
        <v>0</v>
      </c>
      <c r="I909" s="58">
        <v>0</v>
      </c>
      <c r="J909" s="58">
        <v>0</v>
      </c>
      <c r="K909" s="58">
        <v>0</v>
      </c>
      <c r="L909" s="58">
        <v>21000</v>
      </c>
      <c r="M909" s="58">
        <v>14250</v>
      </c>
      <c r="N909" s="58">
        <v>15136.95</v>
      </c>
      <c r="O909" s="58">
        <v>15950</v>
      </c>
      <c r="P909" s="58" t="s">
        <v>33</v>
      </c>
      <c r="Q909" s="58">
        <v>811</v>
      </c>
      <c r="R909" s="58">
        <v>1</v>
      </c>
      <c r="S909" s="58">
        <v>0.12345679012345678</v>
      </c>
      <c r="T909" s="58">
        <v>203</v>
      </c>
      <c r="U909" s="58">
        <v>16.78</v>
      </c>
      <c r="V909" s="58">
        <v>16.399999999999999</v>
      </c>
      <c r="W909" s="58">
        <v>-1.6500000000000019</v>
      </c>
      <c r="X909" s="58">
        <v>-9.1412742382271581</v>
      </c>
      <c r="Y909" s="58">
        <v>70125</v>
      </c>
      <c r="Z909" s="58">
        <v>13725</v>
      </c>
      <c r="AA909" s="58">
        <v>15136.95</v>
      </c>
      <c r="AE909" s="57"/>
    </row>
    <row r="910" spans="1:31" x14ac:dyDescent="0.35">
      <c r="A910" s="56" t="s">
        <v>978</v>
      </c>
      <c r="B910" s="58">
        <v>15950</v>
      </c>
      <c r="C910" s="58" t="s">
        <v>36</v>
      </c>
      <c r="D910" s="58">
        <v>0</v>
      </c>
      <c r="E910" s="58">
        <v>0</v>
      </c>
      <c r="F910" s="58">
        <v>0</v>
      </c>
      <c r="G910" s="58">
        <v>0</v>
      </c>
      <c r="H910" s="58">
        <v>0</v>
      </c>
      <c r="I910" s="58">
        <v>0</v>
      </c>
      <c r="J910" s="58">
        <v>0</v>
      </c>
      <c r="K910" s="58">
        <v>0</v>
      </c>
      <c r="L910" s="58">
        <v>4875</v>
      </c>
      <c r="M910" s="58">
        <v>4875</v>
      </c>
      <c r="N910" s="58">
        <v>15136.95</v>
      </c>
      <c r="O910" s="58">
        <v>15950</v>
      </c>
      <c r="P910" s="58" t="s">
        <v>36</v>
      </c>
      <c r="Q910" s="58">
        <v>0</v>
      </c>
      <c r="R910" s="58">
        <v>0</v>
      </c>
      <c r="S910" s="58">
        <v>0</v>
      </c>
      <c r="T910" s="58">
        <v>0</v>
      </c>
      <c r="U910" s="58">
        <v>0</v>
      </c>
      <c r="V910" s="58">
        <v>0</v>
      </c>
      <c r="W910" s="58">
        <v>0</v>
      </c>
      <c r="X910" s="58">
        <v>0</v>
      </c>
      <c r="Y910" s="58">
        <v>75</v>
      </c>
      <c r="Z910" s="58">
        <v>4875</v>
      </c>
      <c r="AA910" s="58">
        <v>15136.95</v>
      </c>
      <c r="AE910" s="57"/>
    </row>
    <row r="911" spans="1:31" x14ac:dyDescent="0.35">
      <c r="A911" s="56" t="s">
        <v>979</v>
      </c>
      <c r="B911" s="58">
        <v>15950</v>
      </c>
      <c r="C911" s="58" t="s">
        <v>37</v>
      </c>
      <c r="D911" s="58">
        <v>0</v>
      </c>
      <c r="E911" s="58">
        <v>0</v>
      </c>
      <c r="F911" s="58">
        <v>0</v>
      </c>
      <c r="G911" s="58">
        <v>0</v>
      </c>
      <c r="H911" s="58">
        <v>0</v>
      </c>
      <c r="I911" s="58">
        <v>0</v>
      </c>
      <c r="J911" s="58">
        <v>0</v>
      </c>
      <c r="K911" s="58">
        <v>0</v>
      </c>
      <c r="L911" s="58">
        <v>4875</v>
      </c>
      <c r="M911" s="58">
        <v>4875</v>
      </c>
      <c r="N911" s="58">
        <v>15136.95</v>
      </c>
      <c r="O911" s="58">
        <v>15950</v>
      </c>
      <c r="P911" s="58" t="s">
        <v>37</v>
      </c>
      <c r="Q911" s="58">
        <v>0</v>
      </c>
      <c r="R911" s="58">
        <v>0</v>
      </c>
      <c r="S911" s="58">
        <v>0</v>
      </c>
      <c r="T911" s="58">
        <v>0</v>
      </c>
      <c r="U911" s="58">
        <v>0</v>
      </c>
      <c r="V911" s="58">
        <v>0</v>
      </c>
      <c r="W911" s="58">
        <v>0</v>
      </c>
      <c r="X911" s="58">
        <v>0</v>
      </c>
      <c r="Y911" s="58">
        <v>0</v>
      </c>
      <c r="Z911" s="58">
        <v>4875</v>
      </c>
      <c r="AA911" s="58">
        <v>15136.95</v>
      </c>
      <c r="AE911" s="57"/>
    </row>
    <row r="912" spans="1:31" x14ac:dyDescent="0.35">
      <c r="A912" s="56" t="s">
        <v>980</v>
      </c>
      <c r="B912" s="58">
        <v>15950</v>
      </c>
      <c r="C912" s="58" t="s">
        <v>38</v>
      </c>
      <c r="D912" s="58">
        <v>0</v>
      </c>
      <c r="E912" s="58">
        <v>0</v>
      </c>
      <c r="F912" s="58">
        <v>0</v>
      </c>
      <c r="G912" s="58">
        <v>0</v>
      </c>
      <c r="H912" s="58">
        <v>0</v>
      </c>
      <c r="I912" s="58">
        <v>0</v>
      </c>
      <c r="J912" s="58">
        <v>0</v>
      </c>
      <c r="K912" s="58">
        <v>0</v>
      </c>
      <c r="L912" s="58">
        <v>4875</v>
      </c>
      <c r="M912" s="58">
        <v>4875</v>
      </c>
      <c r="N912" s="58">
        <v>15136.95</v>
      </c>
      <c r="O912" s="58">
        <v>15950</v>
      </c>
      <c r="P912" s="58" t="s">
        <v>38</v>
      </c>
      <c r="Q912" s="58">
        <v>0</v>
      </c>
      <c r="R912" s="58">
        <v>0</v>
      </c>
      <c r="S912" s="58">
        <v>0</v>
      </c>
      <c r="T912" s="58">
        <v>0</v>
      </c>
      <c r="U912" s="58">
        <v>0</v>
      </c>
      <c r="V912" s="58">
        <v>0</v>
      </c>
      <c r="W912" s="58">
        <v>0</v>
      </c>
      <c r="X912" s="58">
        <v>0</v>
      </c>
      <c r="Y912" s="58">
        <v>0</v>
      </c>
      <c r="Z912" s="58">
        <v>0</v>
      </c>
      <c r="AA912" s="58">
        <v>15136.95</v>
      </c>
      <c r="AE912" s="57"/>
    </row>
    <row r="913" spans="1:31" x14ac:dyDescent="0.35">
      <c r="A913" s="56" t="s">
        <v>981</v>
      </c>
      <c r="B913" s="58">
        <v>15950</v>
      </c>
      <c r="C913" s="58" t="s">
        <v>26</v>
      </c>
      <c r="D913" s="58">
        <v>0</v>
      </c>
      <c r="E913" s="58">
        <v>0</v>
      </c>
      <c r="F913" s="58">
        <v>0</v>
      </c>
      <c r="G913" s="58">
        <v>0</v>
      </c>
      <c r="H913" s="58">
        <v>0</v>
      </c>
      <c r="I913" s="58">
        <v>0</v>
      </c>
      <c r="J913" s="58">
        <v>0</v>
      </c>
      <c r="K913" s="58">
        <v>0</v>
      </c>
      <c r="L913" s="58">
        <v>12675</v>
      </c>
      <c r="M913" s="58">
        <v>4875</v>
      </c>
      <c r="N913" s="58">
        <v>15136.95</v>
      </c>
      <c r="O913" s="58">
        <v>15950</v>
      </c>
      <c r="P913" s="58" t="s">
        <v>26</v>
      </c>
      <c r="Q913" s="58">
        <v>0</v>
      </c>
      <c r="R913" s="58">
        <v>0</v>
      </c>
      <c r="S913" s="58">
        <v>0</v>
      </c>
      <c r="T913" s="58">
        <v>0</v>
      </c>
      <c r="U913" s="58">
        <v>0</v>
      </c>
      <c r="V913" s="58">
        <v>0</v>
      </c>
      <c r="W913" s="58">
        <v>0</v>
      </c>
      <c r="X913" s="58">
        <v>0</v>
      </c>
      <c r="Y913" s="58">
        <v>375</v>
      </c>
      <c r="Z913" s="58">
        <v>0</v>
      </c>
      <c r="AA913" s="58">
        <v>15136.95</v>
      </c>
      <c r="AE913" s="57"/>
    </row>
    <row r="914" spans="1:31" x14ac:dyDescent="0.35">
      <c r="A914" s="56" t="s">
        <v>982</v>
      </c>
      <c r="B914" s="58">
        <v>15950</v>
      </c>
      <c r="C914" s="58" t="s">
        <v>67</v>
      </c>
      <c r="D914" s="58">
        <v>0</v>
      </c>
      <c r="E914" s="58">
        <v>0</v>
      </c>
      <c r="F914" s="58">
        <v>0</v>
      </c>
      <c r="G914" s="58">
        <v>0</v>
      </c>
      <c r="H914" s="58">
        <v>0</v>
      </c>
      <c r="I914" s="58">
        <v>0</v>
      </c>
      <c r="J914" s="58">
        <v>0</v>
      </c>
      <c r="K914" s="58">
        <v>0</v>
      </c>
      <c r="L914" s="58">
        <v>4875</v>
      </c>
      <c r="M914" s="58">
        <v>0</v>
      </c>
      <c r="N914" s="58">
        <v>15136.95</v>
      </c>
      <c r="O914" s="58">
        <v>0</v>
      </c>
      <c r="P914" s="58">
        <v>0</v>
      </c>
      <c r="Q914" s="58">
        <v>0</v>
      </c>
      <c r="R914" s="58">
        <v>0</v>
      </c>
      <c r="S914" s="58">
        <v>0</v>
      </c>
      <c r="T914" s="58">
        <v>0</v>
      </c>
      <c r="U914" s="58">
        <v>0</v>
      </c>
      <c r="V914" s="58">
        <v>0</v>
      </c>
      <c r="W914" s="58">
        <v>0</v>
      </c>
      <c r="X914" s="58">
        <v>0</v>
      </c>
      <c r="Y914" s="58">
        <v>0</v>
      </c>
      <c r="Z914" s="58">
        <v>0</v>
      </c>
      <c r="AA914" s="58">
        <v>0</v>
      </c>
      <c r="AE914" s="57"/>
    </row>
    <row r="915" spans="1:31" x14ac:dyDescent="0.35">
      <c r="A915" s="56" t="s">
        <v>983</v>
      </c>
      <c r="B915" s="58">
        <v>15950</v>
      </c>
      <c r="C915" s="58" t="s">
        <v>2074</v>
      </c>
      <c r="D915" s="58">
        <v>0</v>
      </c>
      <c r="E915" s="58">
        <v>0</v>
      </c>
      <c r="F915" s="58">
        <v>0</v>
      </c>
      <c r="G915" s="58">
        <v>0</v>
      </c>
      <c r="H915" s="58">
        <v>0</v>
      </c>
      <c r="I915" s="58">
        <v>0</v>
      </c>
      <c r="J915" s="58">
        <v>0</v>
      </c>
      <c r="K915" s="58">
        <v>0</v>
      </c>
      <c r="L915" s="58">
        <v>4875</v>
      </c>
      <c r="M915" s="58">
        <v>4875</v>
      </c>
      <c r="N915" s="58">
        <v>15136.95</v>
      </c>
      <c r="O915" s="58">
        <v>15950</v>
      </c>
      <c r="P915" s="58" t="s">
        <v>2074</v>
      </c>
      <c r="Q915" s="58">
        <v>0</v>
      </c>
      <c r="R915" s="58">
        <v>0</v>
      </c>
      <c r="S915" s="58">
        <v>0</v>
      </c>
      <c r="T915" s="58">
        <v>0</v>
      </c>
      <c r="U915" s="58">
        <v>0</v>
      </c>
      <c r="V915" s="58">
        <v>0</v>
      </c>
      <c r="W915" s="58">
        <v>0</v>
      </c>
      <c r="X915" s="58">
        <v>0</v>
      </c>
      <c r="Y915" s="58">
        <v>0</v>
      </c>
      <c r="Z915" s="58">
        <v>0</v>
      </c>
      <c r="AA915" s="58">
        <v>15136.95</v>
      </c>
      <c r="AE915" s="57"/>
    </row>
    <row r="916" spans="1:31" x14ac:dyDescent="0.35">
      <c r="A916" s="56" t="s">
        <v>984</v>
      </c>
      <c r="B916" s="58">
        <v>15950</v>
      </c>
      <c r="C916" s="58" t="s">
        <v>2071</v>
      </c>
      <c r="D916" s="58">
        <v>0</v>
      </c>
      <c r="E916" s="58">
        <v>0</v>
      </c>
      <c r="F916" s="58">
        <v>0</v>
      </c>
      <c r="G916" s="58">
        <v>0</v>
      </c>
      <c r="H916" s="58">
        <v>0</v>
      </c>
      <c r="I916" s="58">
        <v>0</v>
      </c>
      <c r="J916" s="58">
        <v>0</v>
      </c>
      <c r="K916" s="58">
        <v>0</v>
      </c>
      <c r="L916" s="58">
        <v>4875</v>
      </c>
      <c r="M916" s="58">
        <v>4875</v>
      </c>
      <c r="N916" s="58">
        <v>15136.95</v>
      </c>
      <c r="O916" s="58">
        <v>15950</v>
      </c>
      <c r="P916" s="58" t="s">
        <v>2071</v>
      </c>
      <c r="Q916" s="58">
        <v>0</v>
      </c>
      <c r="R916" s="58">
        <v>0</v>
      </c>
      <c r="S916" s="58">
        <v>0</v>
      </c>
      <c r="T916" s="58">
        <v>0</v>
      </c>
      <c r="U916" s="58">
        <v>0</v>
      </c>
      <c r="V916" s="58">
        <v>0</v>
      </c>
      <c r="W916" s="58">
        <v>0</v>
      </c>
      <c r="X916" s="58">
        <v>0</v>
      </c>
      <c r="Y916" s="58">
        <v>0</v>
      </c>
      <c r="Z916" s="58">
        <v>4875</v>
      </c>
      <c r="AA916" s="58">
        <v>15136.95</v>
      </c>
      <c r="AE916" s="57"/>
    </row>
    <row r="917" spans="1:31" x14ac:dyDescent="0.35">
      <c r="A917" s="56" t="s">
        <v>985</v>
      </c>
      <c r="B917" s="58">
        <v>15950</v>
      </c>
      <c r="C917" s="58" t="s">
        <v>34</v>
      </c>
      <c r="D917" s="58">
        <v>0</v>
      </c>
      <c r="E917" s="58">
        <v>0</v>
      </c>
      <c r="F917" s="58">
        <v>0</v>
      </c>
      <c r="G917" s="58">
        <v>0</v>
      </c>
      <c r="H917" s="58">
        <v>0</v>
      </c>
      <c r="I917" s="58">
        <v>0</v>
      </c>
      <c r="J917" s="58">
        <v>0</v>
      </c>
      <c r="K917" s="58">
        <v>0</v>
      </c>
      <c r="L917" s="58">
        <v>24000</v>
      </c>
      <c r="M917" s="58">
        <v>10800</v>
      </c>
      <c r="N917" s="58">
        <v>15136.95</v>
      </c>
      <c r="O917" s="58">
        <v>15950</v>
      </c>
      <c r="P917" s="58" t="s">
        <v>34</v>
      </c>
      <c r="Q917" s="58">
        <v>210</v>
      </c>
      <c r="R917" s="58">
        <v>55</v>
      </c>
      <c r="S917" s="58">
        <v>35.483870967741936</v>
      </c>
      <c r="T917" s="58">
        <v>475</v>
      </c>
      <c r="U917" s="58">
        <v>18.420000000000002</v>
      </c>
      <c r="V917" s="58">
        <v>3.7</v>
      </c>
      <c r="W917" s="58">
        <v>-1.5</v>
      </c>
      <c r="X917" s="58">
        <v>-28.846153846153843</v>
      </c>
      <c r="Y917" s="58">
        <v>78825</v>
      </c>
      <c r="Z917" s="58">
        <v>13050</v>
      </c>
      <c r="AA917" s="58">
        <v>15136.95</v>
      </c>
      <c r="AE917" s="57"/>
    </row>
    <row r="918" spans="1:31" x14ac:dyDescent="0.35">
      <c r="A918" s="56" t="s">
        <v>986</v>
      </c>
      <c r="B918" s="58">
        <v>16000</v>
      </c>
      <c r="C918" s="58" t="s">
        <v>34</v>
      </c>
      <c r="D918" s="58">
        <v>12</v>
      </c>
      <c r="E918" s="58">
        <v>0</v>
      </c>
      <c r="F918" s="58">
        <v>0</v>
      </c>
      <c r="G918" s="58">
        <v>2</v>
      </c>
      <c r="H918" s="58">
        <v>38.15</v>
      </c>
      <c r="I918" s="58">
        <v>892.25</v>
      </c>
      <c r="J918" s="58">
        <v>-5.7000000000000455</v>
      </c>
      <c r="K918" s="58">
        <v>-0.63477921933293002</v>
      </c>
      <c r="L918" s="58">
        <v>16725</v>
      </c>
      <c r="M918" s="58">
        <v>12975</v>
      </c>
      <c r="N918" s="58">
        <v>15136.95</v>
      </c>
      <c r="O918" s="58">
        <v>16000</v>
      </c>
      <c r="P918" s="58" t="s">
        <v>34</v>
      </c>
      <c r="Q918" s="58">
        <v>10548</v>
      </c>
      <c r="R918" s="58">
        <v>5040</v>
      </c>
      <c r="S918" s="58">
        <v>91.503267973856197</v>
      </c>
      <c r="T918" s="58">
        <v>11638</v>
      </c>
      <c r="U918" s="58">
        <v>19.260000000000002</v>
      </c>
      <c r="V918" s="58">
        <v>3.55</v>
      </c>
      <c r="W918" s="58">
        <v>-1.6000000000000003</v>
      </c>
      <c r="X918" s="58">
        <v>-31.067961165048551</v>
      </c>
      <c r="Y918" s="58">
        <v>179925</v>
      </c>
      <c r="Z918" s="58">
        <v>80250</v>
      </c>
      <c r="AA918" s="58">
        <v>15136.95</v>
      </c>
      <c r="AE918" s="57"/>
    </row>
    <row r="919" spans="1:31" x14ac:dyDescent="0.35">
      <c r="A919" s="56" t="s">
        <v>987</v>
      </c>
      <c r="B919" s="58">
        <v>16000</v>
      </c>
      <c r="C919" s="58" t="s">
        <v>29</v>
      </c>
      <c r="D919" s="58">
        <v>128</v>
      </c>
      <c r="E919" s="58">
        <v>0</v>
      </c>
      <c r="F919" s="58">
        <v>0</v>
      </c>
      <c r="G919" s="58">
        <v>0</v>
      </c>
      <c r="H919" s="58">
        <v>0</v>
      </c>
      <c r="I919" s="58">
        <v>0</v>
      </c>
      <c r="J919" s="58">
        <v>0</v>
      </c>
      <c r="K919" s="58">
        <v>0</v>
      </c>
      <c r="L919" s="58">
        <v>2925</v>
      </c>
      <c r="M919" s="58">
        <v>300</v>
      </c>
      <c r="N919" s="58">
        <v>15136.95</v>
      </c>
      <c r="O919" s="58">
        <v>16000</v>
      </c>
      <c r="P919" s="58" t="s">
        <v>29</v>
      </c>
      <c r="Q919" s="58">
        <v>205</v>
      </c>
      <c r="R919" s="58">
        <v>0</v>
      </c>
      <c r="S919" s="58">
        <v>0</v>
      </c>
      <c r="T919" s="58">
        <v>1</v>
      </c>
      <c r="U919" s="58">
        <v>7.75</v>
      </c>
      <c r="V919" s="58">
        <v>725</v>
      </c>
      <c r="W919" s="58">
        <v>-50</v>
      </c>
      <c r="X919" s="58">
        <v>-6.4516129032258061</v>
      </c>
      <c r="Y919" s="58">
        <v>3825</v>
      </c>
      <c r="Z919" s="58">
        <v>1050</v>
      </c>
      <c r="AA919" s="58">
        <v>15136.95</v>
      </c>
      <c r="AE919" s="57"/>
    </row>
    <row r="920" spans="1:31" x14ac:dyDescent="0.35">
      <c r="A920" s="56" t="s">
        <v>988</v>
      </c>
      <c r="B920" s="58">
        <v>16000</v>
      </c>
      <c r="C920" s="58" t="s">
        <v>36</v>
      </c>
      <c r="D920" s="58">
        <v>0</v>
      </c>
      <c r="E920" s="58">
        <v>0</v>
      </c>
      <c r="F920" s="58">
        <v>0</v>
      </c>
      <c r="G920" s="58">
        <v>0</v>
      </c>
      <c r="H920" s="58">
        <v>0</v>
      </c>
      <c r="I920" s="58">
        <v>0</v>
      </c>
      <c r="J920" s="58">
        <v>0</v>
      </c>
      <c r="K920" s="58">
        <v>0</v>
      </c>
      <c r="L920" s="58">
        <v>4875</v>
      </c>
      <c r="M920" s="58">
        <v>4875</v>
      </c>
      <c r="N920" s="58">
        <v>15136.95</v>
      </c>
      <c r="O920" s="58">
        <v>16000</v>
      </c>
      <c r="P920" s="58" t="s">
        <v>36</v>
      </c>
      <c r="Q920" s="58">
        <v>217</v>
      </c>
      <c r="R920" s="58">
        <v>7</v>
      </c>
      <c r="S920" s="58">
        <v>3.3333333333333335</v>
      </c>
      <c r="T920" s="58">
        <v>96</v>
      </c>
      <c r="U920" s="58">
        <v>17.12</v>
      </c>
      <c r="V920" s="58">
        <v>36.1</v>
      </c>
      <c r="W920" s="58">
        <v>-3.1000000000000014</v>
      </c>
      <c r="X920" s="58">
        <v>-7.9081632653061256</v>
      </c>
      <c r="Y920" s="58">
        <v>27825</v>
      </c>
      <c r="Z920" s="58">
        <v>2400</v>
      </c>
      <c r="AA920" s="58">
        <v>15136.95</v>
      </c>
      <c r="AE920" s="57"/>
    </row>
    <row r="921" spans="1:31" x14ac:dyDescent="0.35">
      <c r="A921" s="56" t="s">
        <v>989</v>
      </c>
      <c r="B921" s="58">
        <v>16000</v>
      </c>
      <c r="C921" s="58" t="s">
        <v>37</v>
      </c>
      <c r="D921" s="58">
        <v>0</v>
      </c>
      <c r="E921" s="58">
        <v>0</v>
      </c>
      <c r="F921" s="58">
        <v>0</v>
      </c>
      <c r="G921" s="58">
        <v>0</v>
      </c>
      <c r="H921" s="58">
        <v>0</v>
      </c>
      <c r="I921" s="58">
        <v>0</v>
      </c>
      <c r="J921" s="58">
        <v>0</v>
      </c>
      <c r="K921" s="58">
        <v>0</v>
      </c>
      <c r="L921" s="58">
        <v>4875</v>
      </c>
      <c r="M921" s="58">
        <v>4875</v>
      </c>
      <c r="N921" s="58">
        <v>15136.95</v>
      </c>
      <c r="O921" s="58">
        <v>16000</v>
      </c>
      <c r="P921" s="58" t="s">
        <v>37</v>
      </c>
      <c r="Q921" s="58">
        <v>34</v>
      </c>
      <c r="R921" s="58">
        <v>0</v>
      </c>
      <c r="S921" s="58">
        <v>0</v>
      </c>
      <c r="T921" s="58">
        <v>0</v>
      </c>
      <c r="U921" s="58">
        <v>0</v>
      </c>
      <c r="V921" s="58">
        <v>0</v>
      </c>
      <c r="W921" s="58">
        <v>0</v>
      </c>
      <c r="X921" s="58">
        <v>0</v>
      </c>
      <c r="Y921" s="58">
        <v>11850</v>
      </c>
      <c r="Z921" s="58">
        <v>7575</v>
      </c>
      <c r="AA921" s="58">
        <v>15136.95</v>
      </c>
      <c r="AE921" s="57"/>
    </row>
    <row r="922" spans="1:31" x14ac:dyDescent="0.35">
      <c r="A922" s="56" t="s">
        <v>990</v>
      </c>
      <c r="B922" s="58">
        <v>16000</v>
      </c>
      <c r="C922" s="58" t="s">
        <v>38</v>
      </c>
      <c r="D922" s="58">
        <v>0</v>
      </c>
      <c r="E922" s="58">
        <v>0</v>
      </c>
      <c r="F922" s="58">
        <v>0</v>
      </c>
      <c r="G922" s="58">
        <v>0</v>
      </c>
      <c r="H922" s="58">
        <v>0</v>
      </c>
      <c r="I922" s="58">
        <v>0</v>
      </c>
      <c r="J922" s="58">
        <v>0</v>
      </c>
      <c r="K922" s="58">
        <v>0</v>
      </c>
      <c r="L922" s="58">
        <v>4875</v>
      </c>
      <c r="M922" s="58">
        <v>4875</v>
      </c>
      <c r="N922" s="58">
        <v>15136.95</v>
      </c>
      <c r="O922" s="58">
        <v>16000</v>
      </c>
      <c r="P922" s="58" t="s">
        <v>38</v>
      </c>
      <c r="Q922" s="58">
        <v>16</v>
      </c>
      <c r="R922" s="58">
        <v>0</v>
      </c>
      <c r="S922" s="58">
        <v>0</v>
      </c>
      <c r="T922" s="58">
        <v>0</v>
      </c>
      <c r="U922" s="58">
        <v>0</v>
      </c>
      <c r="V922" s="58">
        <v>0</v>
      </c>
      <c r="W922" s="58">
        <v>0</v>
      </c>
      <c r="X922" s="58">
        <v>0</v>
      </c>
      <c r="Y922" s="58">
        <v>2325</v>
      </c>
      <c r="Z922" s="58">
        <v>375</v>
      </c>
      <c r="AA922" s="58">
        <v>15136.95</v>
      </c>
      <c r="AE922" s="57"/>
    </row>
    <row r="923" spans="1:31" x14ac:dyDescent="0.35">
      <c r="A923" s="56" t="s">
        <v>991</v>
      </c>
      <c r="B923" s="58">
        <v>16000</v>
      </c>
      <c r="C923" s="58" t="s">
        <v>26</v>
      </c>
      <c r="D923" s="58">
        <v>2474</v>
      </c>
      <c r="E923" s="58">
        <v>23</v>
      </c>
      <c r="F923" s="58">
        <v>0.93839249286005721</v>
      </c>
      <c r="G923" s="58">
        <v>161</v>
      </c>
      <c r="H923" s="58">
        <v>25.08</v>
      </c>
      <c r="I923" s="58">
        <v>934</v>
      </c>
      <c r="J923" s="58">
        <v>-9.9500000000000437</v>
      </c>
      <c r="K923" s="58">
        <v>-1.0540812543037286</v>
      </c>
      <c r="L923" s="58">
        <v>13950</v>
      </c>
      <c r="M923" s="58">
        <v>13050</v>
      </c>
      <c r="N923" s="58">
        <v>15136.95</v>
      </c>
      <c r="O923" s="58">
        <v>16000</v>
      </c>
      <c r="P923" s="58" t="s">
        <v>26</v>
      </c>
      <c r="Q923" s="58">
        <v>9115</v>
      </c>
      <c r="R923" s="58">
        <v>297</v>
      </c>
      <c r="S923" s="58">
        <v>3.3681106826944887</v>
      </c>
      <c r="T923" s="58">
        <v>1376</v>
      </c>
      <c r="U923" s="58">
        <v>16.95</v>
      </c>
      <c r="V923" s="58">
        <v>113.95</v>
      </c>
      <c r="W923" s="58">
        <v>-5.2000000000000028</v>
      </c>
      <c r="X923" s="58">
        <v>-4.3642467477968969</v>
      </c>
      <c r="Y923" s="58">
        <v>142950</v>
      </c>
      <c r="Z923" s="58">
        <v>41850</v>
      </c>
      <c r="AA923" s="58">
        <v>15136.95</v>
      </c>
      <c r="AE923" s="57"/>
    </row>
    <row r="924" spans="1:31" x14ac:dyDescent="0.35">
      <c r="A924" s="56" t="s">
        <v>992</v>
      </c>
      <c r="B924" s="58">
        <v>16000</v>
      </c>
      <c r="C924" s="58" t="s">
        <v>67</v>
      </c>
      <c r="D924" s="58">
        <v>0</v>
      </c>
      <c r="E924" s="58">
        <v>0</v>
      </c>
      <c r="F924" s="58">
        <v>0</v>
      </c>
      <c r="G924" s="58">
        <v>0</v>
      </c>
      <c r="H924" s="58">
        <v>0</v>
      </c>
      <c r="I924" s="58">
        <v>0</v>
      </c>
      <c r="J924" s="58">
        <v>0</v>
      </c>
      <c r="K924" s="58">
        <v>0</v>
      </c>
      <c r="L924" s="58">
        <v>4875</v>
      </c>
      <c r="M924" s="58">
        <v>4875</v>
      </c>
      <c r="N924" s="58">
        <v>15136.95</v>
      </c>
      <c r="O924" s="58">
        <v>16000</v>
      </c>
      <c r="P924" s="58" t="s">
        <v>67</v>
      </c>
      <c r="Q924" s="58">
        <v>3</v>
      </c>
      <c r="R924" s="58">
        <v>0</v>
      </c>
      <c r="S924" s="58">
        <v>0</v>
      </c>
      <c r="T924" s="58">
        <v>0</v>
      </c>
      <c r="U924" s="58">
        <v>0</v>
      </c>
      <c r="V924" s="58">
        <v>0</v>
      </c>
      <c r="W924" s="58">
        <v>0</v>
      </c>
      <c r="X924" s="58">
        <v>0</v>
      </c>
      <c r="Y924" s="58">
        <v>1050</v>
      </c>
      <c r="Z924" s="58">
        <v>5100</v>
      </c>
      <c r="AA924" s="58">
        <v>15136.95</v>
      </c>
      <c r="AE924" s="57"/>
    </row>
    <row r="925" spans="1:31" x14ac:dyDescent="0.35">
      <c r="A925" s="56" t="s">
        <v>993</v>
      </c>
      <c r="B925" s="58">
        <v>16000</v>
      </c>
      <c r="C925" s="58" t="s">
        <v>2074</v>
      </c>
      <c r="D925" s="58">
        <v>0</v>
      </c>
      <c r="E925" s="58">
        <v>0</v>
      </c>
      <c r="F925" s="58">
        <v>0</v>
      </c>
      <c r="G925" s="58">
        <v>0</v>
      </c>
      <c r="H925" s="58">
        <v>0</v>
      </c>
      <c r="I925" s="58">
        <v>0</v>
      </c>
      <c r="J925" s="58">
        <v>0</v>
      </c>
      <c r="K925" s="58">
        <v>0</v>
      </c>
      <c r="L925" s="58">
        <v>4875</v>
      </c>
      <c r="M925" s="58">
        <v>4875</v>
      </c>
      <c r="N925" s="58">
        <v>15136.95</v>
      </c>
      <c r="O925" s="58">
        <v>16000</v>
      </c>
      <c r="P925" s="58" t="s">
        <v>2074</v>
      </c>
      <c r="Q925" s="58">
        <v>0</v>
      </c>
      <c r="R925" s="58">
        <v>0</v>
      </c>
      <c r="S925" s="58">
        <v>0</v>
      </c>
      <c r="T925" s="58">
        <v>0</v>
      </c>
      <c r="U925" s="58">
        <v>0</v>
      </c>
      <c r="V925" s="58">
        <v>0</v>
      </c>
      <c r="W925" s="58">
        <v>0</v>
      </c>
      <c r="X925" s="58">
        <v>0</v>
      </c>
      <c r="Y925" s="58">
        <v>3150</v>
      </c>
      <c r="Z925" s="58">
        <v>0</v>
      </c>
      <c r="AA925" s="58">
        <v>15136.95</v>
      </c>
      <c r="AE925" s="57"/>
    </row>
    <row r="926" spans="1:31" x14ac:dyDescent="0.35">
      <c r="A926" s="56" t="s">
        <v>994</v>
      </c>
      <c r="B926" s="58">
        <v>16000</v>
      </c>
      <c r="C926" s="58" t="s">
        <v>2071</v>
      </c>
      <c r="D926" s="58">
        <v>217</v>
      </c>
      <c r="E926" s="58">
        <v>4</v>
      </c>
      <c r="F926" s="58">
        <v>1.8779342723004695</v>
      </c>
      <c r="G926" s="58">
        <v>16</v>
      </c>
      <c r="H926" s="58">
        <v>24.4</v>
      </c>
      <c r="I926" s="58">
        <v>980</v>
      </c>
      <c r="J926" s="58">
        <v>-30.5</v>
      </c>
      <c r="K926" s="58">
        <v>-3.0183077684314696</v>
      </c>
      <c r="L926" s="58">
        <v>8925</v>
      </c>
      <c r="M926" s="58">
        <v>3000</v>
      </c>
      <c r="N926" s="58">
        <v>15136.95</v>
      </c>
      <c r="O926" s="58">
        <v>16000</v>
      </c>
      <c r="P926" s="58" t="s">
        <v>2071</v>
      </c>
      <c r="Q926" s="58">
        <v>1287</v>
      </c>
      <c r="R926" s="58">
        <v>124</v>
      </c>
      <c r="S926" s="58">
        <v>10.662080825451421</v>
      </c>
      <c r="T926" s="58">
        <v>201</v>
      </c>
      <c r="U926" s="58">
        <v>15.36</v>
      </c>
      <c r="V926" s="58">
        <v>218.3</v>
      </c>
      <c r="W926" s="58">
        <v>-10.25</v>
      </c>
      <c r="X926" s="58">
        <v>-4.4847954495733973</v>
      </c>
      <c r="Y926" s="58">
        <v>14550</v>
      </c>
      <c r="Z926" s="58">
        <v>18975</v>
      </c>
      <c r="AA926" s="58">
        <v>15136.95</v>
      </c>
      <c r="AE926" s="57"/>
    </row>
    <row r="927" spans="1:31" x14ac:dyDescent="0.35">
      <c r="A927" s="56" t="s">
        <v>995</v>
      </c>
      <c r="B927" s="58">
        <v>16000</v>
      </c>
      <c r="C927" s="58" t="s">
        <v>27</v>
      </c>
      <c r="D927" s="58">
        <v>0</v>
      </c>
      <c r="E927" s="58">
        <v>0</v>
      </c>
      <c r="F927" s="58">
        <v>0</v>
      </c>
      <c r="G927" s="58">
        <v>0</v>
      </c>
      <c r="H927" s="58">
        <v>0</v>
      </c>
      <c r="I927" s="58">
        <v>0</v>
      </c>
      <c r="J927" s="58">
        <v>0</v>
      </c>
      <c r="K927" s="58">
        <v>0</v>
      </c>
      <c r="L927" s="58">
        <v>3750</v>
      </c>
      <c r="M927" s="58">
        <v>0</v>
      </c>
      <c r="N927" s="58">
        <v>15136.95</v>
      </c>
      <c r="O927" s="58">
        <v>16000</v>
      </c>
      <c r="P927" s="58" t="s">
        <v>27</v>
      </c>
      <c r="Q927" s="58">
        <v>110</v>
      </c>
      <c r="R927" s="58">
        <v>0</v>
      </c>
      <c r="S927" s="58">
        <v>0</v>
      </c>
      <c r="T927" s="58">
        <v>0</v>
      </c>
      <c r="U927" s="58">
        <v>0</v>
      </c>
      <c r="V927" s="58">
        <v>0</v>
      </c>
      <c r="W927" s="58">
        <v>0</v>
      </c>
      <c r="X927" s="58">
        <v>0</v>
      </c>
      <c r="Y927" s="58">
        <v>5550</v>
      </c>
      <c r="Z927" s="58">
        <v>2100</v>
      </c>
      <c r="AA927" s="58">
        <v>15136.95</v>
      </c>
      <c r="AE927" s="57"/>
    </row>
    <row r="928" spans="1:31" x14ac:dyDescent="0.35">
      <c r="A928" s="56" t="s">
        <v>996</v>
      </c>
      <c r="B928" s="58">
        <v>16000</v>
      </c>
      <c r="C928" s="58" t="s">
        <v>31</v>
      </c>
      <c r="D928" s="58">
        <v>0</v>
      </c>
      <c r="E928" s="58">
        <v>0</v>
      </c>
      <c r="F928" s="58">
        <v>0</v>
      </c>
      <c r="G928" s="58">
        <v>0</v>
      </c>
      <c r="H928" s="58">
        <v>0</v>
      </c>
      <c r="I928" s="58">
        <v>0</v>
      </c>
      <c r="J928" s="58">
        <v>0</v>
      </c>
      <c r="K928" s="58">
        <v>0</v>
      </c>
      <c r="L928" s="58">
        <v>3075</v>
      </c>
      <c r="M928" s="58">
        <v>0</v>
      </c>
      <c r="N928" s="58">
        <v>15136.95</v>
      </c>
      <c r="O928" s="58">
        <v>16000</v>
      </c>
      <c r="P928" s="58" t="s">
        <v>31</v>
      </c>
      <c r="Q928" s="58">
        <v>0</v>
      </c>
      <c r="R928" s="58">
        <v>0</v>
      </c>
      <c r="S928" s="58">
        <v>0</v>
      </c>
      <c r="T928" s="58">
        <v>0</v>
      </c>
      <c r="U928" s="58">
        <v>0</v>
      </c>
      <c r="V928" s="58">
        <v>0</v>
      </c>
      <c r="W928" s="58">
        <v>0</v>
      </c>
      <c r="X928" s="58">
        <v>0</v>
      </c>
      <c r="Y928" s="58">
        <v>3000</v>
      </c>
      <c r="Z928" s="58">
        <v>0</v>
      </c>
      <c r="AA928" s="58">
        <v>15136.95</v>
      </c>
      <c r="AE928" s="57"/>
    </row>
    <row r="929" spans="1:31" x14ac:dyDescent="0.35">
      <c r="A929" s="56" t="s">
        <v>997</v>
      </c>
      <c r="B929" s="58">
        <v>16000</v>
      </c>
      <c r="C929" s="58" t="s">
        <v>35</v>
      </c>
      <c r="D929" s="58">
        <v>37</v>
      </c>
      <c r="E929" s="58">
        <v>4</v>
      </c>
      <c r="F929" s="58">
        <v>12.121212121212119</v>
      </c>
      <c r="G929" s="58">
        <v>37</v>
      </c>
      <c r="H929" s="58">
        <v>58.81</v>
      </c>
      <c r="I929" s="58">
        <v>857.75</v>
      </c>
      <c r="J929" s="58">
        <v>-36.799999999999955</v>
      </c>
      <c r="K929" s="58">
        <v>-4.1138002347548994</v>
      </c>
      <c r="L929" s="58">
        <v>23250</v>
      </c>
      <c r="M929" s="58">
        <v>18075</v>
      </c>
      <c r="N929" s="58">
        <v>15136.95</v>
      </c>
      <c r="O929" s="58">
        <v>16000</v>
      </c>
      <c r="P929" s="58" t="s">
        <v>35</v>
      </c>
      <c r="Q929" s="58">
        <v>36611</v>
      </c>
      <c r="R929" s="58">
        <v>87</v>
      </c>
      <c r="S929" s="58">
        <v>0.23819954002847443</v>
      </c>
      <c r="T929" s="58">
        <v>32599</v>
      </c>
      <c r="U929" s="58">
        <v>38.24</v>
      </c>
      <c r="V929" s="58">
        <v>0.35</v>
      </c>
      <c r="W929" s="58">
        <v>-1.1499999999999999</v>
      </c>
      <c r="X929" s="58">
        <v>-76.666666666666657</v>
      </c>
      <c r="Y929" s="58">
        <v>2685600</v>
      </c>
      <c r="Z929" s="58">
        <v>174300</v>
      </c>
      <c r="AA929" s="58">
        <v>15136.95</v>
      </c>
      <c r="AE929" s="57"/>
    </row>
    <row r="930" spans="1:31" x14ac:dyDescent="0.35">
      <c r="A930" s="56" t="s">
        <v>998</v>
      </c>
      <c r="B930" s="58">
        <v>16000</v>
      </c>
      <c r="C930" s="58" t="s">
        <v>33</v>
      </c>
      <c r="D930" s="58">
        <v>4009</v>
      </c>
      <c r="E930" s="58">
        <v>24</v>
      </c>
      <c r="F930" s="58">
        <v>0.60225846925972393</v>
      </c>
      <c r="G930" s="58">
        <v>263</v>
      </c>
      <c r="H930" s="58">
        <v>26.12</v>
      </c>
      <c r="I930" s="58">
        <v>872.5</v>
      </c>
      <c r="J930" s="58">
        <v>-0.14999999999997726</v>
      </c>
      <c r="K930" s="58">
        <v>-1.7189021944648743E-2</v>
      </c>
      <c r="L930" s="58">
        <v>47175</v>
      </c>
      <c r="M930" s="58">
        <v>24300</v>
      </c>
      <c r="N930" s="58">
        <v>15136.95</v>
      </c>
      <c r="O930" s="58">
        <v>16000</v>
      </c>
      <c r="P930" s="58" t="s">
        <v>33</v>
      </c>
      <c r="Q930" s="58">
        <v>25688</v>
      </c>
      <c r="R930" s="58">
        <v>-532</v>
      </c>
      <c r="S930" s="58">
        <v>-2.0289855072463769</v>
      </c>
      <c r="T930" s="58">
        <v>8137</v>
      </c>
      <c r="U930" s="58">
        <v>16.97</v>
      </c>
      <c r="V930" s="58">
        <v>13.75</v>
      </c>
      <c r="W930" s="58">
        <v>-2.1500000000000004</v>
      </c>
      <c r="X930" s="58">
        <v>-13.522012578616357</v>
      </c>
      <c r="Y930" s="58">
        <v>153300</v>
      </c>
      <c r="Z930" s="58">
        <v>159450</v>
      </c>
      <c r="AA930" s="58">
        <v>15136.95</v>
      </c>
      <c r="AE930" s="57"/>
    </row>
    <row r="931" spans="1:31" x14ac:dyDescent="0.35">
      <c r="A931" s="56" t="s">
        <v>999</v>
      </c>
      <c r="B931" s="58">
        <v>16050</v>
      </c>
      <c r="C931" s="58" t="s">
        <v>34</v>
      </c>
      <c r="D931" s="58">
        <v>0</v>
      </c>
      <c r="E931" s="58">
        <v>0</v>
      </c>
      <c r="F931" s="58">
        <v>0</v>
      </c>
      <c r="G931" s="58">
        <v>0</v>
      </c>
      <c r="H931" s="58">
        <v>0</v>
      </c>
      <c r="I931" s="58">
        <v>0</v>
      </c>
      <c r="J931" s="58">
        <v>0</v>
      </c>
      <c r="K931" s="58">
        <v>0</v>
      </c>
      <c r="L931" s="58">
        <v>18150</v>
      </c>
      <c r="M931" s="58">
        <v>9900</v>
      </c>
      <c r="N931" s="58">
        <v>15136.95</v>
      </c>
      <c r="O931" s="58">
        <v>16050</v>
      </c>
      <c r="P931" s="58" t="s">
        <v>34</v>
      </c>
      <c r="Q931" s="58">
        <v>93</v>
      </c>
      <c r="R931" s="58">
        <v>1</v>
      </c>
      <c r="S931" s="58">
        <v>1.0869565217391304</v>
      </c>
      <c r="T931" s="58">
        <v>130</v>
      </c>
      <c r="U931" s="58">
        <v>20.12</v>
      </c>
      <c r="V931" s="58">
        <v>3.35</v>
      </c>
      <c r="W931" s="58">
        <v>-1.4499999999999995</v>
      </c>
      <c r="X931" s="58">
        <v>-30.208333333333332</v>
      </c>
      <c r="Y931" s="58">
        <v>60750</v>
      </c>
      <c r="Z931" s="58">
        <v>13350</v>
      </c>
      <c r="AA931" s="58">
        <v>15136.95</v>
      </c>
      <c r="AE931" s="57"/>
    </row>
    <row r="932" spans="1:31" x14ac:dyDescent="0.35">
      <c r="A932" s="56" t="s">
        <v>1000</v>
      </c>
      <c r="B932" s="58">
        <v>16050</v>
      </c>
      <c r="C932" s="58" t="s">
        <v>37</v>
      </c>
      <c r="D932" s="58">
        <v>0</v>
      </c>
      <c r="E932" s="58">
        <v>0</v>
      </c>
      <c r="F932" s="58">
        <v>0</v>
      </c>
      <c r="G932" s="58">
        <v>0</v>
      </c>
      <c r="H932" s="58">
        <v>0</v>
      </c>
      <c r="I932" s="58">
        <v>0</v>
      </c>
      <c r="J932" s="58">
        <v>0</v>
      </c>
      <c r="K932" s="58">
        <v>0</v>
      </c>
      <c r="L932" s="58">
        <v>4875</v>
      </c>
      <c r="M932" s="58">
        <v>4875</v>
      </c>
      <c r="N932" s="58">
        <v>15136.95</v>
      </c>
      <c r="O932" s="58">
        <v>16050</v>
      </c>
      <c r="P932" s="58" t="s">
        <v>37</v>
      </c>
      <c r="Q932" s="58">
        <v>0</v>
      </c>
      <c r="R932" s="58">
        <v>0</v>
      </c>
      <c r="S932" s="58">
        <v>0</v>
      </c>
      <c r="T932" s="58">
        <v>0</v>
      </c>
      <c r="U932" s="58">
        <v>0</v>
      </c>
      <c r="V932" s="58">
        <v>0</v>
      </c>
      <c r="W932" s="58">
        <v>0</v>
      </c>
      <c r="X932" s="58">
        <v>0</v>
      </c>
      <c r="Y932" s="58">
        <v>75</v>
      </c>
      <c r="Z932" s="58">
        <v>4875</v>
      </c>
      <c r="AA932" s="58">
        <v>15136.95</v>
      </c>
      <c r="AE932" s="57"/>
    </row>
    <row r="933" spans="1:31" x14ac:dyDescent="0.35">
      <c r="A933" s="56" t="s">
        <v>1001</v>
      </c>
      <c r="B933" s="58">
        <v>16050</v>
      </c>
      <c r="C933" s="58" t="s">
        <v>36</v>
      </c>
      <c r="D933" s="58">
        <v>0</v>
      </c>
      <c r="E933" s="58">
        <v>0</v>
      </c>
      <c r="F933" s="58">
        <v>0</v>
      </c>
      <c r="G933" s="58">
        <v>0</v>
      </c>
      <c r="H933" s="58">
        <v>0</v>
      </c>
      <c r="I933" s="58">
        <v>0</v>
      </c>
      <c r="J933" s="58">
        <v>0</v>
      </c>
      <c r="K933" s="58">
        <v>0</v>
      </c>
      <c r="L933" s="58">
        <v>4875</v>
      </c>
      <c r="M933" s="58">
        <v>4875</v>
      </c>
      <c r="N933" s="58">
        <v>15136.95</v>
      </c>
      <c r="O933" s="58">
        <v>16050</v>
      </c>
      <c r="P933" s="58" t="s">
        <v>36</v>
      </c>
      <c r="Q933" s="58">
        <v>0</v>
      </c>
      <c r="R933" s="58">
        <v>0</v>
      </c>
      <c r="S933" s="58">
        <v>0</v>
      </c>
      <c r="T933" s="58">
        <v>0</v>
      </c>
      <c r="U933" s="58">
        <v>0</v>
      </c>
      <c r="V933" s="58">
        <v>0</v>
      </c>
      <c r="W933" s="58">
        <v>0</v>
      </c>
      <c r="X933" s="58">
        <v>0</v>
      </c>
      <c r="Y933" s="58">
        <v>75</v>
      </c>
      <c r="Z933" s="58">
        <v>5025</v>
      </c>
      <c r="AA933" s="58">
        <v>15136.95</v>
      </c>
      <c r="AE933" s="57"/>
    </row>
    <row r="934" spans="1:31" x14ac:dyDescent="0.35">
      <c r="A934" s="56" t="s">
        <v>1002</v>
      </c>
      <c r="B934" s="58">
        <v>16050</v>
      </c>
      <c r="C934" s="58" t="s">
        <v>35</v>
      </c>
      <c r="D934" s="58">
        <v>0</v>
      </c>
      <c r="E934" s="58">
        <v>0</v>
      </c>
      <c r="F934" s="58">
        <v>0</v>
      </c>
      <c r="G934" s="58">
        <v>0</v>
      </c>
      <c r="H934" s="58">
        <v>0</v>
      </c>
      <c r="I934" s="58">
        <v>0</v>
      </c>
      <c r="J934" s="58">
        <v>0</v>
      </c>
      <c r="K934" s="58">
        <v>0</v>
      </c>
      <c r="L934" s="58">
        <v>18225</v>
      </c>
      <c r="M934" s="58">
        <v>14250</v>
      </c>
      <c r="N934" s="58">
        <v>15136.95</v>
      </c>
      <c r="O934" s="58">
        <v>16050</v>
      </c>
      <c r="P934" s="58" t="s">
        <v>35</v>
      </c>
      <c r="Q934" s="58">
        <v>1077</v>
      </c>
      <c r="R934" s="58">
        <v>633</v>
      </c>
      <c r="S934" s="58">
        <v>142.56756756756758</v>
      </c>
      <c r="T934" s="58">
        <v>1565</v>
      </c>
      <c r="U934" s="58">
        <v>39.49</v>
      </c>
      <c r="V934" s="58">
        <v>0.2</v>
      </c>
      <c r="W934" s="58">
        <v>-1.05</v>
      </c>
      <c r="X934" s="58">
        <v>-84.000000000000014</v>
      </c>
      <c r="Y934" s="58">
        <v>53100</v>
      </c>
      <c r="Z934" s="58">
        <v>52950</v>
      </c>
      <c r="AA934" s="58">
        <v>15136.95</v>
      </c>
      <c r="AE934" s="57"/>
    </row>
    <row r="935" spans="1:31" x14ac:dyDescent="0.35">
      <c r="A935" s="56" t="s">
        <v>1003</v>
      </c>
      <c r="B935" s="58">
        <v>16050</v>
      </c>
      <c r="C935" s="58" t="s">
        <v>38</v>
      </c>
      <c r="D935" s="58">
        <v>0</v>
      </c>
      <c r="E935" s="58">
        <v>0</v>
      </c>
      <c r="F935" s="58">
        <v>0</v>
      </c>
      <c r="G935" s="58">
        <v>0</v>
      </c>
      <c r="H935" s="58">
        <v>0</v>
      </c>
      <c r="I935" s="58">
        <v>0</v>
      </c>
      <c r="J935" s="58">
        <v>0</v>
      </c>
      <c r="K935" s="58">
        <v>0</v>
      </c>
      <c r="L935" s="58">
        <v>4875</v>
      </c>
      <c r="M935" s="58">
        <v>4875</v>
      </c>
      <c r="N935" s="58">
        <v>15136.95</v>
      </c>
      <c r="O935" s="58">
        <v>16050</v>
      </c>
      <c r="P935" s="58" t="s">
        <v>38</v>
      </c>
      <c r="Q935" s="58">
        <v>0</v>
      </c>
      <c r="R935" s="58">
        <v>0</v>
      </c>
      <c r="S935" s="58">
        <v>0</v>
      </c>
      <c r="T935" s="58">
        <v>0</v>
      </c>
      <c r="U935" s="58">
        <v>0</v>
      </c>
      <c r="V935" s="58">
        <v>0</v>
      </c>
      <c r="W935" s="58">
        <v>0</v>
      </c>
      <c r="X935" s="58">
        <v>0</v>
      </c>
      <c r="Y935" s="58">
        <v>0</v>
      </c>
      <c r="Z935" s="58">
        <v>4875</v>
      </c>
      <c r="AA935" s="58">
        <v>15136.95</v>
      </c>
      <c r="AE935" s="57"/>
    </row>
    <row r="936" spans="1:31" x14ac:dyDescent="0.35">
      <c r="A936" s="56" t="s">
        <v>1004</v>
      </c>
      <c r="B936" s="58">
        <v>16050</v>
      </c>
      <c r="C936" s="58" t="s">
        <v>26</v>
      </c>
      <c r="D936" s="58">
        <v>0</v>
      </c>
      <c r="E936" s="58">
        <v>0</v>
      </c>
      <c r="F936" s="58">
        <v>0</v>
      </c>
      <c r="G936" s="58">
        <v>0</v>
      </c>
      <c r="H936" s="58">
        <v>0</v>
      </c>
      <c r="I936" s="58">
        <v>0</v>
      </c>
      <c r="J936" s="58">
        <v>0</v>
      </c>
      <c r="K936" s="58">
        <v>0</v>
      </c>
      <c r="L936" s="58">
        <v>12675</v>
      </c>
      <c r="M936" s="58">
        <v>7725</v>
      </c>
      <c r="N936" s="58">
        <v>15136.95</v>
      </c>
      <c r="O936" s="58">
        <v>16050</v>
      </c>
      <c r="P936" s="58" t="s">
        <v>26</v>
      </c>
      <c r="Q936" s="58">
        <v>8</v>
      </c>
      <c r="R936" s="58">
        <v>1</v>
      </c>
      <c r="S936" s="58">
        <v>14.285714285714286</v>
      </c>
      <c r="T936" s="58">
        <v>1</v>
      </c>
      <c r="U936" s="58">
        <v>22.08</v>
      </c>
      <c r="V936" s="58">
        <v>189.1</v>
      </c>
      <c r="W936" s="58">
        <v>92.5</v>
      </c>
      <c r="X936" s="58">
        <v>95.755693581780562</v>
      </c>
      <c r="Y936" s="58">
        <v>13050</v>
      </c>
      <c r="Z936" s="58">
        <v>1050</v>
      </c>
      <c r="AA936" s="58">
        <v>15136.95</v>
      </c>
      <c r="AE936" s="57"/>
    </row>
    <row r="937" spans="1:31" x14ac:dyDescent="0.35">
      <c r="A937" s="56" t="s">
        <v>1005</v>
      </c>
      <c r="B937" s="58">
        <v>16050</v>
      </c>
      <c r="C937" s="58" t="s">
        <v>67</v>
      </c>
      <c r="D937" s="58">
        <v>0</v>
      </c>
      <c r="E937" s="58">
        <v>0</v>
      </c>
      <c r="F937" s="58">
        <v>0</v>
      </c>
      <c r="G937" s="58">
        <v>0</v>
      </c>
      <c r="H937" s="58">
        <v>0</v>
      </c>
      <c r="I937" s="58">
        <v>0</v>
      </c>
      <c r="J937" s="58">
        <v>0</v>
      </c>
      <c r="K937" s="58">
        <v>0</v>
      </c>
      <c r="L937" s="58">
        <v>4875</v>
      </c>
      <c r="M937" s="58">
        <v>4875</v>
      </c>
      <c r="N937" s="58">
        <v>15136.95</v>
      </c>
      <c r="O937" s="58">
        <v>16050</v>
      </c>
      <c r="P937" s="58" t="s">
        <v>67</v>
      </c>
      <c r="Q937" s="58">
        <v>0</v>
      </c>
      <c r="R937" s="58">
        <v>0</v>
      </c>
      <c r="S937" s="58">
        <v>0</v>
      </c>
      <c r="T937" s="58">
        <v>0</v>
      </c>
      <c r="U937" s="58">
        <v>0</v>
      </c>
      <c r="V937" s="58">
        <v>0</v>
      </c>
      <c r="W937" s="58">
        <v>0</v>
      </c>
      <c r="X937" s="58">
        <v>0</v>
      </c>
      <c r="Y937" s="58">
        <v>0</v>
      </c>
      <c r="Z937" s="58">
        <v>4875</v>
      </c>
      <c r="AA937" s="58">
        <v>15136.95</v>
      </c>
      <c r="AE937" s="57"/>
    </row>
    <row r="938" spans="1:31" x14ac:dyDescent="0.35">
      <c r="A938" s="56" t="s">
        <v>1006</v>
      </c>
      <c r="B938" s="58">
        <v>16050</v>
      </c>
      <c r="C938" s="58" t="s">
        <v>2074</v>
      </c>
      <c r="D938" s="58">
        <v>0</v>
      </c>
      <c r="E938" s="58">
        <v>0</v>
      </c>
      <c r="F938" s="58">
        <v>0</v>
      </c>
      <c r="G938" s="58">
        <v>0</v>
      </c>
      <c r="H938" s="58">
        <v>0</v>
      </c>
      <c r="I938" s="58">
        <v>0</v>
      </c>
      <c r="J938" s="58">
        <v>0</v>
      </c>
      <c r="K938" s="58">
        <v>0</v>
      </c>
      <c r="L938" s="58">
        <v>4875</v>
      </c>
      <c r="M938" s="58">
        <v>4875</v>
      </c>
      <c r="N938" s="58">
        <v>15136.95</v>
      </c>
      <c r="O938" s="58">
        <v>16050</v>
      </c>
      <c r="P938" s="58" t="s">
        <v>2074</v>
      </c>
      <c r="Q938" s="58">
        <v>0</v>
      </c>
      <c r="R938" s="58">
        <v>0</v>
      </c>
      <c r="S938" s="58">
        <v>0</v>
      </c>
      <c r="T938" s="58">
        <v>0</v>
      </c>
      <c r="U938" s="58">
        <v>0</v>
      </c>
      <c r="V938" s="58">
        <v>0</v>
      </c>
      <c r="W938" s="58">
        <v>0</v>
      </c>
      <c r="X938" s="58">
        <v>0</v>
      </c>
      <c r="Y938" s="58">
        <v>0</v>
      </c>
      <c r="Z938" s="58">
        <v>4875</v>
      </c>
      <c r="AA938" s="58">
        <v>15136.95</v>
      </c>
      <c r="AE938" s="57"/>
    </row>
    <row r="939" spans="1:31" x14ac:dyDescent="0.35">
      <c r="A939" s="56" t="s">
        <v>1007</v>
      </c>
      <c r="B939" s="58">
        <v>16050</v>
      </c>
      <c r="C939" s="58" t="s">
        <v>2071</v>
      </c>
      <c r="D939" s="58">
        <v>0</v>
      </c>
      <c r="E939" s="58">
        <v>0</v>
      </c>
      <c r="F939" s="58">
        <v>0</v>
      </c>
      <c r="G939" s="58">
        <v>0</v>
      </c>
      <c r="H939" s="58">
        <v>0</v>
      </c>
      <c r="I939" s="58">
        <v>0</v>
      </c>
      <c r="J939" s="58">
        <v>0</v>
      </c>
      <c r="K939" s="58">
        <v>0</v>
      </c>
      <c r="L939" s="58">
        <v>4875</v>
      </c>
      <c r="M939" s="58">
        <v>4875</v>
      </c>
      <c r="N939" s="58">
        <v>15136.95</v>
      </c>
      <c r="O939" s="58">
        <v>0</v>
      </c>
      <c r="P939" s="58">
        <v>0</v>
      </c>
      <c r="Q939" s="58">
        <v>0</v>
      </c>
      <c r="R939" s="58">
        <v>0</v>
      </c>
      <c r="S939" s="58">
        <v>0</v>
      </c>
      <c r="T939" s="58">
        <v>0</v>
      </c>
      <c r="U939" s="58">
        <v>0</v>
      </c>
      <c r="V939" s="58">
        <v>0</v>
      </c>
      <c r="W939" s="58">
        <v>0</v>
      </c>
      <c r="X939" s="58">
        <v>0</v>
      </c>
      <c r="Y939" s="58">
        <v>0</v>
      </c>
      <c r="Z939" s="58">
        <v>0</v>
      </c>
      <c r="AA939" s="58">
        <v>0</v>
      </c>
      <c r="AE939" s="57"/>
    </row>
    <row r="940" spans="1:31" x14ac:dyDescent="0.35">
      <c r="A940" s="56" t="s">
        <v>1008</v>
      </c>
      <c r="B940" s="58">
        <v>16050</v>
      </c>
      <c r="C940" s="58" t="s">
        <v>33</v>
      </c>
      <c r="D940" s="58">
        <v>0</v>
      </c>
      <c r="E940" s="58">
        <v>0</v>
      </c>
      <c r="F940" s="58">
        <v>0</v>
      </c>
      <c r="G940" s="58">
        <v>1</v>
      </c>
      <c r="H940" s="58">
        <v>33.06</v>
      </c>
      <c r="I940" s="58">
        <v>956.75</v>
      </c>
      <c r="J940" s="58">
        <v>-605.25</v>
      </c>
      <c r="K940" s="58">
        <v>-38.748399487836103</v>
      </c>
      <c r="L940" s="58">
        <v>17175</v>
      </c>
      <c r="M940" s="58">
        <v>14175</v>
      </c>
      <c r="N940" s="58">
        <v>15136.95</v>
      </c>
      <c r="O940" s="58">
        <v>16050</v>
      </c>
      <c r="P940" s="58" t="s">
        <v>33</v>
      </c>
      <c r="Q940" s="58">
        <v>383</v>
      </c>
      <c r="R940" s="58">
        <v>-12</v>
      </c>
      <c r="S940" s="58">
        <v>-3.037974683544304</v>
      </c>
      <c r="T940" s="58">
        <v>256</v>
      </c>
      <c r="U940" s="58">
        <v>17.190000000000001</v>
      </c>
      <c r="V940" s="58">
        <v>11.8</v>
      </c>
      <c r="W940" s="58">
        <v>-2.1999999999999993</v>
      </c>
      <c r="X940" s="58">
        <v>-15.714285714285708</v>
      </c>
      <c r="Y940" s="58">
        <v>89850</v>
      </c>
      <c r="Z940" s="58">
        <v>16875</v>
      </c>
      <c r="AA940" s="58">
        <v>15136.95</v>
      </c>
      <c r="AE940" s="57"/>
    </row>
    <row r="941" spans="1:31" x14ac:dyDescent="0.35">
      <c r="A941" s="56" t="s">
        <v>1009</v>
      </c>
      <c r="B941" s="58">
        <v>16100</v>
      </c>
      <c r="C941" s="58" t="s">
        <v>35</v>
      </c>
      <c r="D941" s="58">
        <v>7</v>
      </c>
      <c r="E941" s="58">
        <v>0</v>
      </c>
      <c r="F941" s="58">
        <v>0</v>
      </c>
      <c r="G941" s="58">
        <v>9</v>
      </c>
      <c r="H941" s="58">
        <v>93.27</v>
      </c>
      <c r="I941" s="58">
        <v>989.25</v>
      </c>
      <c r="J941" s="58">
        <v>19.649999999999977</v>
      </c>
      <c r="K941" s="58">
        <v>2.0266089108910865</v>
      </c>
      <c r="L941" s="58">
        <v>20475</v>
      </c>
      <c r="M941" s="58">
        <v>15825</v>
      </c>
      <c r="N941" s="58">
        <v>15136.95</v>
      </c>
      <c r="O941" s="58">
        <v>16100</v>
      </c>
      <c r="P941" s="58" t="s">
        <v>35</v>
      </c>
      <c r="Q941" s="58">
        <v>8748</v>
      </c>
      <c r="R941" s="58">
        <v>375</v>
      </c>
      <c r="S941" s="58">
        <v>4.4786814761734144</v>
      </c>
      <c r="T941" s="58">
        <v>5171</v>
      </c>
      <c r="U941" s="58">
        <v>42.14</v>
      </c>
      <c r="V941" s="58">
        <v>0.3</v>
      </c>
      <c r="W941" s="58">
        <v>-1.2</v>
      </c>
      <c r="X941" s="58">
        <v>-80</v>
      </c>
      <c r="Y941" s="58">
        <v>445050</v>
      </c>
      <c r="Z941" s="58">
        <v>102225</v>
      </c>
      <c r="AA941" s="58">
        <v>15136.95</v>
      </c>
      <c r="AE941" s="57"/>
    </row>
    <row r="942" spans="1:31" x14ac:dyDescent="0.35">
      <c r="A942" s="56" t="s">
        <v>1010</v>
      </c>
      <c r="B942" s="58">
        <v>16100</v>
      </c>
      <c r="C942" s="58" t="s">
        <v>33</v>
      </c>
      <c r="D942" s="58">
        <v>107</v>
      </c>
      <c r="E942" s="58">
        <v>0</v>
      </c>
      <c r="F942" s="58">
        <v>0</v>
      </c>
      <c r="G942" s="58">
        <v>1</v>
      </c>
      <c r="H942" s="58">
        <v>33.380000000000003</v>
      </c>
      <c r="I942" s="58">
        <v>1000</v>
      </c>
      <c r="J942" s="58">
        <v>-14.399999999999975</v>
      </c>
      <c r="K942" s="58">
        <v>-1.4195583596214489</v>
      </c>
      <c r="L942" s="58">
        <v>21450</v>
      </c>
      <c r="M942" s="58">
        <v>16800</v>
      </c>
      <c r="N942" s="58">
        <v>15136.95</v>
      </c>
      <c r="O942" s="58">
        <v>16100</v>
      </c>
      <c r="P942" s="58" t="s">
        <v>33</v>
      </c>
      <c r="Q942" s="58">
        <v>2683</v>
      </c>
      <c r="R942" s="58">
        <v>350</v>
      </c>
      <c r="S942" s="58">
        <v>15.002143163309045</v>
      </c>
      <c r="T942" s="58">
        <v>1701</v>
      </c>
      <c r="U942" s="58">
        <v>17.5</v>
      </c>
      <c r="V942" s="58">
        <v>10.1</v>
      </c>
      <c r="W942" s="58">
        <v>-2.4500000000000011</v>
      </c>
      <c r="X942" s="58">
        <v>-19.521912350597617</v>
      </c>
      <c r="Y942" s="58">
        <v>93000</v>
      </c>
      <c r="Z942" s="58">
        <v>21600</v>
      </c>
      <c r="AA942" s="58">
        <v>15136.95</v>
      </c>
      <c r="AE942" s="57"/>
    </row>
    <row r="943" spans="1:31" x14ac:dyDescent="0.35">
      <c r="A943" s="56" t="s">
        <v>1011</v>
      </c>
      <c r="B943" s="58">
        <v>16100</v>
      </c>
      <c r="C943" s="58" t="s">
        <v>36</v>
      </c>
      <c r="D943" s="58">
        <v>0</v>
      </c>
      <c r="E943" s="58">
        <v>0</v>
      </c>
      <c r="F943" s="58">
        <v>0</v>
      </c>
      <c r="G943" s="58">
        <v>0</v>
      </c>
      <c r="H943" s="58">
        <v>0</v>
      </c>
      <c r="I943" s="58">
        <v>0</v>
      </c>
      <c r="J943" s="58">
        <v>0</v>
      </c>
      <c r="K943" s="58">
        <v>0</v>
      </c>
      <c r="L943" s="58">
        <v>4875</v>
      </c>
      <c r="M943" s="58">
        <v>4875</v>
      </c>
      <c r="N943" s="58">
        <v>15136.95</v>
      </c>
      <c r="O943" s="58">
        <v>16100</v>
      </c>
      <c r="P943" s="58" t="s">
        <v>36</v>
      </c>
      <c r="Q943" s="58">
        <v>3</v>
      </c>
      <c r="R943" s="58">
        <v>0</v>
      </c>
      <c r="S943" s="58">
        <v>0</v>
      </c>
      <c r="T943" s="58">
        <v>8</v>
      </c>
      <c r="U943" s="58">
        <v>17.670000000000002</v>
      </c>
      <c r="V943" s="58">
        <v>29.6</v>
      </c>
      <c r="W943" s="58">
        <v>-5.3999999999999986</v>
      </c>
      <c r="X943" s="58">
        <v>-15.428571428571423</v>
      </c>
      <c r="Y943" s="58">
        <v>8175</v>
      </c>
      <c r="Z943" s="58">
        <v>1125</v>
      </c>
      <c r="AA943" s="58">
        <v>15136.95</v>
      </c>
      <c r="AE943" s="57"/>
    </row>
    <row r="944" spans="1:31" x14ac:dyDescent="0.35">
      <c r="A944" s="56" t="s">
        <v>1012</v>
      </c>
      <c r="B944" s="58">
        <v>16100</v>
      </c>
      <c r="C944" s="58" t="s">
        <v>37</v>
      </c>
      <c r="D944" s="58">
        <v>0</v>
      </c>
      <c r="E944" s="58">
        <v>0</v>
      </c>
      <c r="F944" s="58">
        <v>0</v>
      </c>
      <c r="G944" s="58">
        <v>0</v>
      </c>
      <c r="H944" s="58">
        <v>0</v>
      </c>
      <c r="I944" s="58">
        <v>0</v>
      </c>
      <c r="J944" s="58">
        <v>0</v>
      </c>
      <c r="K944" s="58">
        <v>0</v>
      </c>
      <c r="L944" s="58">
        <v>4875</v>
      </c>
      <c r="M944" s="58">
        <v>4875</v>
      </c>
      <c r="N944" s="58">
        <v>15136.95</v>
      </c>
      <c r="O944" s="58">
        <v>16100</v>
      </c>
      <c r="P944" s="58" t="s">
        <v>37</v>
      </c>
      <c r="Q944" s="58">
        <v>0</v>
      </c>
      <c r="R944" s="58">
        <v>0</v>
      </c>
      <c r="S944" s="58">
        <v>0</v>
      </c>
      <c r="T944" s="58">
        <v>0</v>
      </c>
      <c r="U944" s="58">
        <v>0</v>
      </c>
      <c r="V944" s="58">
        <v>0</v>
      </c>
      <c r="W944" s="58">
        <v>0</v>
      </c>
      <c r="X944" s="58">
        <v>0</v>
      </c>
      <c r="Y944" s="58">
        <v>600</v>
      </c>
      <c r="Z944" s="58">
        <v>5025</v>
      </c>
      <c r="AA944" s="58">
        <v>15136.95</v>
      </c>
      <c r="AE944" s="57"/>
    </row>
    <row r="945" spans="1:31" x14ac:dyDescent="0.35">
      <c r="A945" s="56" t="s">
        <v>1013</v>
      </c>
      <c r="B945" s="58">
        <v>16100</v>
      </c>
      <c r="C945" s="58" t="s">
        <v>38</v>
      </c>
      <c r="D945" s="58">
        <v>0</v>
      </c>
      <c r="E945" s="58">
        <v>0</v>
      </c>
      <c r="F945" s="58">
        <v>0</v>
      </c>
      <c r="G945" s="58">
        <v>0</v>
      </c>
      <c r="H945" s="58">
        <v>0</v>
      </c>
      <c r="I945" s="58">
        <v>0</v>
      </c>
      <c r="J945" s="58">
        <v>0</v>
      </c>
      <c r="K945" s="58">
        <v>0</v>
      </c>
      <c r="L945" s="58">
        <v>4875</v>
      </c>
      <c r="M945" s="58">
        <v>4875</v>
      </c>
      <c r="N945" s="58">
        <v>15136.95</v>
      </c>
      <c r="O945" s="58">
        <v>16100</v>
      </c>
      <c r="P945" s="58" t="s">
        <v>38</v>
      </c>
      <c r="Q945" s="58">
        <v>0</v>
      </c>
      <c r="R945" s="58">
        <v>0</v>
      </c>
      <c r="S945" s="58">
        <v>0</v>
      </c>
      <c r="T945" s="58">
        <v>0</v>
      </c>
      <c r="U945" s="58">
        <v>0</v>
      </c>
      <c r="V945" s="58">
        <v>0</v>
      </c>
      <c r="W945" s="58">
        <v>0</v>
      </c>
      <c r="X945" s="58">
        <v>0</v>
      </c>
      <c r="Y945" s="58">
        <v>300</v>
      </c>
      <c r="Z945" s="58">
        <v>4875</v>
      </c>
      <c r="AA945" s="58">
        <v>15136.95</v>
      </c>
      <c r="AE945" s="57"/>
    </row>
    <row r="946" spans="1:31" x14ac:dyDescent="0.35">
      <c r="A946" s="56" t="s">
        <v>1014</v>
      </c>
      <c r="B946" s="58">
        <v>16100</v>
      </c>
      <c r="C946" s="58" t="s">
        <v>26</v>
      </c>
      <c r="D946" s="58">
        <v>19</v>
      </c>
      <c r="E946" s="58">
        <v>0</v>
      </c>
      <c r="F946" s="58">
        <v>0</v>
      </c>
      <c r="G946" s="58">
        <v>0</v>
      </c>
      <c r="H946" s="58">
        <v>0</v>
      </c>
      <c r="I946" s="58">
        <v>0</v>
      </c>
      <c r="J946" s="58">
        <v>0</v>
      </c>
      <c r="K946" s="58">
        <v>0</v>
      </c>
      <c r="L946" s="58">
        <v>10125</v>
      </c>
      <c r="M946" s="58">
        <v>5250</v>
      </c>
      <c r="N946" s="58">
        <v>15136.95</v>
      </c>
      <c r="O946" s="58">
        <v>16100</v>
      </c>
      <c r="P946" s="58" t="s">
        <v>26</v>
      </c>
      <c r="Q946" s="58">
        <v>189</v>
      </c>
      <c r="R946" s="58">
        <v>3</v>
      </c>
      <c r="S946" s="58">
        <v>1.6129032258064515</v>
      </c>
      <c r="T946" s="58">
        <v>168</v>
      </c>
      <c r="U946" s="58">
        <v>16.8</v>
      </c>
      <c r="V946" s="58">
        <v>93.65</v>
      </c>
      <c r="W946" s="58">
        <v>-0.39999999999999147</v>
      </c>
      <c r="X946" s="58">
        <v>-0.42530568846357414</v>
      </c>
      <c r="Y946" s="58">
        <v>23250</v>
      </c>
      <c r="Z946" s="58">
        <v>6225</v>
      </c>
      <c r="AA946" s="58">
        <v>15136.95</v>
      </c>
      <c r="AE946" s="57"/>
    </row>
    <row r="947" spans="1:31" x14ac:dyDescent="0.35">
      <c r="A947" s="56" t="s">
        <v>1015</v>
      </c>
      <c r="B947" s="58">
        <v>16100</v>
      </c>
      <c r="C947" s="58" t="s">
        <v>67</v>
      </c>
      <c r="D947" s="58">
        <v>0</v>
      </c>
      <c r="E947" s="58">
        <v>0</v>
      </c>
      <c r="F947" s="58">
        <v>0</v>
      </c>
      <c r="G947" s="58">
        <v>0</v>
      </c>
      <c r="H947" s="58">
        <v>0</v>
      </c>
      <c r="I947" s="58">
        <v>0</v>
      </c>
      <c r="J947" s="58">
        <v>0</v>
      </c>
      <c r="K947" s="58">
        <v>0</v>
      </c>
      <c r="L947" s="58">
        <v>4875</v>
      </c>
      <c r="M947" s="58">
        <v>4875</v>
      </c>
      <c r="N947" s="58">
        <v>15136.95</v>
      </c>
      <c r="O947" s="58">
        <v>16100</v>
      </c>
      <c r="P947" s="58" t="s">
        <v>67</v>
      </c>
      <c r="Q947" s="58">
        <v>0</v>
      </c>
      <c r="R947" s="58">
        <v>0</v>
      </c>
      <c r="S947" s="58">
        <v>0</v>
      </c>
      <c r="T947" s="58">
        <v>0</v>
      </c>
      <c r="U947" s="58">
        <v>0</v>
      </c>
      <c r="V947" s="58">
        <v>0</v>
      </c>
      <c r="W947" s="58">
        <v>0</v>
      </c>
      <c r="X947" s="58">
        <v>0</v>
      </c>
      <c r="Y947" s="58">
        <v>0</v>
      </c>
      <c r="Z947" s="58">
        <v>4875</v>
      </c>
      <c r="AA947" s="58">
        <v>15136.95</v>
      </c>
      <c r="AE947" s="57"/>
    </row>
    <row r="948" spans="1:31" x14ac:dyDescent="0.35">
      <c r="A948" s="56" t="s">
        <v>1016</v>
      </c>
      <c r="B948" s="58">
        <v>16100</v>
      </c>
      <c r="C948" s="58" t="s">
        <v>2074</v>
      </c>
      <c r="D948" s="58">
        <v>0</v>
      </c>
      <c r="E948" s="58">
        <v>0</v>
      </c>
      <c r="F948" s="58">
        <v>0</v>
      </c>
      <c r="G948" s="58">
        <v>0</v>
      </c>
      <c r="H948" s="58">
        <v>0</v>
      </c>
      <c r="I948" s="58">
        <v>0</v>
      </c>
      <c r="J948" s="58">
        <v>0</v>
      </c>
      <c r="K948" s="58">
        <v>0</v>
      </c>
      <c r="L948" s="58">
        <v>4875</v>
      </c>
      <c r="M948" s="58">
        <v>4875</v>
      </c>
      <c r="N948" s="58">
        <v>15136.95</v>
      </c>
      <c r="O948" s="58">
        <v>16100</v>
      </c>
      <c r="P948" s="58" t="s">
        <v>2074</v>
      </c>
      <c r="Q948" s="58">
        <v>0</v>
      </c>
      <c r="R948" s="58">
        <v>0</v>
      </c>
      <c r="S948" s="58">
        <v>0</v>
      </c>
      <c r="T948" s="58">
        <v>0</v>
      </c>
      <c r="U948" s="58">
        <v>0</v>
      </c>
      <c r="V948" s="58">
        <v>0</v>
      </c>
      <c r="W948" s="58">
        <v>0</v>
      </c>
      <c r="X948" s="58">
        <v>0</v>
      </c>
      <c r="Y948" s="58">
        <v>0</v>
      </c>
      <c r="Z948" s="58">
        <v>4875</v>
      </c>
      <c r="AA948" s="58">
        <v>15136.95</v>
      </c>
      <c r="AE948" s="57"/>
    </row>
    <row r="949" spans="1:31" x14ac:dyDescent="0.35">
      <c r="A949" s="56" t="s">
        <v>1017</v>
      </c>
      <c r="B949" s="58">
        <v>16100</v>
      </c>
      <c r="C949" s="58" t="s">
        <v>2071</v>
      </c>
      <c r="D949" s="58">
        <v>0</v>
      </c>
      <c r="E949" s="58">
        <v>0</v>
      </c>
      <c r="F949" s="58">
        <v>0</v>
      </c>
      <c r="G949" s="58">
        <v>0</v>
      </c>
      <c r="H949" s="58">
        <v>0</v>
      </c>
      <c r="I949" s="58">
        <v>0</v>
      </c>
      <c r="J949" s="58">
        <v>0</v>
      </c>
      <c r="K949" s="58">
        <v>0</v>
      </c>
      <c r="L949" s="58">
        <v>4875</v>
      </c>
      <c r="M949" s="58">
        <v>4875</v>
      </c>
      <c r="N949" s="58">
        <v>15136.95</v>
      </c>
      <c r="O949" s="58">
        <v>16100</v>
      </c>
      <c r="P949" s="58" t="s">
        <v>2071</v>
      </c>
      <c r="Q949" s="58">
        <v>0</v>
      </c>
      <c r="R949" s="58">
        <v>0</v>
      </c>
      <c r="S949" s="58">
        <v>0</v>
      </c>
      <c r="T949" s="58">
        <v>0</v>
      </c>
      <c r="U949" s="58">
        <v>0</v>
      </c>
      <c r="V949" s="58">
        <v>0</v>
      </c>
      <c r="W949" s="58">
        <v>0</v>
      </c>
      <c r="X949" s="58">
        <v>0</v>
      </c>
      <c r="Y949" s="58">
        <v>1500</v>
      </c>
      <c r="Z949" s="58">
        <v>0</v>
      </c>
      <c r="AA949" s="58">
        <v>15136.95</v>
      </c>
      <c r="AE949" s="57"/>
    </row>
    <row r="950" spans="1:31" x14ac:dyDescent="0.35">
      <c r="A950" s="56" t="s">
        <v>1018</v>
      </c>
      <c r="B950" s="58">
        <v>16100</v>
      </c>
      <c r="C950" s="58" t="s">
        <v>34</v>
      </c>
      <c r="D950" s="58">
        <v>0</v>
      </c>
      <c r="E950" s="58">
        <v>0</v>
      </c>
      <c r="F950" s="58">
        <v>0</v>
      </c>
      <c r="G950" s="58">
        <v>0</v>
      </c>
      <c r="H950" s="58">
        <v>0</v>
      </c>
      <c r="I950" s="58">
        <v>0</v>
      </c>
      <c r="J950" s="58">
        <v>0</v>
      </c>
      <c r="K950" s="58">
        <v>0</v>
      </c>
      <c r="L950" s="58">
        <v>16500</v>
      </c>
      <c r="M950" s="58">
        <v>9900</v>
      </c>
      <c r="N950" s="58">
        <v>15136.95</v>
      </c>
      <c r="O950" s="58">
        <v>16100</v>
      </c>
      <c r="P950" s="58" t="s">
        <v>34</v>
      </c>
      <c r="Q950" s="58">
        <v>1852</v>
      </c>
      <c r="R950" s="58">
        <v>715</v>
      </c>
      <c r="S950" s="58">
        <v>62.884784520668426</v>
      </c>
      <c r="T950" s="58">
        <v>2583</v>
      </c>
      <c r="U950" s="58">
        <v>20.67</v>
      </c>
      <c r="V950" s="58">
        <v>3.1</v>
      </c>
      <c r="W950" s="58">
        <v>-1.5500000000000005</v>
      </c>
      <c r="X950" s="58">
        <v>-33.333333333333336</v>
      </c>
      <c r="Y950" s="58">
        <v>109350</v>
      </c>
      <c r="Z950" s="58">
        <v>37500</v>
      </c>
      <c r="AA950" s="58">
        <v>15136.95</v>
      </c>
      <c r="AE950" s="57"/>
    </row>
    <row r="951" spans="1:31" x14ac:dyDescent="0.35">
      <c r="A951" s="56" t="s">
        <v>1019</v>
      </c>
      <c r="B951" s="58">
        <v>16150</v>
      </c>
      <c r="C951" s="58" t="s">
        <v>35</v>
      </c>
      <c r="D951" s="58">
        <v>0</v>
      </c>
      <c r="E951" s="58">
        <v>0</v>
      </c>
      <c r="F951" s="58">
        <v>0</v>
      </c>
      <c r="G951" s="58">
        <v>0</v>
      </c>
      <c r="H951" s="58">
        <v>0</v>
      </c>
      <c r="I951" s="58">
        <v>0</v>
      </c>
      <c r="J951" s="58">
        <v>0</v>
      </c>
      <c r="K951" s="58">
        <v>0</v>
      </c>
      <c r="L951" s="58">
        <v>23475</v>
      </c>
      <c r="M951" s="58">
        <v>15000</v>
      </c>
      <c r="N951" s="58">
        <v>15136.95</v>
      </c>
      <c r="O951" s="58">
        <v>16150</v>
      </c>
      <c r="P951" s="58" t="s">
        <v>35</v>
      </c>
      <c r="Q951" s="58">
        <v>448</v>
      </c>
      <c r="R951" s="58">
        <v>-20</v>
      </c>
      <c r="S951" s="58">
        <v>-4.2735042735042734</v>
      </c>
      <c r="T951" s="58">
        <v>176</v>
      </c>
      <c r="U951" s="58">
        <v>44.06</v>
      </c>
      <c r="V951" s="58">
        <v>0.3</v>
      </c>
      <c r="W951" s="58">
        <v>-1.1499999999999999</v>
      </c>
      <c r="X951" s="58">
        <v>-79.310344827586192</v>
      </c>
      <c r="Y951" s="58">
        <v>19725</v>
      </c>
      <c r="Z951" s="58">
        <v>69825</v>
      </c>
      <c r="AA951" s="58">
        <v>15136.95</v>
      </c>
      <c r="AE951" s="57"/>
    </row>
    <row r="952" spans="1:31" x14ac:dyDescent="0.35">
      <c r="A952" s="56" t="s">
        <v>1020</v>
      </c>
      <c r="B952" s="58">
        <v>16150</v>
      </c>
      <c r="C952" s="58" t="s">
        <v>34</v>
      </c>
      <c r="D952" s="58">
        <v>0</v>
      </c>
      <c r="E952" s="58">
        <v>0</v>
      </c>
      <c r="F952" s="58">
        <v>0</v>
      </c>
      <c r="G952" s="58">
        <v>0</v>
      </c>
      <c r="H952" s="58">
        <v>0</v>
      </c>
      <c r="I952" s="58">
        <v>0</v>
      </c>
      <c r="J952" s="58">
        <v>0</v>
      </c>
      <c r="K952" s="58">
        <v>0</v>
      </c>
      <c r="L952" s="58">
        <v>15975</v>
      </c>
      <c r="M952" s="58">
        <v>7725</v>
      </c>
      <c r="N952" s="58">
        <v>15136.95</v>
      </c>
      <c r="O952" s="58">
        <v>16150</v>
      </c>
      <c r="P952" s="58" t="s">
        <v>34</v>
      </c>
      <c r="Q952" s="58">
        <v>35</v>
      </c>
      <c r="R952" s="58">
        <v>3</v>
      </c>
      <c r="S952" s="58">
        <v>9.375</v>
      </c>
      <c r="T952" s="58">
        <v>17</v>
      </c>
      <c r="U952" s="58">
        <v>20.75</v>
      </c>
      <c r="V952" s="58">
        <v>2.4</v>
      </c>
      <c r="W952" s="58">
        <v>-2.1999999999999997</v>
      </c>
      <c r="X952" s="58">
        <v>-47.826086956521735</v>
      </c>
      <c r="Y952" s="58">
        <v>50025</v>
      </c>
      <c r="Z952" s="58">
        <v>15525</v>
      </c>
      <c r="AA952" s="58">
        <v>15136.95</v>
      </c>
      <c r="AE952" s="57"/>
    </row>
    <row r="953" spans="1:31" x14ac:dyDescent="0.35">
      <c r="A953" s="56" t="s">
        <v>1021</v>
      </c>
      <c r="B953" s="58">
        <v>16150</v>
      </c>
      <c r="C953" s="58" t="s">
        <v>33</v>
      </c>
      <c r="D953" s="58">
        <v>1</v>
      </c>
      <c r="E953" s="58">
        <v>0</v>
      </c>
      <c r="F953" s="58">
        <v>0</v>
      </c>
      <c r="G953" s="58">
        <v>0</v>
      </c>
      <c r="H953" s="58">
        <v>0</v>
      </c>
      <c r="I953" s="58">
        <v>0</v>
      </c>
      <c r="J953" s="58">
        <v>0</v>
      </c>
      <c r="K953" s="58">
        <v>0</v>
      </c>
      <c r="L953" s="58">
        <v>18000</v>
      </c>
      <c r="M953" s="58">
        <v>12825</v>
      </c>
      <c r="N953" s="58">
        <v>15136.95</v>
      </c>
      <c r="O953" s="58">
        <v>16150</v>
      </c>
      <c r="P953" s="58" t="s">
        <v>33</v>
      </c>
      <c r="Q953" s="58">
        <v>386</v>
      </c>
      <c r="R953" s="58">
        <v>15</v>
      </c>
      <c r="S953" s="58">
        <v>4.0431266846361185</v>
      </c>
      <c r="T953" s="58">
        <v>105</v>
      </c>
      <c r="U953" s="58">
        <v>17.88</v>
      </c>
      <c r="V953" s="58">
        <v>9.1999999999999993</v>
      </c>
      <c r="W953" s="58">
        <v>-1.6500000000000004</v>
      </c>
      <c r="X953" s="58">
        <v>-15.207373271889404</v>
      </c>
      <c r="Y953" s="58">
        <v>89025</v>
      </c>
      <c r="Z953" s="58">
        <v>12900</v>
      </c>
      <c r="AA953" s="58">
        <v>15136.95</v>
      </c>
      <c r="AE953" s="57"/>
    </row>
    <row r="954" spans="1:31" x14ac:dyDescent="0.35">
      <c r="A954" s="56" t="s">
        <v>1022</v>
      </c>
      <c r="B954" s="58">
        <v>16150</v>
      </c>
      <c r="C954" s="58" t="s">
        <v>36</v>
      </c>
      <c r="D954" s="58">
        <v>0</v>
      </c>
      <c r="E954" s="58">
        <v>0</v>
      </c>
      <c r="F954" s="58">
        <v>0</v>
      </c>
      <c r="G954" s="58">
        <v>0</v>
      </c>
      <c r="H954" s="58">
        <v>0</v>
      </c>
      <c r="I954" s="58">
        <v>0</v>
      </c>
      <c r="J954" s="58">
        <v>0</v>
      </c>
      <c r="K954" s="58">
        <v>0</v>
      </c>
      <c r="L954" s="58">
        <v>4875</v>
      </c>
      <c r="M954" s="58">
        <v>4875</v>
      </c>
      <c r="N954" s="58">
        <v>15136.95</v>
      </c>
      <c r="O954" s="58">
        <v>16150</v>
      </c>
      <c r="P954" s="58" t="s">
        <v>36</v>
      </c>
      <c r="Q954" s="58">
        <v>0</v>
      </c>
      <c r="R954" s="58">
        <v>0</v>
      </c>
      <c r="S954" s="58">
        <v>0</v>
      </c>
      <c r="T954" s="58">
        <v>0</v>
      </c>
      <c r="U954" s="58">
        <v>0</v>
      </c>
      <c r="V954" s="58">
        <v>0</v>
      </c>
      <c r="W954" s="58">
        <v>0</v>
      </c>
      <c r="X954" s="58">
        <v>0</v>
      </c>
      <c r="Y954" s="58">
        <v>375</v>
      </c>
      <c r="Z954" s="58">
        <v>5025</v>
      </c>
      <c r="AA954" s="58">
        <v>15136.95</v>
      </c>
      <c r="AE954" s="57"/>
    </row>
    <row r="955" spans="1:31" x14ac:dyDescent="0.35">
      <c r="A955" s="56" t="s">
        <v>1023</v>
      </c>
      <c r="B955" s="58">
        <v>16150</v>
      </c>
      <c r="C955" s="58" t="s">
        <v>37</v>
      </c>
      <c r="D955" s="58">
        <v>0</v>
      </c>
      <c r="E955" s="58">
        <v>0</v>
      </c>
      <c r="F955" s="58">
        <v>0</v>
      </c>
      <c r="G955" s="58">
        <v>0</v>
      </c>
      <c r="H955" s="58">
        <v>0</v>
      </c>
      <c r="I955" s="58">
        <v>0</v>
      </c>
      <c r="J955" s="58">
        <v>0</v>
      </c>
      <c r="K955" s="58">
        <v>0</v>
      </c>
      <c r="L955" s="58">
        <v>4875</v>
      </c>
      <c r="M955" s="58">
        <v>4875</v>
      </c>
      <c r="N955" s="58">
        <v>15136.95</v>
      </c>
      <c r="O955" s="58">
        <v>16150</v>
      </c>
      <c r="P955" s="58" t="s">
        <v>37</v>
      </c>
      <c r="Q955" s="58">
        <v>0</v>
      </c>
      <c r="R955" s="58">
        <v>0</v>
      </c>
      <c r="S955" s="58">
        <v>0</v>
      </c>
      <c r="T955" s="58">
        <v>0</v>
      </c>
      <c r="U955" s="58">
        <v>0</v>
      </c>
      <c r="V955" s="58">
        <v>0</v>
      </c>
      <c r="W955" s="58">
        <v>0</v>
      </c>
      <c r="X955" s="58">
        <v>0</v>
      </c>
      <c r="Y955" s="58">
        <v>0</v>
      </c>
      <c r="Z955" s="58">
        <v>4875</v>
      </c>
      <c r="AA955" s="58">
        <v>15136.95</v>
      </c>
      <c r="AE955" s="57"/>
    </row>
    <row r="956" spans="1:31" x14ac:dyDescent="0.35">
      <c r="A956" s="56" t="s">
        <v>1024</v>
      </c>
      <c r="B956" s="58">
        <v>16150</v>
      </c>
      <c r="C956" s="58" t="s">
        <v>38</v>
      </c>
      <c r="D956" s="58">
        <v>0</v>
      </c>
      <c r="E956" s="58">
        <v>0</v>
      </c>
      <c r="F956" s="58">
        <v>0</v>
      </c>
      <c r="G956" s="58">
        <v>0</v>
      </c>
      <c r="H956" s="58">
        <v>0</v>
      </c>
      <c r="I956" s="58">
        <v>0</v>
      </c>
      <c r="J956" s="58">
        <v>0</v>
      </c>
      <c r="K956" s="58">
        <v>0</v>
      </c>
      <c r="L956" s="58">
        <v>4875</v>
      </c>
      <c r="M956" s="58">
        <v>4875</v>
      </c>
      <c r="N956" s="58">
        <v>15136.95</v>
      </c>
      <c r="O956" s="58">
        <v>16150</v>
      </c>
      <c r="P956" s="58" t="s">
        <v>38</v>
      </c>
      <c r="Q956" s="58">
        <v>0</v>
      </c>
      <c r="R956" s="58">
        <v>0</v>
      </c>
      <c r="S956" s="58">
        <v>0</v>
      </c>
      <c r="T956" s="58">
        <v>0</v>
      </c>
      <c r="U956" s="58">
        <v>0</v>
      </c>
      <c r="V956" s="58">
        <v>0</v>
      </c>
      <c r="W956" s="58">
        <v>0</v>
      </c>
      <c r="X956" s="58">
        <v>0</v>
      </c>
      <c r="Y956" s="58">
        <v>0</v>
      </c>
      <c r="Z956" s="58">
        <v>4875</v>
      </c>
      <c r="AA956" s="58">
        <v>15136.95</v>
      </c>
      <c r="AE956" s="57"/>
    </row>
    <row r="957" spans="1:31" x14ac:dyDescent="0.35">
      <c r="A957" s="56" t="s">
        <v>1025</v>
      </c>
      <c r="B957" s="58">
        <v>16150</v>
      </c>
      <c r="C957" s="58" t="s">
        <v>26</v>
      </c>
      <c r="D957" s="58">
        <v>0</v>
      </c>
      <c r="E957" s="58">
        <v>0</v>
      </c>
      <c r="F957" s="58">
        <v>0</v>
      </c>
      <c r="G957" s="58">
        <v>0</v>
      </c>
      <c r="H957" s="58">
        <v>0</v>
      </c>
      <c r="I957" s="58">
        <v>0</v>
      </c>
      <c r="J957" s="58">
        <v>0</v>
      </c>
      <c r="K957" s="58">
        <v>0</v>
      </c>
      <c r="L957" s="58">
        <v>8250</v>
      </c>
      <c r="M957" s="58">
        <v>4875</v>
      </c>
      <c r="N957" s="58">
        <v>15136.95</v>
      </c>
      <c r="O957" s="58">
        <v>16150</v>
      </c>
      <c r="P957" s="58" t="s">
        <v>26</v>
      </c>
      <c r="Q957" s="58">
        <v>0</v>
      </c>
      <c r="R957" s="58">
        <v>0</v>
      </c>
      <c r="S957" s="58">
        <v>0</v>
      </c>
      <c r="T957" s="58">
        <v>0</v>
      </c>
      <c r="U957" s="58">
        <v>0</v>
      </c>
      <c r="V957" s="58">
        <v>0</v>
      </c>
      <c r="W957" s="58">
        <v>0</v>
      </c>
      <c r="X957" s="58">
        <v>0</v>
      </c>
      <c r="Y957" s="58">
        <v>4275</v>
      </c>
      <c r="Z957" s="58">
        <v>0</v>
      </c>
      <c r="AA957" s="58">
        <v>15136.95</v>
      </c>
      <c r="AE957" s="57"/>
    </row>
    <row r="958" spans="1:31" x14ac:dyDescent="0.35">
      <c r="A958" s="56" t="s">
        <v>1026</v>
      </c>
      <c r="B958" s="58">
        <v>16150</v>
      </c>
      <c r="C958" s="58" t="s">
        <v>67</v>
      </c>
      <c r="D958" s="58">
        <v>0</v>
      </c>
      <c r="E958" s="58">
        <v>0</v>
      </c>
      <c r="F958" s="58">
        <v>0</v>
      </c>
      <c r="G958" s="58">
        <v>0</v>
      </c>
      <c r="H958" s="58">
        <v>0</v>
      </c>
      <c r="I958" s="58">
        <v>0</v>
      </c>
      <c r="J958" s="58">
        <v>0</v>
      </c>
      <c r="K958" s="58">
        <v>0</v>
      </c>
      <c r="L958" s="58">
        <v>4875</v>
      </c>
      <c r="M958" s="58">
        <v>4875</v>
      </c>
      <c r="N958" s="58">
        <v>15136.95</v>
      </c>
      <c r="O958" s="58">
        <v>16150</v>
      </c>
      <c r="P958" s="58" t="s">
        <v>67</v>
      </c>
      <c r="Q958" s="58">
        <v>0</v>
      </c>
      <c r="R958" s="58">
        <v>0</v>
      </c>
      <c r="S958" s="58">
        <v>0</v>
      </c>
      <c r="T958" s="58">
        <v>0</v>
      </c>
      <c r="U958" s="58">
        <v>0</v>
      </c>
      <c r="V958" s="58">
        <v>0</v>
      </c>
      <c r="W958" s="58">
        <v>0</v>
      </c>
      <c r="X958" s="58">
        <v>0</v>
      </c>
      <c r="Y958" s="58">
        <v>0</v>
      </c>
      <c r="Z958" s="58">
        <v>4875</v>
      </c>
      <c r="AA958" s="58">
        <v>15136.95</v>
      </c>
      <c r="AE958" s="57"/>
    </row>
    <row r="959" spans="1:31" x14ac:dyDescent="0.35">
      <c r="A959" s="56" t="s">
        <v>1027</v>
      </c>
      <c r="B959" s="58">
        <v>16150</v>
      </c>
      <c r="C959" s="58" t="s">
        <v>2074</v>
      </c>
      <c r="D959" s="58">
        <v>0</v>
      </c>
      <c r="E959" s="58">
        <v>0</v>
      </c>
      <c r="F959" s="58">
        <v>0</v>
      </c>
      <c r="G959" s="58">
        <v>0</v>
      </c>
      <c r="H959" s="58">
        <v>0</v>
      </c>
      <c r="I959" s="58">
        <v>0</v>
      </c>
      <c r="J959" s="58">
        <v>0</v>
      </c>
      <c r="K959" s="58">
        <v>0</v>
      </c>
      <c r="L959" s="58">
        <v>4875</v>
      </c>
      <c r="M959" s="58">
        <v>4875</v>
      </c>
      <c r="N959" s="58">
        <v>15136.95</v>
      </c>
      <c r="O959" s="58">
        <v>16150</v>
      </c>
      <c r="P959" s="58" t="s">
        <v>2074</v>
      </c>
      <c r="Q959" s="58">
        <v>0</v>
      </c>
      <c r="R959" s="58">
        <v>0</v>
      </c>
      <c r="S959" s="58">
        <v>0</v>
      </c>
      <c r="T959" s="58">
        <v>0</v>
      </c>
      <c r="U959" s="58">
        <v>0</v>
      </c>
      <c r="V959" s="58">
        <v>0</v>
      </c>
      <c r="W959" s="58">
        <v>0</v>
      </c>
      <c r="X959" s="58">
        <v>0</v>
      </c>
      <c r="Y959" s="58">
        <v>0</v>
      </c>
      <c r="Z959" s="58">
        <v>4875</v>
      </c>
      <c r="AA959" s="58">
        <v>15136.95</v>
      </c>
      <c r="AE959" s="57"/>
    </row>
    <row r="960" spans="1:31" x14ac:dyDescent="0.35">
      <c r="A960" s="56" t="s">
        <v>1028</v>
      </c>
      <c r="B960" s="58">
        <v>16150</v>
      </c>
      <c r="C960" s="58" t="s">
        <v>2071</v>
      </c>
      <c r="D960" s="58">
        <v>0</v>
      </c>
      <c r="E960" s="58">
        <v>0</v>
      </c>
      <c r="F960" s="58">
        <v>0</v>
      </c>
      <c r="G960" s="58">
        <v>0</v>
      </c>
      <c r="H960" s="58">
        <v>0</v>
      </c>
      <c r="I960" s="58">
        <v>0</v>
      </c>
      <c r="J960" s="58">
        <v>0</v>
      </c>
      <c r="K960" s="58">
        <v>0</v>
      </c>
      <c r="L960" s="58">
        <v>4875</v>
      </c>
      <c r="M960" s="58">
        <v>4875</v>
      </c>
      <c r="N960" s="58">
        <v>15136.95</v>
      </c>
      <c r="O960" s="58">
        <v>0</v>
      </c>
      <c r="P960" s="58">
        <v>0</v>
      </c>
      <c r="Q960" s="58">
        <v>0</v>
      </c>
      <c r="R960" s="58">
        <v>0</v>
      </c>
      <c r="S960" s="58">
        <v>0</v>
      </c>
      <c r="T960" s="58">
        <v>0</v>
      </c>
      <c r="U960" s="58">
        <v>0</v>
      </c>
      <c r="V960" s="58">
        <v>0</v>
      </c>
      <c r="W960" s="58">
        <v>0</v>
      </c>
      <c r="X960" s="58">
        <v>0</v>
      </c>
      <c r="Y960" s="58">
        <v>0</v>
      </c>
      <c r="Z960" s="58">
        <v>0</v>
      </c>
      <c r="AA960" s="58">
        <v>0</v>
      </c>
      <c r="AE960" s="57"/>
    </row>
    <row r="961" spans="1:31" x14ac:dyDescent="0.35">
      <c r="A961" s="56" t="s">
        <v>1029</v>
      </c>
      <c r="B961" s="58">
        <v>16200</v>
      </c>
      <c r="C961" s="58" t="s">
        <v>35</v>
      </c>
      <c r="D961" s="58">
        <v>0</v>
      </c>
      <c r="E961" s="58">
        <v>0</v>
      </c>
      <c r="F961" s="58">
        <v>0</v>
      </c>
      <c r="G961" s="58">
        <v>2</v>
      </c>
      <c r="H961" s="58">
        <v>102.82</v>
      </c>
      <c r="I961" s="58">
        <v>1093.4000000000001</v>
      </c>
      <c r="J961" s="58">
        <v>16.300000000000182</v>
      </c>
      <c r="K961" s="58">
        <v>1.5133228112524539</v>
      </c>
      <c r="L961" s="58">
        <v>739425</v>
      </c>
      <c r="M961" s="58">
        <v>15450</v>
      </c>
      <c r="N961" s="58">
        <v>15136.95</v>
      </c>
      <c r="O961" s="58">
        <v>16200</v>
      </c>
      <c r="P961" s="58" t="s">
        <v>35</v>
      </c>
      <c r="Q961" s="58">
        <v>7692</v>
      </c>
      <c r="R961" s="58">
        <v>369</v>
      </c>
      <c r="S961" s="58">
        <v>5.0389184760344126</v>
      </c>
      <c r="T961" s="58">
        <v>4864</v>
      </c>
      <c r="U961" s="58">
        <v>44.26</v>
      </c>
      <c r="V961" s="58">
        <v>0.2</v>
      </c>
      <c r="W961" s="58">
        <v>-1.2</v>
      </c>
      <c r="X961" s="58">
        <v>-85.714285714285722</v>
      </c>
      <c r="Y961" s="58">
        <v>240300</v>
      </c>
      <c r="Z961" s="58">
        <v>99075</v>
      </c>
      <c r="AA961" s="58">
        <v>15136.95</v>
      </c>
      <c r="AE961" s="57"/>
    </row>
    <row r="962" spans="1:31" x14ac:dyDescent="0.35">
      <c r="A962" s="56" t="s">
        <v>1030</v>
      </c>
      <c r="B962" s="58">
        <v>16200</v>
      </c>
      <c r="C962" s="58" t="s">
        <v>34</v>
      </c>
      <c r="D962" s="58">
        <v>0</v>
      </c>
      <c r="E962" s="58">
        <v>0</v>
      </c>
      <c r="F962" s="58">
        <v>0</v>
      </c>
      <c r="G962" s="58">
        <v>0</v>
      </c>
      <c r="H962" s="58">
        <v>0</v>
      </c>
      <c r="I962" s="58">
        <v>0</v>
      </c>
      <c r="J962" s="58">
        <v>0</v>
      </c>
      <c r="K962" s="58">
        <v>0</v>
      </c>
      <c r="L962" s="58">
        <v>7725</v>
      </c>
      <c r="M962" s="58">
        <v>7725</v>
      </c>
      <c r="N962" s="58">
        <v>15136.95</v>
      </c>
      <c r="O962" s="58">
        <v>16200</v>
      </c>
      <c r="P962" s="58" t="s">
        <v>34</v>
      </c>
      <c r="Q962" s="58">
        <v>1022</v>
      </c>
      <c r="R962" s="58">
        <v>362</v>
      </c>
      <c r="S962" s="58">
        <v>54.848484848484851</v>
      </c>
      <c r="T962" s="58">
        <v>1088</v>
      </c>
      <c r="U962" s="58">
        <v>22.05</v>
      </c>
      <c r="V962" s="58">
        <v>2.9</v>
      </c>
      <c r="W962" s="58">
        <v>-1.4499999999999995</v>
      </c>
      <c r="X962" s="58">
        <v>-33.333333333333329</v>
      </c>
      <c r="Y962" s="58">
        <v>102900</v>
      </c>
      <c r="Z962" s="58">
        <v>23775</v>
      </c>
      <c r="AA962" s="58">
        <v>15136.95</v>
      </c>
      <c r="AE962" s="57"/>
    </row>
    <row r="963" spans="1:31" x14ac:dyDescent="0.35">
      <c r="A963" s="56" t="s">
        <v>1031</v>
      </c>
      <c r="B963" s="58">
        <v>16200</v>
      </c>
      <c r="C963" s="58" t="s">
        <v>36</v>
      </c>
      <c r="D963" s="58">
        <v>0</v>
      </c>
      <c r="E963" s="58">
        <v>0</v>
      </c>
      <c r="F963" s="58">
        <v>0</v>
      </c>
      <c r="G963" s="58">
        <v>0</v>
      </c>
      <c r="H963" s="58">
        <v>0</v>
      </c>
      <c r="I963" s="58">
        <v>0</v>
      </c>
      <c r="J963" s="58">
        <v>0</v>
      </c>
      <c r="K963" s="58">
        <v>0</v>
      </c>
      <c r="L963" s="58">
        <v>4875</v>
      </c>
      <c r="M963" s="58">
        <v>4875</v>
      </c>
      <c r="N963" s="58">
        <v>15136.95</v>
      </c>
      <c r="O963" s="58">
        <v>16200</v>
      </c>
      <c r="P963" s="58" t="s">
        <v>36</v>
      </c>
      <c r="Q963" s="58">
        <v>20</v>
      </c>
      <c r="R963" s="58">
        <v>0</v>
      </c>
      <c r="S963" s="58">
        <v>0</v>
      </c>
      <c r="T963" s="58">
        <v>0</v>
      </c>
      <c r="U963" s="58">
        <v>0</v>
      </c>
      <c r="V963" s="58">
        <v>0</v>
      </c>
      <c r="W963" s="58">
        <v>0</v>
      </c>
      <c r="X963" s="58">
        <v>0</v>
      </c>
      <c r="Y963" s="58">
        <v>14250</v>
      </c>
      <c r="Z963" s="58">
        <v>1500</v>
      </c>
      <c r="AA963" s="58">
        <v>15136.95</v>
      </c>
      <c r="AE963" s="57"/>
    </row>
    <row r="964" spans="1:31" x14ac:dyDescent="0.35">
      <c r="A964" s="56" t="s">
        <v>1032</v>
      </c>
      <c r="B964" s="58">
        <v>16200</v>
      </c>
      <c r="C964" s="58" t="s">
        <v>37</v>
      </c>
      <c r="D964" s="58">
        <v>0</v>
      </c>
      <c r="E964" s="58">
        <v>0</v>
      </c>
      <c r="F964" s="58">
        <v>0</v>
      </c>
      <c r="G964" s="58">
        <v>0</v>
      </c>
      <c r="H964" s="58">
        <v>0</v>
      </c>
      <c r="I964" s="58">
        <v>0</v>
      </c>
      <c r="J964" s="58">
        <v>0</v>
      </c>
      <c r="K964" s="58">
        <v>0</v>
      </c>
      <c r="L964" s="58">
        <v>4875</v>
      </c>
      <c r="M964" s="58">
        <v>4875</v>
      </c>
      <c r="N964" s="58">
        <v>15136.95</v>
      </c>
      <c r="O964" s="58">
        <v>16200</v>
      </c>
      <c r="P964" s="58" t="s">
        <v>37</v>
      </c>
      <c r="Q964" s="58">
        <v>0</v>
      </c>
      <c r="R964" s="58">
        <v>0</v>
      </c>
      <c r="S964" s="58">
        <v>0</v>
      </c>
      <c r="T964" s="58">
        <v>0</v>
      </c>
      <c r="U964" s="58">
        <v>0</v>
      </c>
      <c r="V964" s="58">
        <v>0</v>
      </c>
      <c r="W964" s="58">
        <v>0</v>
      </c>
      <c r="X964" s="58">
        <v>0</v>
      </c>
      <c r="Y964" s="58">
        <v>600</v>
      </c>
      <c r="Z964" s="58">
        <v>150</v>
      </c>
      <c r="AA964" s="58">
        <v>15136.95</v>
      </c>
      <c r="AE964" s="57"/>
    </row>
    <row r="965" spans="1:31" x14ac:dyDescent="0.35">
      <c r="A965" s="56" t="s">
        <v>1033</v>
      </c>
      <c r="B965" s="58">
        <v>16200</v>
      </c>
      <c r="C965" s="58" t="s">
        <v>38</v>
      </c>
      <c r="D965" s="58">
        <v>0</v>
      </c>
      <c r="E965" s="58">
        <v>0</v>
      </c>
      <c r="F965" s="58">
        <v>0</v>
      </c>
      <c r="G965" s="58">
        <v>0</v>
      </c>
      <c r="H965" s="58">
        <v>0</v>
      </c>
      <c r="I965" s="58">
        <v>0</v>
      </c>
      <c r="J965" s="58">
        <v>0</v>
      </c>
      <c r="K965" s="58">
        <v>0</v>
      </c>
      <c r="L965" s="58">
        <v>4875</v>
      </c>
      <c r="M965" s="58">
        <v>4875</v>
      </c>
      <c r="N965" s="58">
        <v>15136.95</v>
      </c>
      <c r="O965" s="58">
        <v>16200</v>
      </c>
      <c r="P965" s="58" t="s">
        <v>38</v>
      </c>
      <c r="Q965" s="58">
        <v>0</v>
      </c>
      <c r="R965" s="58">
        <v>0</v>
      </c>
      <c r="S965" s="58">
        <v>0</v>
      </c>
      <c r="T965" s="58">
        <v>0</v>
      </c>
      <c r="U965" s="58">
        <v>0</v>
      </c>
      <c r="V965" s="58">
        <v>0</v>
      </c>
      <c r="W965" s="58">
        <v>0</v>
      </c>
      <c r="X965" s="58">
        <v>0</v>
      </c>
      <c r="Y965" s="58">
        <v>300</v>
      </c>
      <c r="Z965" s="58">
        <v>4875</v>
      </c>
      <c r="AA965" s="58">
        <v>15136.95</v>
      </c>
      <c r="AE965" s="57"/>
    </row>
    <row r="966" spans="1:31" x14ac:dyDescent="0.35">
      <c r="A966" s="56" t="s">
        <v>1034</v>
      </c>
      <c r="B966" s="58">
        <v>16200</v>
      </c>
      <c r="C966" s="58" t="s">
        <v>26</v>
      </c>
      <c r="D966" s="58">
        <v>17</v>
      </c>
      <c r="E966" s="58">
        <v>2</v>
      </c>
      <c r="F966" s="58">
        <v>13.333333333333334</v>
      </c>
      <c r="G966" s="58">
        <v>3</v>
      </c>
      <c r="H966" s="58">
        <v>25.13</v>
      </c>
      <c r="I966" s="58">
        <v>1074</v>
      </c>
      <c r="J966" s="58">
        <v>-80.900000000000091</v>
      </c>
      <c r="K966" s="58">
        <v>-7.0049354922504197</v>
      </c>
      <c r="L966" s="58">
        <v>5250</v>
      </c>
      <c r="M966" s="58">
        <v>5175</v>
      </c>
      <c r="N966" s="58">
        <v>15136.95</v>
      </c>
      <c r="O966" s="58">
        <v>16200</v>
      </c>
      <c r="P966" s="58" t="s">
        <v>26</v>
      </c>
      <c r="Q966" s="58">
        <v>115</v>
      </c>
      <c r="R966" s="58">
        <v>25</v>
      </c>
      <c r="S966" s="58">
        <v>27.777777777777779</v>
      </c>
      <c r="T966" s="58">
        <v>176</v>
      </c>
      <c r="U966" s="58">
        <v>16.7</v>
      </c>
      <c r="V966" s="58">
        <v>75</v>
      </c>
      <c r="W966" s="58">
        <v>-4.0999999999999943</v>
      </c>
      <c r="X966" s="58">
        <v>-5.1833122629582737</v>
      </c>
      <c r="Y966" s="58">
        <v>23025</v>
      </c>
      <c r="Z966" s="58">
        <v>2550</v>
      </c>
      <c r="AA966" s="58">
        <v>15136.95</v>
      </c>
      <c r="AE966" s="57"/>
    </row>
    <row r="967" spans="1:31" x14ac:dyDescent="0.35">
      <c r="A967" s="56" t="s">
        <v>1035</v>
      </c>
      <c r="B967" s="58">
        <v>16200</v>
      </c>
      <c r="C967" s="58" t="s">
        <v>67</v>
      </c>
      <c r="D967" s="58">
        <v>0</v>
      </c>
      <c r="E967" s="58">
        <v>0</v>
      </c>
      <c r="F967" s="58">
        <v>0</v>
      </c>
      <c r="G967" s="58">
        <v>0</v>
      </c>
      <c r="H967" s="58">
        <v>0</v>
      </c>
      <c r="I967" s="58">
        <v>0</v>
      </c>
      <c r="J967" s="58">
        <v>0</v>
      </c>
      <c r="K967" s="58">
        <v>0</v>
      </c>
      <c r="L967" s="58">
        <v>4875</v>
      </c>
      <c r="M967" s="58">
        <v>4875</v>
      </c>
      <c r="N967" s="58">
        <v>15136.95</v>
      </c>
      <c r="O967" s="58">
        <v>16200</v>
      </c>
      <c r="P967" s="58" t="s">
        <v>67</v>
      </c>
      <c r="Q967" s="58">
        <v>0</v>
      </c>
      <c r="R967" s="58">
        <v>0</v>
      </c>
      <c r="S967" s="58">
        <v>0</v>
      </c>
      <c r="T967" s="58">
        <v>0</v>
      </c>
      <c r="U967" s="58">
        <v>0</v>
      </c>
      <c r="V967" s="58">
        <v>0</v>
      </c>
      <c r="W967" s="58">
        <v>0</v>
      </c>
      <c r="X967" s="58">
        <v>0</v>
      </c>
      <c r="Y967" s="58">
        <v>0</v>
      </c>
      <c r="Z967" s="58">
        <v>4875</v>
      </c>
      <c r="AA967" s="58">
        <v>15136.95</v>
      </c>
      <c r="AE967" s="57"/>
    </row>
    <row r="968" spans="1:31" x14ac:dyDescent="0.35">
      <c r="A968" s="56" t="s">
        <v>1036</v>
      </c>
      <c r="B968" s="58">
        <v>16200</v>
      </c>
      <c r="C968" s="58" t="s">
        <v>2074</v>
      </c>
      <c r="D968" s="58">
        <v>0</v>
      </c>
      <c r="E968" s="58">
        <v>0</v>
      </c>
      <c r="F968" s="58">
        <v>0</v>
      </c>
      <c r="G968" s="58">
        <v>0</v>
      </c>
      <c r="H968" s="58">
        <v>0</v>
      </c>
      <c r="I968" s="58">
        <v>0</v>
      </c>
      <c r="J968" s="58">
        <v>0</v>
      </c>
      <c r="K968" s="58">
        <v>0</v>
      </c>
      <c r="L968" s="58">
        <v>4875</v>
      </c>
      <c r="M968" s="58">
        <v>4875</v>
      </c>
      <c r="N968" s="58">
        <v>15136.95</v>
      </c>
      <c r="O968" s="58">
        <v>16200</v>
      </c>
      <c r="P968" s="58" t="s">
        <v>2074</v>
      </c>
      <c r="Q968" s="58">
        <v>0</v>
      </c>
      <c r="R968" s="58">
        <v>0</v>
      </c>
      <c r="S968" s="58">
        <v>0</v>
      </c>
      <c r="T968" s="58">
        <v>0</v>
      </c>
      <c r="U968" s="58">
        <v>0</v>
      </c>
      <c r="V968" s="58">
        <v>0</v>
      </c>
      <c r="W968" s="58">
        <v>0</v>
      </c>
      <c r="X968" s="58">
        <v>0</v>
      </c>
      <c r="Y968" s="58">
        <v>0</v>
      </c>
      <c r="Z968" s="58">
        <v>4875</v>
      </c>
      <c r="AA968" s="58">
        <v>15136.95</v>
      </c>
      <c r="AE968" s="57"/>
    </row>
    <row r="969" spans="1:31" x14ac:dyDescent="0.35">
      <c r="A969" s="56" t="s">
        <v>1037</v>
      </c>
      <c r="B969" s="58">
        <v>16200</v>
      </c>
      <c r="C969" s="58" t="s">
        <v>2071</v>
      </c>
      <c r="D969" s="58">
        <v>0</v>
      </c>
      <c r="E969" s="58">
        <v>0</v>
      </c>
      <c r="F969" s="58">
        <v>0</v>
      </c>
      <c r="G969" s="58">
        <v>0</v>
      </c>
      <c r="H969" s="58">
        <v>0</v>
      </c>
      <c r="I969" s="58">
        <v>0</v>
      </c>
      <c r="J969" s="58">
        <v>0</v>
      </c>
      <c r="K969" s="58">
        <v>0</v>
      </c>
      <c r="L969" s="58">
        <v>4875</v>
      </c>
      <c r="M969" s="58">
        <v>4875</v>
      </c>
      <c r="N969" s="58">
        <v>15136.95</v>
      </c>
      <c r="O969" s="58">
        <v>16200</v>
      </c>
      <c r="P969" s="58" t="s">
        <v>2071</v>
      </c>
      <c r="Q969" s="58">
        <v>0</v>
      </c>
      <c r="R969" s="58">
        <v>0</v>
      </c>
      <c r="S969" s="58">
        <v>0</v>
      </c>
      <c r="T969" s="58">
        <v>0</v>
      </c>
      <c r="U969" s="58">
        <v>0</v>
      </c>
      <c r="V969" s="58">
        <v>0</v>
      </c>
      <c r="W969" s="58">
        <v>0</v>
      </c>
      <c r="X969" s="58">
        <v>0</v>
      </c>
      <c r="Y969" s="58">
        <v>1350</v>
      </c>
      <c r="Z969" s="58">
        <v>0</v>
      </c>
      <c r="AA969" s="58">
        <v>15136.95</v>
      </c>
      <c r="AE969" s="57"/>
    </row>
    <row r="970" spans="1:31" x14ac:dyDescent="0.35">
      <c r="A970" s="56" t="s">
        <v>1038</v>
      </c>
      <c r="B970" s="58">
        <v>16200</v>
      </c>
      <c r="C970" s="58" t="s">
        <v>33</v>
      </c>
      <c r="D970" s="58">
        <v>113</v>
      </c>
      <c r="E970" s="58">
        <v>0</v>
      </c>
      <c r="F970" s="58">
        <v>0</v>
      </c>
      <c r="G970" s="58">
        <v>0</v>
      </c>
      <c r="H970" s="58">
        <v>0</v>
      </c>
      <c r="I970" s="58">
        <v>0</v>
      </c>
      <c r="J970" s="58">
        <v>0</v>
      </c>
      <c r="K970" s="58">
        <v>0</v>
      </c>
      <c r="L970" s="58">
        <v>13050</v>
      </c>
      <c r="M970" s="58">
        <v>12150</v>
      </c>
      <c r="N970" s="58">
        <v>15136.95</v>
      </c>
      <c r="O970" s="58">
        <v>16200</v>
      </c>
      <c r="P970" s="58" t="s">
        <v>33</v>
      </c>
      <c r="Q970" s="58">
        <v>1252</v>
      </c>
      <c r="R970" s="58">
        <v>150</v>
      </c>
      <c r="S970" s="58">
        <v>13.611615245009077</v>
      </c>
      <c r="T970" s="58">
        <v>698</v>
      </c>
      <c r="U970" s="58">
        <v>18.25</v>
      </c>
      <c r="V970" s="58">
        <v>8.5</v>
      </c>
      <c r="W970" s="58">
        <v>-1.6999999999999993</v>
      </c>
      <c r="X970" s="58">
        <v>-16.666666666666661</v>
      </c>
      <c r="Y970" s="58">
        <v>93225</v>
      </c>
      <c r="Z970" s="58">
        <v>43125</v>
      </c>
      <c r="AA970" s="58">
        <v>15136.95</v>
      </c>
      <c r="AE970" s="57"/>
    </row>
    <row r="971" spans="1:31" x14ac:dyDescent="0.35">
      <c r="A971" s="56" t="s">
        <v>1039</v>
      </c>
      <c r="B971" s="58">
        <v>16250</v>
      </c>
      <c r="C971" s="58" t="s">
        <v>34</v>
      </c>
      <c r="D971" s="58">
        <v>0</v>
      </c>
      <c r="E971" s="58">
        <v>0</v>
      </c>
      <c r="F971" s="58">
        <v>0</v>
      </c>
      <c r="G971" s="58">
        <v>0</v>
      </c>
      <c r="H971" s="58">
        <v>0</v>
      </c>
      <c r="I971" s="58">
        <v>0</v>
      </c>
      <c r="J971" s="58">
        <v>0</v>
      </c>
      <c r="K971" s="58">
        <v>0</v>
      </c>
      <c r="L971" s="58">
        <v>7725</v>
      </c>
      <c r="M971" s="58">
        <v>7725</v>
      </c>
      <c r="N971" s="58">
        <v>15136.95</v>
      </c>
      <c r="O971" s="58">
        <v>16250</v>
      </c>
      <c r="P971" s="58" t="s">
        <v>34</v>
      </c>
      <c r="Q971" s="58">
        <v>43</v>
      </c>
      <c r="R971" s="58">
        <v>0</v>
      </c>
      <c r="S971" s="58">
        <v>0</v>
      </c>
      <c r="T971" s="58">
        <v>19</v>
      </c>
      <c r="U971" s="58">
        <v>22.99</v>
      </c>
      <c r="V971" s="58">
        <v>2.8</v>
      </c>
      <c r="W971" s="58">
        <v>-0.70000000000000018</v>
      </c>
      <c r="X971" s="58">
        <v>-20.000000000000004</v>
      </c>
      <c r="Y971" s="58">
        <v>37425</v>
      </c>
      <c r="Z971" s="58">
        <v>14400</v>
      </c>
      <c r="AA971" s="58">
        <v>15136.95</v>
      </c>
      <c r="AE971" s="57"/>
    </row>
    <row r="972" spans="1:31" x14ac:dyDescent="0.35">
      <c r="A972" s="56" t="s">
        <v>1040</v>
      </c>
      <c r="B972" s="58">
        <v>16250</v>
      </c>
      <c r="C972" s="58" t="s">
        <v>36</v>
      </c>
      <c r="D972" s="58">
        <v>0</v>
      </c>
      <c r="E972" s="58">
        <v>0</v>
      </c>
      <c r="F972" s="58">
        <v>0</v>
      </c>
      <c r="G972" s="58">
        <v>0</v>
      </c>
      <c r="H972" s="58">
        <v>0</v>
      </c>
      <c r="I972" s="58">
        <v>0</v>
      </c>
      <c r="J972" s="58">
        <v>0</v>
      </c>
      <c r="K972" s="58">
        <v>0</v>
      </c>
      <c r="L972" s="58">
        <v>4875</v>
      </c>
      <c r="M972" s="58">
        <v>4875</v>
      </c>
      <c r="N972" s="58">
        <v>15136.95</v>
      </c>
      <c r="O972" s="58">
        <v>16250</v>
      </c>
      <c r="P972" s="58" t="s">
        <v>36</v>
      </c>
      <c r="Q972" s="58">
        <v>0</v>
      </c>
      <c r="R972" s="58">
        <v>0</v>
      </c>
      <c r="S972" s="58">
        <v>0</v>
      </c>
      <c r="T972" s="58">
        <v>0</v>
      </c>
      <c r="U972" s="58">
        <v>0</v>
      </c>
      <c r="V972" s="58">
        <v>0</v>
      </c>
      <c r="W972" s="58">
        <v>0</v>
      </c>
      <c r="X972" s="58">
        <v>0</v>
      </c>
      <c r="Y972" s="58">
        <v>75</v>
      </c>
      <c r="Z972" s="58">
        <v>5025</v>
      </c>
      <c r="AA972" s="58">
        <v>15136.95</v>
      </c>
      <c r="AE972" s="57"/>
    </row>
    <row r="973" spans="1:31" x14ac:dyDescent="0.35">
      <c r="A973" s="56" t="s">
        <v>1041</v>
      </c>
      <c r="B973" s="58">
        <v>16250</v>
      </c>
      <c r="C973" s="58" t="s">
        <v>37</v>
      </c>
      <c r="D973" s="58">
        <v>0</v>
      </c>
      <c r="E973" s="58">
        <v>0</v>
      </c>
      <c r="F973" s="58">
        <v>0</v>
      </c>
      <c r="G973" s="58">
        <v>0</v>
      </c>
      <c r="H973" s="58">
        <v>0</v>
      </c>
      <c r="I973" s="58">
        <v>0</v>
      </c>
      <c r="J973" s="58">
        <v>0</v>
      </c>
      <c r="K973" s="58">
        <v>0</v>
      </c>
      <c r="L973" s="58">
        <v>4875</v>
      </c>
      <c r="M973" s="58">
        <v>4875</v>
      </c>
      <c r="N973" s="58">
        <v>15136.95</v>
      </c>
      <c r="O973" s="58">
        <v>16250</v>
      </c>
      <c r="P973" s="58" t="s">
        <v>37</v>
      </c>
      <c r="Q973" s="58">
        <v>0</v>
      </c>
      <c r="R973" s="58">
        <v>0</v>
      </c>
      <c r="S973" s="58">
        <v>0</v>
      </c>
      <c r="T973" s="58">
        <v>0</v>
      </c>
      <c r="U973" s="58">
        <v>0</v>
      </c>
      <c r="V973" s="58">
        <v>0</v>
      </c>
      <c r="W973" s="58">
        <v>0</v>
      </c>
      <c r="X973" s="58">
        <v>0</v>
      </c>
      <c r="Y973" s="58">
        <v>0</v>
      </c>
      <c r="Z973" s="58">
        <v>0</v>
      </c>
      <c r="AA973" s="58">
        <v>15136.95</v>
      </c>
      <c r="AE973" s="57"/>
    </row>
    <row r="974" spans="1:31" x14ac:dyDescent="0.35">
      <c r="A974" s="56" t="s">
        <v>1042</v>
      </c>
      <c r="B974" s="58">
        <v>16250</v>
      </c>
      <c r="C974" s="58" t="s">
        <v>38</v>
      </c>
      <c r="D974" s="58">
        <v>0</v>
      </c>
      <c r="E974" s="58">
        <v>0</v>
      </c>
      <c r="F974" s="58">
        <v>0</v>
      </c>
      <c r="G974" s="58">
        <v>0</v>
      </c>
      <c r="H974" s="58">
        <v>0</v>
      </c>
      <c r="I974" s="58">
        <v>0</v>
      </c>
      <c r="J974" s="58">
        <v>0</v>
      </c>
      <c r="K974" s="58">
        <v>0</v>
      </c>
      <c r="L974" s="58">
        <v>4875</v>
      </c>
      <c r="M974" s="58">
        <v>4875</v>
      </c>
      <c r="N974" s="58">
        <v>15136.95</v>
      </c>
      <c r="O974" s="58">
        <v>16250</v>
      </c>
      <c r="P974" s="58" t="s">
        <v>38</v>
      </c>
      <c r="Q974" s="58">
        <v>0</v>
      </c>
      <c r="R974" s="58">
        <v>0</v>
      </c>
      <c r="S974" s="58">
        <v>0</v>
      </c>
      <c r="T974" s="58">
        <v>0</v>
      </c>
      <c r="U974" s="58">
        <v>0</v>
      </c>
      <c r="V974" s="58">
        <v>0</v>
      </c>
      <c r="W974" s="58">
        <v>0</v>
      </c>
      <c r="X974" s="58">
        <v>0</v>
      </c>
      <c r="Y974" s="58">
        <v>0</v>
      </c>
      <c r="Z974" s="58">
        <v>4875</v>
      </c>
      <c r="AA974" s="58">
        <v>15136.95</v>
      </c>
      <c r="AE974" s="57"/>
    </row>
    <row r="975" spans="1:31" x14ac:dyDescent="0.35">
      <c r="A975" s="56" t="s">
        <v>1043</v>
      </c>
      <c r="B975" s="58">
        <v>16250</v>
      </c>
      <c r="C975" s="58" t="s">
        <v>26</v>
      </c>
      <c r="D975" s="58">
        <v>0</v>
      </c>
      <c r="E975" s="58">
        <v>0</v>
      </c>
      <c r="F975" s="58">
        <v>0</v>
      </c>
      <c r="G975" s="58">
        <v>0</v>
      </c>
      <c r="H975" s="58">
        <v>0</v>
      </c>
      <c r="I975" s="58">
        <v>0</v>
      </c>
      <c r="J975" s="58">
        <v>0</v>
      </c>
      <c r="K975" s="58">
        <v>0</v>
      </c>
      <c r="L975" s="58">
        <v>7725</v>
      </c>
      <c r="M975" s="58">
        <v>4875</v>
      </c>
      <c r="N975" s="58">
        <v>15136.95</v>
      </c>
      <c r="O975" s="58">
        <v>16250</v>
      </c>
      <c r="P975" s="58" t="s">
        <v>26</v>
      </c>
      <c r="Q975" s="58">
        <v>0</v>
      </c>
      <c r="R975" s="58">
        <v>0</v>
      </c>
      <c r="S975" s="58">
        <v>0</v>
      </c>
      <c r="T975" s="58">
        <v>0</v>
      </c>
      <c r="U975" s="58">
        <v>0</v>
      </c>
      <c r="V975" s="58">
        <v>0</v>
      </c>
      <c r="W975" s="58">
        <v>0</v>
      </c>
      <c r="X975" s="58">
        <v>0</v>
      </c>
      <c r="Y975" s="58">
        <v>4125</v>
      </c>
      <c r="Z975" s="58">
        <v>0</v>
      </c>
      <c r="AA975" s="58">
        <v>15136.95</v>
      </c>
      <c r="AE975" s="57"/>
    </row>
    <row r="976" spans="1:31" x14ac:dyDescent="0.35">
      <c r="A976" s="56" t="s">
        <v>1044</v>
      </c>
      <c r="B976" s="58">
        <v>16250</v>
      </c>
      <c r="C976" s="58" t="s">
        <v>67</v>
      </c>
      <c r="D976" s="58">
        <v>0</v>
      </c>
      <c r="E976" s="58">
        <v>0</v>
      </c>
      <c r="F976" s="58">
        <v>0</v>
      </c>
      <c r="G976" s="58">
        <v>0</v>
      </c>
      <c r="H976" s="58">
        <v>0</v>
      </c>
      <c r="I976" s="58">
        <v>0</v>
      </c>
      <c r="J976" s="58">
        <v>0</v>
      </c>
      <c r="K976" s="58">
        <v>0</v>
      </c>
      <c r="L976" s="58">
        <v>4875</v>
      </c>
      <c r="M976" s="58">
        <v>4875</v>
      </c>
      <c r="N976" s="58">
        <v>15136.95</v>
      </c>
      <c r="O976" s="58">
        <v>0</v>
      </c>
      <c r="P976" s="58">
        <v>0</v>
      </c>
      <c r="Q976" s="58">
        <v>0</v>
      </c>
      <c r="R976" s="58">
        <v>0</v>
      </c>
      <c r="S976" s="58">
        <v>0</v>
      </c>
      <c r="T976" s="58">
        <v>0</v>
      </c>
      <c r="U976" s="58">
        <v>0</v>
      </c>
      <c r="V976" s="58">
        <v>0</v>
      </c>
      <c r="W976" s="58">
        <v>0</v>
      </c>
      <c r="X976" s="58">
        <v>0</v>
      </c>
      <c r="Y976" s="58">
        <v>0</v>
      </c>
      <c r="Z976" s="58">
        <v>0</v>
      </c>
      <c r="AA976" s="58">
        <v>0</v>
      </c>
      <c r="AE976" s="57"/>
    </row>
    <row r="977" spans="1:39" x14ac:dyDescent="0.35">
      <c r="A977" s="56" t="s">
        <v>1045</v>
      </c>
      <c r="B977" s="58">
        <v>16250</v>
      </c>
      <c r="C977" s="58" t="s">
        <v>2074</v>
      </c>
      <c r="D977" s="58">
        <v>0</v>
      </c>
      <c r="E977" s="58">
        <v>0</v>
      </c>
      <c r="F977" s="58">
        <v>0</v>
      </c>
      <c r="G977" s="58">
        <v>0</v>
      </c>
      <c r="H977" s="58">
        <v>0</v>
      </c>
      <c r="I977" s="58">
        <v>0</v>
      </c>
      <c r="J977" s="58">
        <v>0</v>
      </c>
      <c r="K977" s="58">
        <v>0</v>
      </c>
      <c r="L977" s="58">
        <v>4875</v>
      </c>
      <c r="M977" s="58">
        <v>4875</v>
      </c>
      <c r="N977" s="58">
        <v>15136.95</v>
      </c>
      <c r="O977" s="58">
        <v>16250</v>
      </c>
      <c r="P977" s="58" t="s">
        <v>2074</v>
      </c>
      <c r="Q977" s="58">
        <v>0</v>
      </c>
      <c r="R977" s="58">
        <v>0</v>
      </c>
      <c r="S977" s="58">
        <v>0</v>
      </c>
      <c r="T977" s="58">
        <v>0</v>
      </c>
      <c r="U977" s="58">
        <v>0</v>
      </c>
      <c r="V977" s="58">
        <v>0</v>
      </c>
      <c r="W977" s="58">
        <v>0</v>
      </c>
      <c r="X977" s="58">
        <v>0</v>
      </c>
      <c r="Y977" s="58">
        <v>0</v>
      </c>
      <c r="Z977" s="58">
        <v>4875</v>
      </c>
      <c r="AA977" s="58">
        <v>15136.95</v>
      </c>
      <c r="AE977" s="57"/>
    </row>
    <row r="978" spans="1:39" x14ac:dyDescent="0.35">
      <c r="A978" s="56" t="s">
        <v>1046</v>
      </c>
      <c r="B978" s="58">
        <v>16250</v>
      </c>
      <c r="C978" s="58" t="s">
        <v>2071</v>
      </c>
      <c r="D978" s="58">
        <v>0</v>
      </c>
      <c r="E978" s="58">
        <v>0</v>
      </c>
      <c r="F978" s="58">
        <v>0</v>
      </c>
      <c r="G978" s="58">
        <v>0</v>
      </c>
      <c r="H978" s="58">
        <v>0</v>
      </c>
      <c r="I978" s="58">
        <v>0</v>
      </c>
      <c r="J978" s="58">
        <v>0</v>
      </c>
      <c r="K978" s="58">
        <v>0</v>
      </c>
      <c r="L978" s="58">
        <v>4875</v>
      </c>
      <c r="M978" s="58">
        <v>4875</v>
      </c>
      <c r="N978" s="58">
        <v>15136.95</v>
      </c>
      <c r="O978" s="58">
        <v>0</v>
      </c>
      <c r="P978" s="58">
        <v>0</v>
      </c>
      <c r="Q978" s="58">
        <v>0</v>
      </c>
      <c r="R978" s="58">
        <v>0</v>
      </c>
      <c r="S978" s="58">
        <v>0</v>
      </c>
      <c r="T978" s="58">
        <v>0</v>
      </c>
      <c r="U978" s="58">
        <v>0</v>
      </c>
      <c r="V978" s="58">
        <v>0</v>
      </c>
      <c r="W978" s="58">
        <v>0</v>
      </c>
      <c r="X978" s="58">
        <v>0</v>
      </c>
      <c r="Y978" s="58">
        <v>0</v>
      </c>
      <c r="Z978" s="58">
        <v>0</v>
      </c>
      <c r="AA978" s="58">
        <v>0</v>
      </c>
      <c r="AE978" s="57"/>
    </row>
    <row r="979" spans="1:39" x14ac:dyDescent="0.35">
      <c r="A979" s="56" t="s">
        <v>1047</v>
      </c>
      <c r="B979" s="58">
        <v>16250</v>
      </c>
      <c r="C979" s="58" t="s">
        <v>35</v>
      </c>
      <c r="D979" s="58">
        <v>0</v>
      </c>
      <c r="E979" s="58">
        <v>0</v>
      </c>
      <c r="F979" s="58">
        <v>0</v>
      </c>
      <c r="G979" s="58">
        <v>0</v>
      </c>
      <c r="H979" s="58">
        <v>0</v>
      </c>
      <c r="I979" s="58">
        <v>0</v>
      </c>
      <c r="J979" s="58">
        <v>0</v>
      </c>
      <c r="K979" s="58">
        <v>0</v>
      </c>
      <c r="L979" s="58">
        <v>18975</v>
      </c>
      <c r="M979" s="58">
        <v>15075</v>
      </c>
      <c r="N979" s="58">
        <v>15136.95</v>
      </c>
      <c r="O979" s="58">
        <v>16250</v>
      </c>
      <c r="P979" s="58" t="s">
        <v>35</v>
      </c>
      <c r="Q979" s="58">
        <v>119</v>
      </c>
      <c r="R979" s="58">
        <v>-17</v>
      </c>
      <c r="S979" s="58">
        <v>-12.5</v>
      </c>
      <c r="T979" s="58">
        <v>33</v>
      </c>
      <c r="U979" s="58">
        <v>46.1</v>
      </c>
      <c r="V979" s="58">
        <v>0.2</v>
      </c>
      <c r="W979" s="58">
        <v>-1.2</v>
      </c>
      <c r="X979" s="58">
        <v>-85.714285714285722</v>
      </c>
      <c r="Y979" s="58">
        <v>21600</v>
      </c>
      <c r="Z979" s="58">
        <v>48450</v>
      </c>
      <c r="AA979" s="58">
        <v>15136.95</v>
      </c>
      <c r="AE979" s="57"/>
    </row>
    <row r="980" spans="1:39" x14ac:dyDescent="0.35">
      <c r="A980" s="56" t="s">
        <v>1048</v>
      </c>
      <c r="B980" s="58">
        <v>16250</v>
      </c>
      <c r="C980" s="58" t="s">
        <v>33</v>
      </c>
      <c r="D980" s="58">
        <v>0</v>
      </c>
      <c r="E980" s="58">
        <v>0</v>
      </c>
      <c r="F980" s="58">
        <v>0</v>
      </c>
      <c r="G980" s="58">
        <v>1</v>
      </c>
      <c r="H980" s="58">
        <v>36.72</v>
      </c>
      <c r="I980" s="58">
        <v>1150.45</v>
      </c>
      <c r="J980" s="58">
        <v>-326.79999999999995</v>
      </c>
      <c r="K980" s="58">
        <v>-22.122186495176845</v>
      </c>
      <c r="L980" s="58">
        <v>6450</v>
      </c>
      <c r="M980" s="58">
        <v>9225</v>
      </c>
      <c r="N980" s="58">
        <v>15136.95</v>
      </c>
      <c r="O980" s="58">
        <v>16250</v>
      </c>
      <c r="P980" s="58" t="s">
        <v>33</v>
      </c>
      <c r="Q980" s="58">
        <v>108</v>
      </c>
      <c r="R980" s="58">
        <v>0</v>
      </c>
      <c r="S980" s="58">
        <v>0</v>
      </c>
      <c r="T980" s="58">
        <v>12</v>
      </c>
      <c r="U980" s="58">
        <v>18.559999999999999</v>
      </c>
      <c r="V980" s="58">
        <v>7.5</v>
      </c>
      <c r="W980" s="58">
        <v>-1.6999999999999993</v>
      </c>
      <c r="X980" s="58">
        <v>-18.478260869565212</v>
      </c>
      <c r="Y980" s="58">
        <v>68475</v>
      </c>
      <c r="Z980" s="58">
        <v>19125</v>
      </c>
      <c r="AA980" s="58">
        <v>15136.95</v>
      </c>
      <c r="AE980" s="57"/>
    </row>
    <row r="981" spans="1:39" x14ac:dyDescent="0.35">
      <c r="A981" s="56" t="s">
        <v>1049</v>
      </c>
      <c r="B981" s="58">
        <v>16300</v>
      </c>
      <c r="C981" s="58" t="s">
        <v>34</v>
      </c>
      <c r="D981" s="58">
        <v>0</v>
      </c>
      <c r="E981" s="58">
        <v>0</v>
      </c>
      <c r="F981" s="58">
        <v>0</v>
      </c>
      <c r="G981" s="58">
        <v>0</v>
      </c>
      <c r="H981" s="58">
        <v>0</v>
      </c>
      <c r="I981" s="58">
        <v>0</v>
      </c>
      <c r="J981" s="58">
        <v>0</v>
      </c>
      <c r="K981" s="58">
        <v>0</v>
      </c>
      <c r="L981" s="58">
        <v>7725</v>
      </c>
      <c r="M981" s="58">
        <v>7725</v>
      </c>
      <c r="N981" s="58">
        <v>15136.95</v>
      </c>
      <c r="O981" s="58">
        <v>16300</v>
      </c>
      <c r="P981" s="58" t="s">
        <v>34</v>
      </c>
      <c r="Q981" s="58">
        <v>442</v>
      </c>
      <c r="R981" s="58">
        <v>95</v>
      </c>
      <c r="S981" s="58">
        <v>27.377521613832855</v>
      </c>
      <c r="T981" s="58">
        <v>341</v>
      </c>
      <c r="U981" s="58">
        <v>23.56</v>
      </c>
      <c r="V981" s="58">
        <v>2.5</v>
      </c>
      <c r="W981" s="58">
        <v>-1.2000000000000002</v>
      </c>
      <c r="X981" s="58">
        <v>-32.432432432432435</v>
      </c>
      <c r="Y981" s="58">
        <v>133800</v>
      </c>
      <c r="Z981" s="58">
        <v>43125</v>
      </c>
      <c r="AA981" s="58">
        <v>15136.95</v>
      </c>
      <c r="AE981" s="57"/>
    </row>
    <row r="982" spans="1:39" x14ac:dyDescent="0.35">
      <c r="A982" s="56" t="s">
        <v>1050</v>
      </c>
      <c r="B982" s="58">
        <v>16300</v>
      </c>
      <c r="C982" s="58" t="s">
        <v>33</v>
      </c>
      <c r="D982" s="58">
        <v>18</v>
      </c>
      <c r="E982" s="58">
        <v>0</v>
      </c>
      <c r="F982" s="58">
        <v>0</v>
      </c>
      <c r="G982" s="58">
        <v>0</v>
      </c>
      <c r="H982" s="58">
        <v>0</v>
      </c>
      <c r="I982" s="58">
        <v>0</v>
      </c>
      <c r="J982" s="58">
        <v>0</v>
      </c>
      <c r="K982" s="58">
        <v>0</v>
      </c>
      <c r="L982" s="58">
        <v>12600</v>
      </c>
      <c r="M982" s="58">
        <v>11700</v>
      </c>
      <c r="N982" s="58">
        <v>15136.95</v>
      </c>
      <c r="O982" s="58">
        <v>16300</v>
      </c>
      <c r="P982" s="58" t="s">
        <v>33</v>
      </c>
      <c r="Q982" s="58">
        <v>792</v>
      </c>
      <c r="R982" s="58">
        <v>-33</v>
      </c>
      <c r="S982" s="58">
        <v>-4</v>
      </c>
      <c r="T982" s="58">
        <v>1208</v>
      </c>
      <c r="U982" s="58">
        <v>19.05</v>
      </c>
      <c r="V982" s="58">
        <v>6.95</v>
      </c>
      <c r="W982" s="58">
        <v>-1.4500000000000002</v>
      </c>
      <c r="X982" s="58">
        <v>-17.261904761904763</v>
      </c>
      <c r="Y982" s="58">
        <v>95550</v>
      </c>
      <c r="Z982" s="58">
        <v>44625</v>
      </c>
      <c r="AA982" s="58">
        <v>15136.95</v>
      </c>
      <c r="AE982" s="57"/>
    </row>
    <row r="983" spans="1:39" x14ac:dyDescent="0.35">
      <c r="A983" s="56" t="s">
        <v>1051</v>
      </c>
      <c r="B983" s="58">
        <v>16300</v>
      </c>
      <c r="C983" s="58" t="s">
        <v>36</v>
      </c>
      <c r="D983" s="58">
        <v>0</v>
      </c>
      <c r="E983" s="58">
        <v>0</v>
      </c>
      <c r="F983" s="58">
        <v>0</v>
      </c>
      <c r="G983" s="58">
        <v>0</v>
      </c>
      <c r="H983" s="58">
        <v>0</v>
      </c>
      <c r="I983" s="58">
        <v>0</v>
      </c>
      <c r="J983" s="58">
        <v>0</v>
      </c>
      <c r="K983" s="58">
        <v>0</v>
      </c>
      <c r="L983" s="58">
        <v>4875</v>
      </c>
      <c r="M983" s="58">
        <v>4875</v>
      </c>
      <c r="N983" s="58">
        <v>15136.95</v>
      </c>
      <c r="O983" s="58">
        <v>16300</v>
      </c>
      <c r="P983" s="58" t="s">
        <v>36</v>
      </c>
      <c r="Q983" s="58">
        <v>0</v>
      </c>
      <c r="R983" s="58">
        <v>0</v>
      </c>
      <c r="S983" s="58">
        <v>0</v>
      </c>
      <c r="T983" s="58">
        <v>0</v>
      </c>
      <c r="U983" s="58">
        <v>0</v>
      </c>
      <c r="V983" s="58">
        <v>0</v>
      </c>
      <c r="W983" s="58">
        <v>0</v>
      </c>
      <c r="X983" s="58">
        <v>0</v>
      </c>
      <c r="Y983" s="58">
        <v>1575</v>
      </c>
      <c r="Z983" s="58">
        <v>1050</v>
      </c>
      <c r="AA983" s="58">
        <v>15136.95</v>
      </c>
      <c r="AE983" s="57"/>
    </row>
    <row r="984" spans="1:39" x14ac:dyDescent="0.35">
      <c r="A984" s="56" t="s">
        <v>1052</v>
      </c>
      <c r="B984" s="58">
        <v>16300</v>
      </c>
      <c r="C984" s="58" t="s">
        <v>37</v>
      </c>
      <c r="D984" s="58">
        <v>0</v>
      </c>
      <c r="E984" s="58">
        <v>0</v>
      </c>
      <c r="F984" s="58">
        <v>0</v>
      </c>
      <c r="G984" s="58">
        <v>0</v>
      </c>
      <c r="H984" s="58">
        <v>0</v>
      </c>
      <c r="I984" s="58">
        <v>0</v>
      </c>
      <c r="J984" s="58">
        <v>0</v>
      </c>
      <c r="K984" s="58">
        <v>0</v>
      </c>
      <c r="L984" s="58">
        <v>4875</v>
      </c>
      <c r="M984" s="58">
        <v>4875</v>
      </c>
      <c r="N984" s="58">
        <v>15136.95</v>
      </c>
      <c r="O984" s="58">
        <v>16300</v>
      </c>
      <c r="P984" s="58" t="s">
        <v>37</v>
      </c>
      <c r="Q984" s="58">
        <v>0</v>
      </c>
      <c r="R984" s="58">
        <v>0</v>
      </c>
      <c r="S984" s="58">
        <v>0</v>
      </c>
      <c r="T984" s="58">
        <v>0</v>
      </c>
      <c r="U984" s="58">
        <v>0</v>
      </c>
      <c r="V984" s="58">
        <v>0</v>
      </c>
      <c r="W984" s="58">
        <v>0</v>
      </c>
      <c r="X984" s="58">
        <v>0</v>
      </c>
      <c r="Y984" s="58">
        <v>600</v>
      </c>
      <c r="Z984" s="58">
        <v>150</v>
      </c>
      <c r="AA984" s="58">
        <v>15136.95</v>
      </c>
      <c r="AE984" s="57"/>
    </row>
    <row r="985" spans="1:39" x14ac:dyDescent="0.35">
      <c r="A985" s="56" t="s">
        <v>1053</v>
      </c>
      <c r="B985" s="58">
        <v>16300</v>
      </c>
      <c r="C985" s="58" t="s">
        <v>38</v>
      </c>
      <c r="D985" s="58">
        <v>0</v>
      </c>
      <c r="E985" s="58">
        <v>0</v>
      </c>
      <c r="F985" s="58">
        <v>0</v>
      </c>
      <c r="G985" s="58">
        <v>0</v>
      </c>
      <c r="H985" s="58">
        <v>0</v>
      </c>
      <c r="I985" s="58">
        <v>0</v>
      </c>
      <c r="J985" s="58">
        <v>0</v>
      </c>
      <c r="K985" s="58">
        <v>0</v>
      </c>
      <c r="L985" s="58">
        <v>4875</v>
      </c>
      <c r="M985" s="58">
        <v>4875</v>
      </c>
      <c r="N985" s="58">
        <v>15136.95</v>
      </c>
      <c r="O985" s="58">
        <v>16300</v>
      </c>
      <c r="P985" s="58" t="s">
        <v>38</v>
      </c>
      <c r="Q985" s="58">
        <v>0</v>
      </c>
      <c r="R985" s="58">
        <v>0</v>
      </c>
      <c r="S985" s="58">
        <v>0</v>
      </c>
      <c r="T985" s="58">
        <v>0</v>
      </c>
      <c r="U985" s="58">
        <v>0</v>
      </c>
      <c r="V985" s="58">
        <v>0</v>
      </c>
      <c r="W985" s="58">
        <v>0</v>
      </c>
      <c r="X985" s="58">
        <v>0</v>
      </c>
      <c r="Y985" s="58">
        <v>300</v>
      </c>
      <c r="Z985" s="58">
        <v>4875</v>
      </c>
      <c r="AA985" s="58">
        <v>15136.95</v>
      </c>
      <c r="AE985" s="57" t="str">
        <f t="shared" ref="AE985:AE1026" si="42">IFERROR(VLOOKUP(AD985,$A$2:$AA$2000,2,0),"")</f>
        <v/>
      </c>
      <c r="AF985" s="18" t="str">
        <f t="shared" ref="AF985:AF1026" si="43">IFERROR(VLOOKUP(AD985,$A$2:$AA$2000,22,0),"")</f>
        <v/>
      </c>
      <c r="AG985" s="18" t="str">
        <f t="shared" ref="AG985:AG1026" si="44">IFERROR(VLOOKUP(AD985,$A$2:$AA$2000,18,0),"")</f>
        <v/>
      </c>
      <c r="AH985" s="18" t="str">
        <f t="shared" ref="AH985:AH1026" si="45">IFERROR(VLOOKUP(AD985,$A$2:$AA$2000,17,0),"")</f>
        <v/>
      </c>
      <c r="AI985" s="18" t="str">
        <f t="shared" ref="AI985:AI1026" si="46">IFERROR(VLOOKUP(AD985,$A$2:$AA$2000,20,0),"")</f>
        <v/>
      </c>
      <c r="AJ985" s="18" t="str">
        <f t="shared" ref="AJ985:AJ1026" si="47">IFERROR(VLOOKUP(AD985,$A$2:$AA$2000,9,0),"")</f>
        <v/>
      </c>
      <c r="AK985" s="18" t="str">
        <f t="shared" ref="AK985:AK1026" si="48">IFERROR(VLOOKUP(AD985,$A$2:$AA$2000,5,0),"")</f>
        <v/>
      </c>
      <c r="AL985" s="18" t="str">
        <f t="shared" ref="AL985:AL1026" si="49">IFERROR(VLOOKUP(AD985,$A$2:$AA$2000,4,0),"")</f>
        <v/>
      </c>
      <c r="AM985" s="18" t="str">
        <f t="shared" ref="AM985:AM1026" si="50">IFERROR(VLOOKUP(AD985,$A$2:$AA$2000,7,0),"")</f>
        <v/>
      </c>
    </row>
    <row r="986" spans="1:39" x14ac:dyDescent="0.35">
      <c r="A986" s="56" t="s">
        <v>1054</v>
      </c>
      <c r="B986" s="58">
        <v>16300</v>
      </c>
      <c r="C986" s="58" t="s">
        <v>26</v>
      </c>
      <c r="D986" s="58">
        <v>0</v>
      </c>
      <c r="E986" s="58">
        <v>0</v>
      </c>
      <c r="F986" s="58">
        <v>0</v>
      </c>
      <c r="G986" s="58">
        <v>0</v>
      </c>
      <c r="H986" s="58">
        <v>0</v>
      </c>
      <c r="I986" s="58">
        <v>0</v>
      </c>
      <c r="J986" s="58">
        <v>0</v>
      </c>
      <c r="K986" s="58">
        <v>0</v>
      </c>
      <c r="L986" s="58">
        <v>5025</v>
      </c>
      <c r="M986" s="58">
        <v>5025</v>
      </c>
      <c r="N986" s="58">
        <v>15136.95</v>
      </c>
      <c r="O986" s="58">
        <v>16300</v>
      </c>
      <c r="P986" s="58" t="s">
        <v>26</v>
      </c>
      <c r="Q986" s="58">
        <v>50</v>
      </c>
      <c r="R986" s="58">
        <v>11</v>
      </c>
      <c r="S986" s="58">
        <v>28.205128205128204</v>
      </c>
      <c r="T986" s="58">
        <v>63</v>
      </c>
      <c r="U986" s="58">
        <v>16.739999999999998</v>
      </c>
      <c r="V986" s="58">
        <v>61</v>
      </c>
      <c r="W986" s="58">
        <v>-1.25</v>
      </c>
      <c r="X986" s="58">
        <v>-2.0080321285140563</v>
      </c>
      <c r="Y986" s="58">
        <v>18150</v>
      </c>
      <c r="Z986" s="58">
        <v>4200</v>
      </c>
      <c r="AA986" s="58">
        <v>15136.95</v>
      </c>
      <c r="AE986" s="57" t="str">
        <f t="shared" si="42"/>
        <v/>
      </c>
      <c r="AF986" s="18" t="str">
        <f t="shared" si="43"/>
        <v/>
      </c>
      <c r="AG986" s="18" t="str">
        <f t="shared" si="44"/>
        <v/>
      </c>
      <c r="AH986" s="18" t="str">
        <f t="shared" si="45"/>
        <v/>
      </c>
      <c r="AI986" s="18" t="str">
        <f t="shared" si="46"/>
        <v/>
      </c>
      <c r="AJ986" s="18" t="str">
        <f t="shared" si="47"/>
        <v/>
      </c>
      <c r="AK986" s="18" t="str">
        <f t="shared" si="48"/>
        <v/>
      </c>
      <c r="AL986" s="18" t="str">
        <f t="shared" si="49"/>
        <v/>
      </c>
      <c r="AM986" s="18" t="str">
        <f t="shared" si="50"/>
        <v/>
      </c>
    </row>
    <row r="987" spans="1:39" x14ac:dyDescent="0.35">
      <c r="A987" s="56" t="s">
        <v>1055</v>
      </c>
      <c r="B987" s="58">
        <v>16300</v>
      </c>
      <c r="C987" s="58" t="s">
        <v>67</v>
      </c>
      <c r="D987" s="58">
        <v>0</v>
      </c>
      <c r="E987" s="58">
        <v>0</v>
      </c>
      <c r="F987" s="58">
        <v>0</v>
      </c>
      <c r="G987" s="58">
        <v>0</v>
      </c>
      <c r="H987" s="58">
        <v>0</v>
      </c>
      <c r="I987" s="58">
        <v>0</v>
      </c>
      <c r="J987" s="58">
        <v>0</v>
      </c>
      <c r="K987" s="58">
        <v>0</v>
      </c>
      <c r="L987" s="58">
        <v>4875</v>
      </c>
      <c r="M987" s="58">
        <v>4875</v>
      </c>
      <c r="N987" s="58">
        <v>15136.95</v>
      </c>
      <c r="O987" s="58">
        <v>0</v>
      </c>
      <c r="P987" s="58">
        <v>0</v>
      </c>
      <c r="Q987" s="58">
        <v>0</v>
      </c>
      <c r="R987" s="58">
        <v>0</v>
      </c>
      <c r="S987" s="58">
        <v>0</v>
      </c>
      <c r="T987" s="58">
        <v>0</v>
      </c>
      <c r="U987" s="58">
        <v>0</v>
      </c>
      <c r="V987" s="58">
        <v>0</v>
      </c>
      <c r="W987" s="58">
        <v>0</v>
      </c>
      <c r="X987" s="58">
        <v>0</v>
      </c>
      <c r="Y987" s="58">
        <v>0</v>
      </c>
      <c r="Z987" s="58">
        <v>0</v>
      </c>
      <c r="AA987" s="58">
        <v>0</v>
      </c>
      <c r="AE987" s="57" t="str">
        <f t="shared" si="42"/>
        <v/>
      </c>
      <c r="AF987" s="18" t="str">
        <f t="shared" si="43"/>
        <v/>
      </c>
      <c r="AG987" s="18" t="str">
        <f t="shared" si="44"/>
        <v/>
      </c>
      <c r="AH987" s="18" t="str">
        <f t="shared" si="45"/>
        <v/>
      </c>
      <c r="AI987" s="18" t="str">
        <f t="shared" si="46"/>
        <v/>
      </c>
      <c r="AJ987" s="18" t="str">
        <f t="shared" si="47"/>
        <v/>
      </c>
      <c r="AK987" s="18" t="str">
        <f t="shared" si="48"/>
        <v/>
      </c>
      <c r="AL987" s="18" t="str">
        <f t="shared" si="49"/>
        <v/>
      </c>
      <c r="AM987" s="18" t="str">
        <f t="shared" si="50"/>
        <v/>
      </c>
    </row>
    <row r="988" spans="1:39" x14ac:dyDescent="0.35">
      <c r="A988" s="56" t="s">
        <v>1056</v>
      </c>
      <c r="B988" s="58">
        <v>16300</v>
      </c>
      <c r="C988" s="58" t="s">
        <v>2074</v>
      </c>
      <c r="D988" s="58">
        <v>0</v>
      </c>
      <c r="E988" s="58">
        <v>0</v>
      </c>
      <c r="F988" s="58">
        <v>0</v>
      </c>
      <c r="G988" s="58">
        <v>0</v>
      </c>
      <c r="H988" s="58">
        <v>0</v>
      </c>
      <c r="I988" s="58">
        <v>0</v>
      </c>
      <c r="J988" s="58">
        <v>0</v>
      </c>
      <c r="K988" s="58">
        <v>0</v>
      </c>
      <c r="L988" s="58">
        <v>4875</v>
      </c>
      <c r="M988" s="58">
        <v>4875</v>
      </c>
      <c r="N988" s="58">
        <v>15136.95</v>
      </c>
      <c r="O988" s="58">
        <v>16300</v>
      </c>
      <c r="P988" s="58" t="s">
        <v>2074</v>
      </c>
      <c r="Q988" s="58">
        <v>0</v>
      </c>
      <c r="R988" s="58">
        <v>0</v>
      </c>
      <c r="S988" s="58">
        <v>0</v>
      </c>
      <c r="T988" s="58">
        <v>0</v>
      </c>
      <c r="U988" s="58">
        <v>0</v>
      </c>
      <c r="V988" s="58">
        <v>0</v>
      </c>
      <c r="W988" s="58">
        <v>0</v>
      </c>
      <c r="X988" s="58">
        <v>0</v>
      </c>
      <c r="Y988" s="58">
        <v>0</v>
      </c>
      <c r="Z988" s="58">
        <v>4875</v>
      </c>
      <c r="AA988" s="58">
        <v>15136.95</v>
      </c>
      <c r="AE988" s="57" t="str">
        <f t="shared" si="42"/>
        <v/>
      </c>
      <c r="AF988" s="18" t="str">
        <f t="shared" si="43"/>
        <v/>
      </c>
      <c r="AG988" s="18" t="str">
        <f t="shared" si="44"/>
        <v/>
      </c>
      <c r="AH988" s="18" t="str">
        <f t="shared" si="45"/>
        <v/>
      </c>
      <c r="AI988" s="18" t="str">
        <f t="shared" si="46"/>
        <v/>
      </c>
      <c r="AJ988" s="18" t="str">
        <f t="shared" si="47"/>
        <v/>
      </c>
      <c r="AK988" s="18" t="str">
        <f t="shared" si="48"/>
        <v/>
      </c>
      <c r="AL988" s="18" t="str">
        <f t="shared" si="49"/>
        <v/>
      </c>
      <c r="AM988" s="18" t="str">
        <f t="shared" si="50"/>
        <v/>
      </c>
    </row>
    <row r="989" spans="1:39" x14ac:dyDescent="0.35">
      <c r="A989" s="56" t="s">
        <v>1057</v>
      </c>
      <c r="B989" s="58">
        <v>16300</v>
      </c>
      <c r="C989" s="58" t="s">
        <v>2071</v>
      </c>
      <c r="D989" s="58">
        <v>0</v>
      </c>
      <c r="E989" s="58">
        <v>0</v>
      </c>
      <c r="F989" s="58">
        <v>0</v>
      </c>
      <c r="G989" s="58">
        <v>0</v>
      </c>
      <c r="H989" s="58">
        <v>0</v>
      </c>
      <c r="I989" s="58">
        <v>0</v>
      </c>
      <c r="J989" s="58">
        <v>0</v>
      </c>
      <c r="K989" s="58">
        <v>0</v>
      </c>
      <c r="L989" s="58">
        <v>4875</v>
      </c>
      <c r="M989" s="58">
        <v>4875</v>
      </c>
      <c r="N989" s="58">
        <v>15136.95</v>
      </c>
      <c r="O989" s="58">
        <v>16300</v>
      </c>
      <c r="P989" s="58" t="s">
        <v>2071</v>
      </c>
      <c r="Q989" s="58">
        <v>0</v>
      </c>
      <c r="R989" s="58">
        <v>0</v>
      </c>
      <c r="S989" s="58">
        <v>0</v>
      </c>
      <c r="T989" s="58">
        <v>0</v>
      </c>
      <c r="U989" s="58">
        <v>0</v>
      </c>
      <c r="V989" s="58">
        <v>0</v>
      </c>
      <c r="W989" s="58">
        <v>0</v>
      </c>
      <c r="X989" s="58">
        <v>0</v>
      </c>
      <c r="Y989" s="58">
        <v>1350</v>
      </c>
      <c r="Z989" s="58">
        <v>0</v>
      </c>
      <c r="AA989" s="58">
        <v>15136.95</v>
      </c>
      <c r="AE989" s="57" t="str">
        <f t="shared" si="42"/>
        <v/>
      </c>
      <c r="AF989" s="18" t="str">
        <f t="shared" si="43"/>
        <v/>
      </c>
      <c r="AG989" s="18" t="str">
        <f t="shared" si="44"/>
        <v/>
      </c>
      <c r="AH989" s="18" t="str">
        <f t="shared" si="45"/>
        <v/>
      </c>
      <c r="AI989" s="18" t="str">
        <f t="shared" si="46"/>
        <v/>
      </c>
      <c r="AJ989" s="18" t="str">
        <f t="shared" si="47"/>
        <v/>
      </c>
      <c r="AK989" s="18" t="str">
        <f t="shared" si="48"/>
        <v/>
      </c>
      <c r="AL989" s="18" t="str">
        <f t="shared" si="49"/>
        <v/>
      </c>
      <c r="AM989" s="18" t="str">
        <f t="shared" si="50"/>
        <v/>
      </c>
    </row>
    <row r="990" spans="1:39" x14ac:dyDescent="0.35">
      <c r="A990" s="56" t="s">
        <v>1058</v>
      </c>
      <c r="B990" s="58">
        <v>16300</v>
      </c>
      <c r="C990" s="58" t="s">
        <v>35</v>
      </c>
      <c r="D990" s="58">
        <v>0</v>
      </c>
      <c r="E990" s="58">
        <v>0</v>
      </c>
      <c r="F990" s="58">
        <v>0</v>
      </c>
      <c r="G990" s="58">
        <v>0</v>
      </c>
      <c r="H990" s="58">
        <v>0</v>
      </c>
      <c r="I990" s="58">
        <v>0</v>
      </c>
      <c r="J990" s="58">
        <v>0</v>
      </c>
      <c r="K990" s="58">
        <v>0</v>
      </c>
      <c r="L990" s="58">
        <v>20100</v>
      </c>
      <c r="M990" s="58">
        <v>14250</v>
      </c>
      <c r="N990" s="58">
        <v>15136.95</v>
      </c>
      <c r="O990" s="58">
        <v>16300</v>
      </c>
      <c r="P990" s="58" t="s">
        <v>35</v>
      </c>
      <c r="Q990" s="58">
        <v>7003</v>
      </c>
      <c r="R990" s="58">
        <v>696</v>
      </c>
      <c r="S990" s="58">
        <v>11.035357539242112</v>
      </c>
      <c r="T990" s="58">
        <v>5005</v>
      </c>
      <c r="U990" s="58">
        <v>47.92</v>
      </c>
      <c r="V990" s="58">
        <v>0.2</v>
      </c>
      <c r="W990" s="58">
        <v>-1.1499999999999999</v>
      </c>
      <c r="X990" s="58">
        <v>-85.18518518518519</v>
      </c>
      <c r="Y990" s="58">
        <v>184950</v>
      </c>
      <c r="Z990" s="58">
        <v>86625</v>
      </c>
      <c r="AA990" s="58">
        <v>15136.95</v>
      </c>
      <c r="AE990" s="57" t="str">
        <f t="shared" si="42"/>
        <v/>
      </c>
      <c r="AF990" s="18" t="str">
        <f t="shared" si="43"/>
        <v/>
      </c>
      <c r="AG990" s="18" t="str">
        <f t="shared" si="44"/>
        <v/>
      </c>
      <c r="AH990" s="18" t="str">
        <f t="shared" si="45"/>
        <v/>
      </c>
      <c r="AI990" s="18" t="str">
        <f t="shared" si="46"/>
        <v/>
      </c>
      <c r="AJ990" s="18" t="str">
        <f t="shared" si="47"/>
        <v/>
      </c>
      <c r="AK990" s="18" t="str">
        <f t="shared" si="48"/>
        <v/>
      </c>
      <c r="AL990" s="18" t="str">
        <f t="shared" si="49"/>
        <v/>
      </c>
      <c r="AM990" s="18" t="str">
        <f t="shared" si="50"/>
        <v/>
      </c>
    </row>
    <row r="991" spans="1:39" x14ac:dyDescent="0.35">
      <c r="A991" s="56" t="s">
        <v>1059</v>
      </c>
      <c r="B991" s="58">
        <v>16350</v>
      </c>
      <c r="C991" s="58" t="s">
        <v>35</v>
      </c>
      <c r="D991" s="58">
        <v>0</v>
      </c>
      <c r="E991" s="58">
        <v>0</v>
      </c>
      <c r="F991" s="58">
        <v>0</v>
      </c>
      <c r="G991" s="58">
        <v>0</v>
      </c>
      <c r="H991" s="58">
        <v>0</v>
      </c>
      <c r="I991" s="58">
        <v>0</v>
      </c>
      <c r="J991" s="58">
        <v>0</v>
      </c>
      <c r="K991" s="58">
        <v>0</v>
      </c>
      <c r="L991" s="58">
        <v>15075</v>
      </c>
      <c r="M991" s="58">
        <v>15150</v>
      </c>
      <c r="N991" s="58">
        <v>15136.95</v>
      </c>
      <c r="O991" s="58">
        <v>16350</v>
      </c>
      <c r="P991" s="58" t="s">
        <v>35</v>
      </c>
      <c r="Q991" s="58">
        <v>64</v>
      </c>
      <c r="R991" s="58">
        <v>8</v>
      </c>
      <c r="S991" s="58">
        <v>14.285714285714286</v>
      </c>
      <c r="T991" s="58">
        <v>180</v>
      </c>
      <c r="U991" s="58">
        <v>46.88</v>
      </c>
      <c r="V991" s="58">
        <v>0.1</v>
      </c>
      <c r="W991" s="58">
        <v>-1.1499999999999999</v>
      </c>
      <c r="X991" s="58">
        <v>-92</v>
      </c>
      <c r="Y991" s="58">
        <v>13950</v>
      </c>
      <c r="Z991" s="58">
        <v>59775</v>
      </c>
      <c r="AA991" s="58">
        <v>15136.95</v>
      </c>
      <c r="AE991" s="57" t="str">
        <f t="shared" si="42"/>
        <v/>
      </c>
      <c r="AF991" s="18" t="str">
        <f t="shared" si="43"/>
        <v/>
      </c>
      <c r="AG991" s="18" t="str">
        <f t="shared" si="44"/>
        <v/>
      </c>
      <c r="AH991" s="18" t="str">
        <f t="shared" si="45"/>
        <v/>
      </c>
      <c r="AI991" s="18" t="str">
        <f t="shared" si="46"/>
        <v/>
      </c>
      <c r="AJ991" s="18" t="str">
        <f t="shared" si="47"/>
        <v/>
      </c>
      <c r="AK991" s="18" t="str">
        <f t="shared" si="48"/>
        <v/>
      </c>
      <c r="AL991" s="18" t="str">
        <f t="shared" si="49"/>
        <v/>
      </c>
      <c r="AM991" s="18" t="str">
        <f t="shared" si="50"/>
        <v/>
      </c>
    </row>
    <row r="992" spans="1:39" x14ac:dyDescent="0.35">
      <c r="A992" s="56" t="s">
        <v>1060</v>
      </c>
      <c r="B992" s="58">
        <v>16350</v>
      </c>
      <c r="C992" s="58" t="s">
        <v>34</v>
      </c>
      <c r="D992" s="58">
        <v>0</v>
      </c>
      <c r="E992" s="58">
        <v>0</v>
      </c>
      <c r="F992" s="58">
        <v>0</v>
      </c>
      <c r="G992" s="58">
        <v>0</v>
      </c>
      <c r="H992" s="58">
        <v>0</v>
      </c>
      <c r="I992" s="58">
        <v>0</v>
      </c>
      <c r="J992" s="58">
        <v>0</v>
      </c>
      <c r="K992" s="58">
        <v>0</v>
      </c>
      <c r="L992" s="58">
        <v>7725</v>
      </c>
      <c r="M992" s="58">
        <v>7725</v>
      </c>
      <c r="N992" s="58">
        <v>15136.95</v>
      </c>
      <c r="O992" s="58">
        <v>16350</v>
      </c>
      <c r="P992" s="58" t="s">
        <v>34</v>
      </c>
      <c r="Q992" s="58">
        <v>0</v>
      </c>
      <c r="R992" s="58">
        <v>0</v>
      </c>
      <c r="S992" s="58">
        <v>0</v>
      </c>
      <c r="T992" s="58">
        <v>0</v>
      </c>
      <c r="U992" s="58">
        <v>0</v>
      </c>
      <c r="V992" s="58">
        <v>0</v>
      </c>
      <c r="W992" s="58">
        <v>0</v>
      </c>
      <c r="X992" s="58">
        <v>0</v>
      </c>
      <c r="Y992" s="58">
        <v>27450</v>
      </c>
      <c r="Z992" s="58">
        <v>11025</v>
      </c>
      <c r="AA992" s="58">
        <v>15136.95</v>
      </c>
      <c r="AE992" s="57" t="str">
        <f t="shared" si="42"/>
        <v/>
      </c>
      <c r="AF992" s="18" t="str">
        <f t="shared" si="43"/>
        <v/>
      </c>
      <c r="AG992" s="18" t="str">
        <f t="shared" si="44"/>
        <v/>
      </c>
      <c r="AH992" s="18" t="str">
        <f t="shared" si="45"/>
        <v/>
      </c>
      <c r="AI992" s="18" t="str">
        <f t="shared" si="46"/>
        <v/>
      </c>
      <c r="AJ992" s="18" t="str">
        <f t="shared" si="47"/>
        <v/>
      </c>
      <c r="AK992" s="18" t="str">
        <f t="shared" si="48"/>
        <v/>
      </c>
      <c r="AL992" s="18" t="str">
        <f t="shared" si="49"/>
        <v/>
      </c>
      <c r="AM992" s="18" t="str">
        <f t="shared" si="50"/>
        <v/>
      </c>
    </row>
    <row r="993" spans="1:39" x14ac:dyDescent="0.35">
      <c r="A993" s="56" t="s">
        <v>1061</v>
      </c>
      <c r="B993" s="58">
        <v>16350</v>
      </c>
      <c r="C993" s="58" t="s">
        <v>36</v>
      </c>
      <c r="D993" s="58">
        <v>0</v>
      </c>
      <c r="E993" s="58">
        <v>0</v>
      </c>
      <c r="F993" s="58">
        <v>0</v>
      </c>
      <c r="G993" s="58">
        <v>0</v>
      </c>
      <c r="H993" s="58">
        <v>0</v>
      </c>
      <c r="I993" s="58">
        <v>0</v>
      </c>
      <c r="J993" s="58">
        <v>0</v>
      </c>
      <c r="K993" s="58">
        <v>0</v>
      </c>
      <c r="L993" s="58">
        <v>4875</v>
      </c>
      <c r="M993" s="58">
        <v>4875</v>
      </c>
      <c r="N993" s="58">
        <v>15136.95</v>
      </c>
      <c r="O993" s="58">
        <v>16350</v>
      </c>
      <c r="P993" s="58" t="s">
        <v>36</v>
      </c>
      <c r="Q993" s="58">
        <v>0</v>
      </c>
      <c r="R993" s="58">
        <v>0</v>
      </c>
      <c r="S993" s="58">
        <v>0</v>
      </c>
      <c r="T993" s="58">
        <v>0</v>
      </c>
      <c r="U993" s="58">
        <v>0</v>
      </c>
      <c r="V993" s="58">
        <v>0</v>
      </c>
      <c r="W993" s="58">
        <v>0</v>
      </c>
      <c r="X993" s="58">
        <v>0</v>
      </c>
      <c r="Y993" s="58">
        <v>75</v>
      </c>
      <c r="Z993" s="58">
        <v>150</v>
      </c>
      <c r="AA993" s="58">
        <v>15136.95</v>
      </c>
      <c r="AE993" s="57" t="str">
        <f t="shared" si="42"/>
        <v/>
      </c>
      <c r="AF993" s="18" t="str">
        <f t="shared" si="43"/>
        <v/>
      </c>
      <c r="AG993" s="18" t="str">
        <f t="shared" si="44"/>
        <v/>
      </c>
      <c r="AH993" s="18" t="str">
        <f t="shared" si="45"/>
        <v/>
      </c>
      <c r="AI993" s="18" t="str">
        <f t="shared" si="46"/>
        <v/>
      </c>
      <c r="AJ993" s="18" t="str">
        <f t="shared" si="47"/>
        <v/>
      </c>
      <c r="AK993" s="18" t="str">
        <f t="shared" si="48"/>
        <v/>
      </c>
      <c r="AL993" s="18" t="str">
        <f t="shared" si="49"/>
        <v/>
      </c>
      <c r="AM993" s="18" t="str">
        <f t="shared" si="50"/>
        <v/>
      </c>
    </row>
    <row r="994" spans="1:39" x14ac:dyDescent="0.35">
      <c r="A994" s="56" t="s">
        <v>1062</v>
      </c>
      <c r="B994" s="58">
        <v>16350</v>
      </c>
      <c r="C994" s="58" t="s">
        <v>37</v>
      </c>
      <c r="D994" s="58">
        <v>0</v>
      </c>
      <c r="E994" s="58">
        <v>0</v>
      </c>
      <c r="F994" s="58">
        <v>0</v>
      </c>
      <c r="G994" s="58">
        <v>0</v>
      </c>
      <c r="H994" s="58">
        <v>0</v>
      </c>
      <c r="I994" s="58">
        <v>0</v>
      </c>
      <c r="J994" s="58">
        <v>0</v>
      </c>
      <c r="K994" s="58">
        <v>0</v>
      </c>
      <c r="L994" s="58">
        <v>4875</v>
      </c>
      <c r="M994" s="58">
        <v>4875</v>
      </c>
      <c r="N994" s="58">
        <v>15136.95</v>
      </c>
      <c r="O994" s="58">
        <v>16350</v>
      </c>
      <c r="P994" s="58" t="s">
        <v>37</v>
      </c>
      <c r="Q994" s="58">
        <v>0</v>
      </c>
      <c r="R994" s="58">
        <v>0</v>
      </c>
      <c r="S994" s="58">
        <v>0</v>
      </c>
      <c r="T994" s="58">
        <v>0</v>
      </c>
      <c r="U994" s="58">
        <v>0</v>
      </c>
      <c r="V994" s="58">
        <v>0</v>
      </c>
      <c r="W994" s="58">
        <v>0</v>
      </c>
      <c r="X994" s="58">
        <v>0</v>
      </c>
      <c r="Y994" s="58">
        <v>0</v>
      </c>
      <c r="Z994" s="58">
        <v>0</v>
      </c>
      <c r="AA994" s="58">
        <v>15136.95</v>
      </c>
      <c r="AE994" s="57" t="str">
        <f t="shared" si="42"/>
        <v/>
      </c>
      <c r="AF994" s="18" t="str">
        <f t="shared" si="43"/>
        <v/>
      </c>
      <c r="AG994" s="18" t="str">
        <f t="shared" si="44"/>
        <v/>
      </c>
      <c r="AH994" s="18" t="str">
        <f t="shared" si="45"/>
        <v/>
      </c>
      <c r="AI994" s="18" t="str">
        <f t="shared" si="46"/>
        <v/>
      </c>
      <c r="AJ994" s="18" t="str">
        <f t="shared" si="47"/>
        <v/>
      </c>
      <c r="AK994" s="18" t="str">
        <f t="shared" si="48"/>
        <v/>
      </c>
      <c r="AL994" s="18" t="str">
        <f t="shared" si="49"/>
        <v/>
      </c>
      <c r="AM994" s="18" t="str">
        <f t="shared" si="50"/>
        <v/>
      </c>
    </row>
    <row r="995" spans="1:39" x14ac:dyDescent="0.35">
      <c r="A995" s="56" t="s">
        <v>1063</v>
      </c>
      <c r="B995" s="58">
        <v>16350</v>
      </c>
      <c r="C995" s="58" t="s">
        <v>38</v>
      </c>
      <c r="D995" s="58">
        <v>0</v>
      </c>
      <c r="E995" s="58">
        <v>0</v>
      </c>
      <c r="F995" s="58">
        <v>0</v>
      </c>
      <c r="G995" s="58">
        <v>0</v>
      </c>
      <c r="H995" s="58">
        <v>0</v>
      </c>
      <c r="I995" s="58">
        <v>0</v>
      </c>
      <c r="J995" s="58">
        <v>0</v>
      </c>
      <c r="K995" s="58">
        <v>0</v>
      </c>
      <c r="L995" s="58">
        <v>4875</v>
      </c>
      <c r="M995" s="58">
        <v>4875</v>
      </c>
      <c r="N995" s="58">
        <v>15136.95</v>
      </c>
      <c r="O995" s="58">
        <v>0</v>
      </c>
      <c r="P995" s="58">
        <v>0</v>
      </c>
      <c r="Q995" s="58">
        <v>0</v>
      </c>
      <c r="R995" s="58">
        <v>0</v>
      </c>
      <c r="S995" s="58">
        <v>0</v>
      </c>
      <c r="T995" s="58">
        <v>0</v>
      </c>
      <c r="U995" s="58">
        <v>0</v>
      </c>
      <c r="V995" s="58">
        <v>0</v>
      </c>
      <c r="W995" s="58">
        <v>0</v>
      </c>
      <c r="X995" s="58">
        <v>0</v>
      </c>
      <c r="Y995" s="58">
        <v>0</v>
      </c>
      <c r="Z995" s="58">
        <v>0</v>
      </c>
      <c r="AA995" s="58">
        <v>0</v>
      </c>
      <c r="AE995" s="57" t="str">
        <f t="shared" si="42"/>
        <v/>
      </c>
      <c r="AF995" s="18" t="str">
        <f t="shared" si="43"/>
        <v/>
      </c>
      <c r="AG995" s="18" t="str">
        <f t="shared" si="44"/>
        <v/>
      </c>
      <c r="AH995" s="18" t="str">
        <f t="shared" si="45"/>
        <v/>
      </c>
      <c r="AI995" s="18" t="str">
        <f t="shared" si="46"/>
        <v/>
      </c>
      <c r="AJ995" s="18" t="str">
        <f t="shared" si="47"/>
        <v/>
      </c>
      <c r="AK995" s="18" t="str">
        <f t="shared" si="48"/>
        <v/>
      </c>
      <c r="AL995" s="18" t="str">
        <f t="shared" si="49"/>
        <v/>
      </c>
      <c r="AM995" s="18" t="str">
        <f t="shared" si="50"/>
        <v/>
      </c>
    </row>
    <row r="996" spans="1:39" x14ac:dyDescent="0.35">
      <c r="A996" s="56" t="s">
        <v>1064</v>
      </c>
      <c r="B996" s="58">
        <v>16350</v>
      </c>
      <c r="C996" s="58" t="s">
        <v>26</v>
      </c>
      <c r="D996" s="58">
        <v>0</v>
      </c>
      <c r="E996" s="58">
        <v>0</v>
      </c>
      <c r="F996" s="58">
        <v>0</v>
      </c>
      <c r="G996" s="58">
        <v>0</v>
      </c>
      <c r="H996" s="58">
        <v>0</v>
      </c>
      <c r="I996" s="58">
        <v>0</v>
      </c>
      <c r="J996" s="58">
        <v>0</v>
      </c>
      <c r="K996" s="58">
        <v>0</v>
      </c>
      <c r="L996" s="58">
        <v>7725</v>
      </c>
      <c r="M996" s="58">
        <v>4875</v>
      </c>
      <c r="N996" s="58">
        <v>15136.95</v>
      </c>
      <c r="O996" s="58">
        <v>16350</v>
      </c>
      <c r="P996" s="58" t="s">
        <v>26</v>
      </c>
      <c r="Q996" s="58">
        <v>0</v>
      </c>
      <c r="R996" s="58">
        <v>0</v>
      </c>
      <c r="S996" s="58">
        <v>0</v>
      </c>
      <c r="T996" s="58">
        <v>0</v>
      </c>
      <c r="U996" s="58">
        <v>0</v>
      </c>
      <c r="V996" s="58">
        <v>0</v>
      </c>
      <c r="W996" s="58">
        <v>0</v>
      </c>
      <c r="X996" s="58">
        <v>0</v>
      </c>
      <c r="Y996" s="58">
        <v>4125</v>
      </c>
      <c r="Z996" s="58">
        <v>0</v>
      </c>
      <c r="AA996" s="58">
        <v>15136.95</v>
      </c>
      <c r="AE996" s="57" t="str">
        <f t="shared" si="42"/>
        <v/>
      </c>
      <c r="AF996" s="18" t="str">
        <f t="shared" si="43"/>
        <v/>
      </c>
      <c r="AG996" s="18" t="str">
        <f t="shared" si="44"/>
        <v/>
      </c>
      <c r="AH996" s="18" t="str">
        <f t="shared" si="45"/>
        <v/>
      </c>
      <c r="AI996" s="18" t="str">
        <f t="shared" si="46"/>
        <v/>
      </c>
      <c r="AJ996" s="18" t="str">
        <f t="shared" si="47"/>
        <v/>
      </c>
      <c r="AK996" s="18" t="str">
        <f t="shared" si="48"/>
        <v/>
      </c>
      <c r="AL996" s="18" t="str">
        <f t="shared" si="49"/>
        <v/>
      </c>
      <c r="AM996" s="18" t="str">
        <f t="shared" si="50"/>
        <v/>
      </c>
    </row>
    <row r="997" spans="1:39" x14ac:dyDescent="0.35">
      <c r="A997" s="56" t="s">
        <v>1065</v>
      </c>
      <c r="B997" s="58">
        <v>16350</v>
      </c>
      <c r="C997" s="58" t="s">
        <v>67</v>
      </c>
      <c r="D997" s="58">
        <v>0</v>
      </c>
      <c r="E997" s="58">
        <v>0</v>
      </c>
      <c r="F997" s="58">
        <v>0</v>
      </c>
      <c r="G997" s="58">
        <v>0</v>
      </c>
      <c r="H997" s="58">
        <v>0</v>
      </c>
      <c r="I997" s="58">
        <v>0</v>
      </c>
      <c r="J997" s="58">
        <v>0</v>
      </c>
      <c r="K997" s="58">
        <v>0</v>
      </c>
      <c r="L997" s="58">
        <v>4875</v>
      </c>
      <c r="M997" s="58">
        <v>4875</v>
      </c>
      <c r="N997" s="58">
        <v>15136.95</v>
      </c>
      <c r="O997" s="58">
        <v>0</v>
      </c>
      <c r="P997" s="58">
        <v>0</v>
      </c>
      <c r="Q997" s="58">
        <v>0</v>
      </c>
      <c r="R997" s="58">
        <v>0</v>
      </c>
      <c r="S997" s="58">
        <v>0</v>
      </c>
      <c r="T997" s="58">
        <v>0</v>
      </c>
      <c r="U997" s="58">
        <v>0</v>
      </c>
      <c r="V997" s="58">
        <v>0</v>
      </c>
      <c r="W997" s="58">
        <v>0</v>
      </c>
      <c r="X997" s="58">
        <v>0</v>
      </c>
      <c r="Y997" s="58">
        <v>0</v>
      </c>
      <c r="Z997" s="58">
        <v>0</v>
      </c>
      <c r="AA997" s="58">
        <v>0</v>
      </c>
      <c r="AE997" s="57" t="str">
        <f t="shared" si="42"/>
        <v/>
      </c>
      <c r="AF997" s="18" t="str">
        <f t="shared" si="43"/>
        <v/>
      </c>
      <c r="AG997" s="18" t="str">
        <f t="shared" si="44"/>
        <v/>
      </c>
      <c r="AH997" s="18" t="str">
        <f t="shared" si="45"/>
        <v/>
      </c>
      <c r="AI997" s="18" t="str">
        <f t="shared" si="46"/>
        <v/>
      </c>
      <c r="AJ997" s="18" t="str">
        <f t="shared" si="47"/>
        <v/>
      </c>
      <c r="AK997" s="18" t="str">
        <f t="shared" si="48"/>
        <v/>
      </c>
      <c r="AL997" s="18" t="str">
        <f t="shared" si="49"/>
        <v/>
      </c>
      <c r="AM997" s="18" t="str">
        <f t="shared" si="50"/>
        <v/>
      </c>
    </row>
    <row r="998" spans="1:39" x14ac:dyDescent="0.35">
      <c r="A998" s="56" t="s">
        <v>1066</v>
      </c>
      <c r="B998" s="58">
        <v>16350</v>
      </c>
      <c r="C998" s="58" t="s">
        <v>2074</v>
      </c>
      <c r="D998" s="58">
        <v>0</v>
      </c>
      <c r="E998" s="58">
        <v>0</v>
      </c>
      <c r="F998" s="58">
        <v>0</v>
      </c>
      <c r="G998" s="58">
        <v>0</v>
      </c>
      <c r="H998" s="58">
        <v>0</v>
      </c>
      <c r="I998" s="58">
        <v>0</v>
      </c>
      <c r="J998" s="58">
        <v>0</v>
      </c>
      <c r="K998" s="58">
        <v>0</v>
      </c>
      <c r="L998" s="58">
        <v>4875</v>
      </c>
      <c r="M998" s="58">
        <v>4875</v>
      </c>
      <c r="N998" s="58">
        <v>15136.95</v>
      </c>
      <c r="O998" s="58">
        <v>16350</v>
      </c>
      <c r="P998" s="58" t="s">
        <v>2074</v>
      </c>
      <c r="Q998" s="58">
        <v>0</v>
      </c>
      <c r="R998" s="58">
        <v>0</v>
      </c>
      <c r="S998" s="58">
        <v>0</v>
      </c>
      <c r="T998" s="58">
        <v>0</v>
      </c>
      <c r="U998" s="58">
        <v>0</v>
      </c>
      <c r="V998" s="58">
        <v>0</v>
      </c>
      <c r="W998" s="58">
        <v>0</v>
      </c>
      <c r="X998" s="58">
        <v>0</v>
      </c>
      <c r="Y998" s="58">
        <v>0</v>
      </c>
      <c r="Z998" s="58">
        <v>4875</v>
      </c>
      <c r="AA998" s="58">
        <v>15136.95</v>
      </c>
      <c r="AE998" s="57" t="str">
        <f t="shared" si="42"/>
        <v/>
      </c>
      <c r="AF998" s="18" t="str">
        <f t="shared" si="43"/>
        <v/>
      </c>
      <c r="AG998" s="18" t="str">
        <f t="shared" si="44"/>
        <v/>
      </c>
      <c r="AH998" s="18" t="str">
        <f t="shared" si="45"/>
        <v/>
      </c>
      <c r="AI998" s="18" t="str">
        <f t="shared" si="46"/>
        <v/>
      </c>
      <c r="AJ998" s="18" t="str">
        <f t="shared" si="47"/>
        <v/>
      </c>
      <c r="AK998" s="18" t="str">
        <f t="shared" si="48"/>
        <v/>
      </c>
      <c r="AL998" s="18" t="str">
        <f t="shared" si="49"/>
        <v/>
      </c>
      <c r="AM998" s="18" t="str">
        <f t="shared" si="50"/>
        <v/>
      </c>
    </row>
    <row r="999" spans="1:39" x14ac:dyDescent="0.35">
      <c r="A999" s="56" t="s">
        <v>1067</v>
      </c>
      <c r="B999" s="58">
        <v>16350</v>
      </c>
      <c r="C999" s="58" t="s">
        <v>2071</v>
      </c>
      <c r="D999" s="58">
        <v>0</v>
      </c>
      <c r="E999" s="58">
        <v>0</v>
      </c>
      <c r="F999" s="58">
        <v>0</v>
      </c>
      <c r="G999" s="58">
        <v>0</v>
      </c>
      <c r="H999" s="58">
        <v>0</v>
      </c>
      <c r="I999" s="58">
        <v>0</v>
      </c>
      <c r="J999" s="58">
        <v>0</v>
      </c>
      <c r="K999" s="58">
        <v>0</v>
      </c>
      <c r="L999" s="58">
        <v>4875</v>
      </c>
      <c r="M999" s="58">
        <v>4875</v>
      </c>
      <c r="N999" s="58">
        <v>15136.95</v>
      </c>
      <c r="O999" s="58">
        <v>16350</v>
      </c>
      <c r="P999" s="58" t="s">
        <v>2071</v>
      </c>
      <c r="Q999" s="58">
        <v>0</v>
      </c>
      <c r="R999" s="58">
        <v>0</v>
      </c>
      <c r="S999" s="58">
        <v>0</v>
      </c>
      <c r="T999" s="58">
        <v>0</v>
      </c>
      <c r="U999" s="58">
        <v>0</v>
      </c>
      <c r="V999" s="58">
        <v>0</v>
      </c>
      <c r="W999" s="58">
        <v>0</v>
      </c>
      <c r="X999" s="58">
        <v>0</v>
      </c>
      <c r="Y999" s="58">
        <v>0</v>
      </c>
      <c r="Z999" s="58">
        <v>0</v>
      </c>
      <c r="AA999" s="58">
        <v>15136.95</v>
      </c>
      <c r="AE999" s="57" t="str">
        <f t="shared" si="42"/>
        <v/>
      </c>
      <c r="AF999" s="18" t="str">
        <f t="shared" si="43"/>
        <v/>
      </c>
      <c r="AG999" s="18" t="str">
        <f t="shared" si="44"/>
        <v/>
      </c>
      <c r="AH999" s="18" t="str">
        <f t="shared" si="45"/>
        <v/>
      </c>
      <c r="AI999" s="18" t="str">
        <f t="shared" si="46"/>
        <v/>
      </c>
      <c r="AJ999" s="18" t="str">
        <f t="shared" si="47"/>
        <v/>
      </c>
      <c r="AK999" s="18" t="str">
        <f t="shared" si="48"/>
        <v/>
      </c>
      <c r="AL999" s="18" t="str">
        <f t="shared" si="49"/>
        <v/>
      </c>
      <c r="AM999" s="18" t="str">
        <f t="shared" si="50"/>
        <v/>
      </c>
    </row>
    <row r="1000" spans="1:39" x14ac:dyDescent="0.35">
      <c r="A1000" s="56" t="s">
        <v>1068</v>
      </c>
      <c r="B1000" s="58">
        <v>16350</v>
      </c>
      <c r="C1000" s="58" t="s">
        <v>33</v>
      </c>
      <c r="D1000" s="58">
        <v>0</v>
      </c>
      <c r="E1000" s="58">
        <v>0</v>
      </c>
      <c r="F1000" s="58">
        <v>0</v>
      </c>
      <c r="G1000" s="58">
        <v>0</v>
      </c>
      <c r="H1000" s="58">
        <v>0</v>
      </c>
      <c r="I1000" s="58">
        <v>0</v>
      </c>
      <c r="J1000" s="58">
        <v>0</v>
      </c>
      <c r="K1000" s="58">
        <v>0</v>
      </c>
      <c r="L1000" s="58">
        <v>9300</v>
      </c>
      <c r="M1000" s="58">
        <v>9300</v>
      </c>
      <c r="N1000" s="58">
        <v>15136.95</v>
      </c>
      <c r="O1000" s="58">
        <v>16350</v>
      </c>
      <c r="P1000" s="58" t="s">
        <v>33</v>
      </c>
      <c r="Q1000" s="58">
        <v>18</v>
      </c>
      <c r="R1000" s="58">
        <v>0</v>
      </c>
      <c r="S1000" s="58">
        <v>0</v>
      </c>
      <c r="T1000" s="58">
        <v>6</v>
      </c>
      <c r="U1000" s="58">
        <v>19.489999999999998</v>
      </c>
      <c r="V1000" s="58">
        <v>5</v>
      </c>
      <c r="W1000" s="58">
        <v>-2</v>
      </c>
      <c r="X1000" s="58">
        <v>-28.571428571428569</v>
      </c>
      <c r="Y1000" s="58">
        <v>24150</v>
      </c>
      <c r="Z1000" s="58">
        <v>15975</v>
      </c>
      <c r="AA1000" s="58">
        <v>15136.95</v>
      </c>
      <c r="AE1000" s="57" t="str">
        <f t="shared" si="42"/>
        <v/>
      </c>
      <c r="AF1000" s="18" t="str">
        <f t="shared" si="43"/>
        <v/>
      </c>
      <c r="AG1000" s="18" t="str">
        <f t="shared" si="44"/>
        <v/>
      </c>
      <c r="AH1000" s="18" t="str">
        <f t="shared" si="45"/>
        <v/>
      </c>
      <c r="AI1000" s="18" t="str">
        <f t="shared" si="46"/>
        <v/>
      </c>
      <c r="AJ1000" s="18" t="str">
        <f t="shared" si="47"/>
        <v/>
      </c>
      <c r="AK1000" s="18" t="str">
        <f t="shared" si="48"/>
        <v/>
      </c>
      <c r="AL1000" s="18" t="str">
        <f t="shared" si="49"/>
        <v/>
      </c>
      <c r="AM1000" s="18" t="str">
        <f t="shared" si="50"/>
        <v/>
      </c>
    </row>
    <row r="1001" spans="1:39" x14ac:dyDescent="0.35">
      <c r="A1001" s="56" t="s">
        <v>1069</v>
      </c>
      <c r="B1001" s="58">
        <v>16400</v>
      </c>
      <c r="C1001" s="58" t="s">
        <v>35</v>
      </c>
      <c r="D1001" s="58">
        <v>0</v>
      </c>
      <c r="E1001" s="58">
        <v>0</v>
      </c>
      <c r="F1001" s="58">
        <v>0</v>
      </c>
      <c r="G1001" s="58">
        <v>0</v>
      </c>
      <c r="H1001" s="58">
        <v>0</v>
      </c>
      <c r="I1001" s="58">
        <v>0</v>
      </c>
      <c r="J1001" s="58">
        <v>0</v>
      </c>
      <c r="K1001" s="58">
        <v>0</v>
      </c>
      <c r="L1001" s="58">
        <v>14325</v>
      </c>
      <c r="M1001" s="58">
        <v>14325</v>
      </c>
      <c r="N1001" s="58">
        <v>15136.95</v>
      </c>
      <c r="O1001" s="58">
        <v>16400</v>
      </c>
      <c r="P1001" s="58" t="s">
        <v>35</v>
      </c>
      <c r="Q1001" s="58">
        <v>12875</v>
      </c>
      <c r="R1001" s="58">
        <v>-394</v>
      </c>
      <c r="S1001" s="58">
        <v>-2.9693270027884542</v>
      </c>
      <c r="T1001" s="58">
        <v>4789</v>
      </c>
      <c r="U1001" s="58">
        <v>50.26</v>
      </c>
      <c r="V1001" s="58">
        <v>0.2</v>
      </c>
      <c r="W1001" s="58">
        <v>-1.3</v>
      </c>
      <c r="X1001" s="58">
        <v>-86.666666666666671</v>
      </c>
      <c r="Y1001" s="58">
        <v>365550</v>
      </c>
      <c r="Z1001" s="58">
        <v>97200</v>
      </c>
      <c r="AA1001" s="58">
        <v>15136.95</v>
      </c>
      <c r="AE1001" s="57" t="str">
        <f t="shared" si="42"/>
        <v/>
      </c>
      <c r="AF1001" s="18" t="str">
        <f t="shared" si="43"/>
        <v/>
      </c>
      <c r="AG1001" s="18" t="str">
        <f t="shared" si="44"/>
        <v/>
      </c>
      <c r="AH1001" s="18" t="str">
        <f t="shared" si="45"/>
        <v/>
      </c>
      <c r="AI1001" s="18" t="str">
        <f t="shared" si="46"/>
        <v/>
      </c>
      <c r="AJ1001" s="18" t="str">
        <f t="shared" si="47"/>
        <v/>
      </c>
      <c r="AK1001" s="18" t="str">
        <f t="shared" si="48"/>
        <v/>
      </c>
      <c r="AL1001" s="18" t="str">
        <f t="shared" si="49"/>
        <v/>
      </c>
      <c r="AM1001" s="18" t="str">
        <f t="shared" si="50"/>
        <v/>
      </c>
    </row>
    <row r="1002" spans="1:39" x14ac:dyDescent="0.35">
      <c r="A1002" s="56" t="s">
        <v>1070</v>
      </c>
      <c r="B1002" s="58">
        <v>16400</v>
      </c>
      <c r="C1002" s="58" t="s">
        <v>33</v>
      </c>
      <c r="D1002" s="58">
        <v>7</v>
      </c>
      <c r="E1002" s="58">
        <v>0</v>
      </c>
      <c r="F1002" s="58">
        <v>0</v>
      </c>
      <c r="G1002" s="58">
        <v>0</v>
      </c>
      <c r="H1002" s="58">
        <v>0</v>
      </c>
      <c r="I1002" s="58">
        <v>0</v>
      </c>
      <c r="J1002" s="58">
        <v>0</v>
      </c>
      <c r="K1002" s="58">
        <v>0</v>
      </c>
      <c r="L1002" s="58">
        <v>11700</v>
      </c>
      <c r="M1002" s="58">
        <v>11625</v>
      </c>
      <c r="N1002" s="58">
        <v>15136.95</v>
      </c>
      <c r="O1002" s="58">
        <v>16400</v>
      </c>
      <c r="P1002" s="58" t="s">
        <v>33</v>
      </c>
      <c r="Q1002" s="58">
        <v>1861</v>
      </c>
      <c r="R1002" s="58">
        <v>197</v>
      </c>
      <c r="S1002" s="58">
        <v>11.838942307692308</v>
      </c>
      <c r="T1002" s="58">
        <v>743</v>
      </c>
      <c r="U1002" s="58">
        <v>19.71</v>
      </c>
      <c r="V1002" s="58">
        <v>5.75</v>
      </c>
      <c r="W1002" s="58">
        <v>-1.5499999999999998</v>
      </c>
      <c r="X1002" s="58">
        <v>-21.232876712328768</v>
      </c>
      <c r="Y1002" s="58">
        <v>92175</v>
      </c>
      <c r="Z1002" s="58">
        <v>53700</v>
      </c>
      <c r="AA1002" s="58">
        <v>15136.95</v>
      </c>
      <c r="AE1002" s="57" t="str">
        <f t="shared" si="42"/>
        <v/>
      </c>
      <c r="AF1002" s="18" t="str">
        <f t="shared" si="43"/>
        <v/>
      </c>
      <c r="AG1002" s="18" t="str">
        <f t="shared" si="44"/>
        <v/>
      </c>
      <c r="AH1002" s="18" t="str">
        <f t="shared" si="45"/>
        <v/>
      </c>
      <c r="AI1002" s="18" t="str">
        <f t="shared" si="46"/>
        <v/>
      </c>
      <c r="AJ1002" s="18" t="str">
        <f t="shared" si="47"/>
        <v/>
      </c>
      <c r="AK1002" s="18" t="str">
        <f t="shared" si="48"/>
        <v/>
      </c>
      <c r="AL1002" s="18" t="str">
        <f t="shared" si="49"/>
        <v/>
      </c>
      <c r="AM1002" s="18" t="str">
        <f t="shared" si="50"/>
        <v/>
      </c>
    </row>
    <row r="1003" spans="1:39" x14ac:dyDescent="0.35">
      <c r="A1003" s="56" t="s">
        <v>1071</v>
      </c>
      <c r="B1003" s="58">
        <v>16400</v>
      </c>
      <c r="C1003" s="58" t="s">
        <v>36</v>
      </c>
      <c r="D1003" s="58">
        <v>0</v>
      </c>
      <c r="E1003" s="58">
        <v>0</v>
      </c>
      <c r="F1003" s="58">
        <v>0</v>
      </c>
      <c r="G1003" s="58">
        <v>0</v>
      </c>
      <c r="H1003" s="58">
        <v>0</v>
      </c>
      <c r="I1003" s="58">
        <v>0</v>
      </c>
      <c r="J1003" s="58">
        <v>0</v>
      </c>
      <c r="K1003" s="58">
        <v>0</v>
      </c>
      <c r="L1003" s="58">
        <v>4875</v>
      </c>
      <c r="M1003" s="58">
        <v>4875</v>
      </c>
      <c r="N1003" s="58">
        <v>15136.95</v>
      </c>
      <c r="O1003" s="58">
        <v>16400</v>
      </c>
      <c r="P1003" s="58" t="s">
        <v>36</v>
      </c>
      <c r="Q1003" s="58">
        <v>0</v>
      </c>
      <c r="R1003" s="58">
        <v>0</v>
      </c>
      <c r="S1003" s="58">
        <v>0</v>
      </c>
      <c r="T1003" s="58">
        <v>0</v>
      </c>
      <c r="U1003" s="58">
        <v>0</v>
      </c>
      <c r="V1003" s="58">
        <v>0</v>
      </c>
      <c r="W1003" s="58">
        <v>0</v>
      </c>
      <c r="X1003" s="58">
        <v>0</v>
      </c>
      <c r="Y1003" s="58">
        <v>1125</v>
      </c>
      <c r="Z1003" s="58">
        <v>1050</v>
      </c>
      <c r="AA1003" s="58">
        <v>15136.95</v>
      </c>
      <c r="AE1003" s="57" t="str">
        <f t="shared" si="42"/>
        <v/>
      </c>
      <c r="AF1003" s="18" t="str">
        <f t="shared" si="43"/>
        <v/>
      </c>
      <c r="AG1003" s="18" t="str">
        <f t="shared" si="44"/>
        <v/>
      </c>
      <c r="AH1003" s="18" t="str">
        <f t="shared" si="45"/>
        <v/>
      </c>
      <c r="AI1003" s="18" t="str">
        <f t="shared" si="46"/>
        <v/>
      </c>
      <c r="AJ1003" s="18" t="str">
        <f t="shared" si="47"/>
        <v/>
      </c>
      <c r="AK1003" s="18" t="str">
        <f t="shared" si="48"/>
        <v/>
      </c>
      <c r="AL1003" s="18" t="str">
        <f t="shared" si="49"/>
        <v/>
      </c>
      <c r="AM1003" s="18" t="str">
        <f t="shared" si="50"/>
        <v/>
      </c>
    </row>
    <row r="1004" spans="1:39" x14ac:dyDescent="0.35">
      <c r="A1004" s="56" t="s">
        <v>1072</v>
      </c>
      <c r="B1004" s="58">
        <v>16400</v>
      </c>
      <c r="C1004" s="58" t="s">
        <v>37</v>
      </c>
      <c r="D1004" s="58">
        <v>0</v>
      </c>
      <c r="E1004" s="58">
        <v>0</v>
      </c>
      <c r="F1004" s="58">
        <v>0</v>
      </c>
      <c r="G1004" s="58">
        <v>0</v>
      </c>
      <c r="H1004" s="58">
        <v>0</v>
      </c>
      <c r="I1004" s="58">
        <v>0</v>
      </c>
      <c r="J1004" s="58">
        <v>0</v>
      </c>
      <c r="K1004" s="58">
        <v>0</v>
      </c>
      <c r="L1004" s="58">
        <v>4875</v>
      </c>
      <c r="M1004" s="58">
        <v>4875</v>
      </c>
      <c r="N1004" s="58">
        <v>15136.95</v>
      </c>
      <c r="O1004" s="58">
        <v>16400</v>
      </c>
      <c r="P1004" s="58" t="s">
        <v>37</v>
      </c>
      <c r="Q1004" s="58">
        <v>0</v>
      </c>
      <c r="R1004" s="58">
        <v>0</v>
      </c>
      <c r="S1004" s="58">
        <v>0</v>
      </c>
      <c r="T1004" s="58">
        <v>0</v>
      </c>
      <c r="U1004" s="58">
        <v>0</v>
      </c>
      <c r="V1004" s="58">
        <v>0</v>
      </c>
      <c r="W1004" s="58">
        <v>0</v>
      </c>
      <c r="X1004" s="58">
        <v>0</v>
      </c>
      <c r="Y1004" s="58">
        <v>600</v>
      </c>
      <c r="Z1004" s="58">
        <v>150</v>
      </c>
      <c r="AA1004" s="58">
        <v>15136.95</v>
      </c>
      <c r="AE1004" s="57" t="str">
        <f t="shared" si="42"/>
        <v/>
      </c>
      <c r="AF1004" s="18" t="str">
        <f t="shared" si="43"/>
        <v/>
      </c>
      <c r="AG1004" s="18" t="str">
        <f t="shared" si="44"/>
        <v/>
      </c>
      <c r="AH1004" s="18" t="str">
        <f t="shared" si="45"/>
        <v/>
      </c>
      <c r="AI1004" s="18" t="str">
        <f t="shared" si="46"/>
        <v/>
      </c>
      <c r="AJ1004" s="18" t="str">
        <f t="shared" si="47"/>
        <v/>
      </c>
      <c r="AK1004" s="18" t="str">
        <f t="shared" si="48"/>
        <v/>
      </c>
      <c r="AL1004" s="18" t="str">
        <f t="shared" si="49"/>
        <v/>
      </c>
      <c r="AM1004" s="18" t="str">
        <f t="shared" si="50"/>
        <v/>
      </c>
    </row>
    <row r="1005" spans="1:39" x14ac:dyDescent="0.35">
      <c r="A1005" s="56" t="s">
        <v>1073</v>
      </c>
      <c r="B1005" s="58">
        <v>16400</v>
      </c>
      <c r="C1005" s="58" t="s">
        <v>38</v>
      </c>
      <c r="D1005" s="58">
        <v>0</v>
      </c>
      <c r="E1005" s="58">
        <v>0</v>
      </c>
      <c r="F1005" s="58">
        <v>0</v>
      </c>
      <c r="G1005" s="58">
        <v>0</v>
      </c>
      <c r="H1005" s="58">
        <v>0</v>
      </c>
      <c r="I1005" s="58">
        <v>0</v>
      </c>
      <c r="J1005" s="58">
        <v>0</v>
      </c>
      <c r="K1005" s="58">
        <v>0</v>
      </c>
      <c r="L1005" s="58">
        <v>4875</v>
      </c>
      <c r="M1005" s="58">
        <v>4875</v>
      </c>
      <c r="N1005" s="58">
        <v>15136.95</v>
      </c>
      <c r="O1005" s="58">
        <v>16400</v>
      </c>
      <c r="P1005" s="58" t="s">
        <v>38</v>
      </c>
      <c r="Q1005" s="58">
        <v>0</v>
      </c>
      <c r="R1005" s="58">
        <v>0</v>
      </c>
      <c r="S1005" s="58">
        <v>0</v>
      </c>
      <c r="T1005" s="58">
        <v>0</v>
      </c>
      <c r="U1005" s="58">
        <v>0</v>
      </c>
      <c r="V1005" s="58">
        <v>0</v>
      </c>
      <c r="W1005" s="58">
        <v>0</v>
      </c>
      <c r="X1005" s="58">
        <v>0</v>
      </c>
      <c r="Y1005" s="58">
        <v>300</v>
      </c>
      <c r="Z1005" s="58">
        <v>0</v>
      </c>
      <c r="AA1005" s="58">
        <v>15136.95</v>
      </c>
      <c r="AE1005" s="57" t="str">
        <f t="shared" si="42"/>
        <v/>
      </c>
      <c r="AF1005" s="18" t="str">
        <f t="shared" si="43"/>
        <v/>
      </c>
      <c r="AG1005" s="18" t="str">
        <f t="shared" si="44"/>
        <v/>
      </c>
      <c r="AH1005" s="18" t="str">
        <f t="shared" si="45"/>
        <v/>
      </c>
      <c r="AI1005" s="18" t="str">
        <f t="shared" si="46"/>
        <v/>
      </c>
      <c r="AJ1005" s="18" t="str">
        <f t="shared" si="47"/>
        <v/>
      </c>
      <c r="AK1005" s="18" t="str">
        <f t="shared" si="48"/>
        <v/>
      </c>
      <c r="AL1005" s="18" t="str">
        <f t="shared" si="49"/>
        <v/>
      </c>
      <c r="AM1005" s="18" t="str">
        <f t="shared" si="50"/>
        <v/>
      </c>
    </row>
    <row r="1006" spans="1:39" x14ac:dyDescent="0.35">
      <c r="A1006" s="56" t="s">
        <v>1074</v>
      </c>
      <c r="B1006" s="58">
        <v>16400</v>
      </c>
      <c r="C1006" s="58" t="s">
        <v>26</v>
      </c>
      <c r="D1006" s="58">
        <v>3</v>
      </c>
      <c r="E1006" s="58">
        <v>0</v>
      </c>
      <c r="F1006" s="58">
        <v>0</v>
      </c>
      <c r="G1006" s="58">
        <v>0</v>
      </c>
      <c r="H1006" s="58">
        <v>0</v>
      </c>
      <c r="I1006" s="58">
        <v>0</v>
      </c>
      <c r="J1006" s="58">
        <v>0</v>
      </c>
      <c r="K1006" s="58">
        <v>0</v>
      </c>
      <c r="L1006" s="58">
        <v>5100</v>
      </c>
      <c r="M1006" s="58">
        <v>5100</v>
      </c>
      <c r="N1006" s="58">
        <v>15136.95</v>
      </c>
      <c r="O1006" s="58">
        <v>16400</v>
      </c>
      <c r="P1006" s="58" t="s">
        <v>26</v>
      </c>
      <c r="Q1006" s="58">
        <v>124</v>
      </c>
      <c r="R1006" s="58">
        <v>11</v>
      </c>
      <c r="S1006" s="58">
        <v>9.7345132743362832</v>
      </c>
      <c r="T1006" s="58">
        <v>33</v>
      </c>
      <c r="U1006" s="58">
        <v>16.760000000000002</v>
      </c>
      <c r="V1006" s="58">
        <v>50.25</v>
      </c>
      <c r="W1006" s="58">
        <v>0.25</v>
      </c>
      <c r="X1006" s="58">
        <v>0.5</v>
      </c>
      <c r="Y1006" s="58">
        <v>50850</v>
      </c>
      <c r="Z1006" s="58">
        <v>2025</v>
      </c>
      <c r="AA1006" s="58">
        <v>15136.95</v>
      </c>
      <c r="AE1006" s="57" t="str">
        <f t="shared" si="42"/>
        <v/>
      </c>
      <c r="AF1006" s="18" t="str">
        <f t="shared" si="43"/>
        <v/>
      </c>
      <c r="AG1006" s="18" t="str">
        <f t="shared" si="44"/>
        <v/>
      </c>
      <c r="AH1006" s="18" t="str">
        <f t="shared" si="45"/>
        <v/>
      </c>
      <c r="AI1006" s="18" t="str">
        <f t="shared" si="46"/>
        <v/>
      </c>
      <c r="AJ1006" s="18" t="str">
        <f t="shared" si="47"/>
        <v/>
      </c>
      <c r="AK1006" s="18" t="str">
        <f t="shared" si="48"/>
        <v/>
      </c>
      <c r="AL1006" s="18" t="str">
        <f t="shared" si="49"/>
        <v/>
      </c>
      <c r="AM1006" s="18" t="str">
        <f t="shared" si="50"/>
        <v/>
      </c>
    </row>
    <row r="1007" spans="1:39" x14ac:dyDescent="0.35">
      <c r="A1007" s="56" t="s">
        <v>1075</v>
      </c>
      <c r="B1007" s="58">
        <v>16400</v>
      </c>
      <c r="C1007" s="58" t="s">
        <v>67</v>
      </c>
      <c r="D1007" s="58">
        <v>0</v>
      </c>
      <c r="E1007" s="58">
        <v>0</v>
      </c>
      <c r="F1007" s="58">
        <v>0</v>
      </c>
      <c r="G1007" s="58">
        <v>0</v>
      </c>
      <c r="H1007" s="58">
        <v>0</v>
      </c>
      <c r="I1007" s="58">
        <v>0</v>
      </c>
      <c r="J1007" s="58">
        <v>0</v>
      </c>
      <c r="K1007" s="58">
        <v>0</v>
      </c>
      <c r="L1007" s="58">
        <v>4875</v>
      </c>
      <c r="M1007" s="58">
        <v>4875</v>
      </c>
      <c r="N1007" s="58">
        <v>15136.95</v>
      </c>
      <c r="O1007" s="58">
        <v>0</v>
      </c>
      <c r="P1007" s="58">
        <v>0</v>
      </c>
      <c r="Q1007" s="58">
        <v>0</v>
      </c>
      <c r="R1007" s="58">
        <v>0</v>
      </c>
      <c r="S1007" s="58">
        <v>0</v>
      </c>
      <c r="T1007" s="58">
        <v>0</v>
      </c>
      <c r="U1007" s="58">
        <v>0</v>
      </c>
      <c r="V1007" s="58">
        <v>0</v>
      </c>
      <c r="W1007" s="58">
        <v>0</v>
      </c>
      <c r="X1007" s="58">
        <v>0</v>
      </c>
      <c r="Y1007" s="58">
        <v>0</v>
      </c>
      <c r="Z1007" s="58">
        <v>0</v>
      </c>
      <c r="AA1007" s="58">
        <v>0</v>
      </c>
      <c r="AE1007" s="57" t="str">
        <f t="shared" si="42"/>
        <v/>
      </c>
      <c r="AF1007" s="18" t="str">
        <f t="shared" si="43"/>
        <v/>
      </c>
      <c r="AG1007" s="18" t="str">
        <f t="shared" si="44"/>
        <v/>
      </c>
      <c r="AH1007" s="18" t="str">
        <f t="shared" si="45"/>
        <v/>
      </c>
      <c r="AI1007" s="18" t="str">
        <f t="shared" si="46"/>
        <v/>
      </c>
      <c r="AJ1007" s="18" t="str">
        <f t="shared" si="47"/>
        <v/>
      </c>
      <c r="AK1007" s="18" t="str">
        <f t="shared" si="48"/>
        <v/>
      </c>
      <c r="AL1007" s="18" t="str">
        <f t="shared" si="49"/>
        <v/>
      </c>
      <c r="AM1007" s="18" t="str">
        <f t="shared" si="50"/>
        <v/>
      </c>
    </row>
    <row r="1008" spans="1:39" x14ac:dyDescent="0.35">
      <c r="A1008" s="56" t="s">
        <v>1076</v>
      </c>
      <c r="B1008" s="58">
        <v>16400</v>
      </c>
      <c r="C1008" s="58" t="s">
        <v>2074</v>
      </c>
      <c r="D1008" s="58">
        <v>0</v>
      </c>
      <c r="E1008" s="58">
        <v>0</v>
      </c>
      <c r="F1008" s="58">
        <v>0</v>
      </c>
      <c r="G1008" s="58">
        <v>0</v>
      </c>
      <c r="H1008" s="58">
        <v>0</v>
      </c>
      <c r="I1008" s="58">
        <v>0</v>
      </c>
      <c r="J1008" s="58">
        <v>0</v>
      </c>
      <c r="K1008" s="58">
        <v>0</v>
      </c>
      <c r="L1008" s="58">
        <v>4875</v>
      </c>
      <c r="M1008" s="58">
        <v>4875</v>
      </c>
      <c r="N1008" s="58">
        <v>15136.95</v>
      </c>
      <c r="O1008" s="58">
        <v>16400</v>
      </c>
      <c r="P1008" s="58" t="s">
        <v>2074</v>
      </c>
      <c r="Q1008" s="58">
        <v>0</v>
      </c>
      <c r="R1008" s="58">
        <v>0</v>
      </c>
      <c r="S1008" s="58">
        <v>0</v>
      </c>
      <c r="T1008" s="58">
        <v>0</v>
      </c>
      <c r="U1008" s="58">
        <v>0</v>
      </c>
      <c r="V1008" s="58">
        <v>0</v>
      </c>
      <c r="W1008" s="58">
        <v>0</v>
      </c>
      <c r="X1008" s="58">
        <v>0</v>
      </c>
      <c r="Y1008" s="58">
        <v>0</v>
      </c>
      <c r="Z1008" s="58">
        <v>4875</v>
      </c>
      <c r="AA1008" s="58">
        <v>15136.95</v>
      </c>
      <c r="AE1008" s="57" t="str">
        <f t="shared" si="42"/>
        <v/>
      </c>
      <c r="AF1008" s="18" t="str">
        <f t="shared" si="43"/>
        <v/>
      </c>
      <c r="AG1008" s="18" t="str">
        <f t="shared" si="44"/>
        <v/>
      </c>
      <c r="AH1008" s="18" t="str">
        <f t="shared" si="45"/>
        <v/>
      </c>
      <c r="AI1008" s="18" t="str">
        <f t="shared" si="46"/>
        <v/>
      </c>
      <c r="AJ1008" s="18" t="str">
        <f t="shared" si="47"/>
        <v/>
      </c>
      <c r="AK1008" s="18" t="str">
        <f t="shared" si="48"/>
        <v/>
      </c>
      <c r="AL1008" s="18" t="str">
        <f t="shared" si="49"/>
        <v/>
      </c>
      <c r="AM1008" s="18" t="str">
        <f t="shared" si="50"/>
        <v/>
      </c>
    </row>
    <row r="1009" spans="1:39" x14ac:dyDescent="0.35">
      <c r="A1009" s="56" t="s">
        <v>1077</v>
      </c>
      <c r="B1009" s="58">
        <v>16400</v>
      </c>
      <c r="C1009" s="58" t="s">
        <v>2071</v>
      </c>
      <c r="D1009" s="58">
        <v>0</v>
      </c>
      <c r="E1009" s="58">
        <v>0</v>
      </c>
      <c r="F1009" s="58">
        <v>0</v>
      </c>
      <c r="G1009" s="58">
        <v>0</v>
      </c>
      <c r="H1009" s="58">
        <v>0</v>
      </c>
      <c r="I1009" s="58">
        <v>0</v>
      </c>
      <c r="J1009" s="58">
        <v>0</v>
      </c>
      <c r="K1009" s="58">
        <v>0</v>
      </c>
      <c r="L1009" s="58">
        <v>4950</v>
      </c>
      <c r="M1009" s="58">
        <v>4950</v>
      </c>
      <c r="N1009" s="58">
        <v>15136.95</v>
      </c>
      <c r="O1009" s="58">
        <v>16400</v>
      </c>
      <c r="P1009" s="58" t="s">
        <v>2071</v>
      </c>
      <c r="Q1009" s="58">
        <v>0</v>
      </c>
      <c r="R1009" s="58">
        <v>0</v>
      </c>
      <c r="S1009" s="58">
        <v>0</v>
      </c>
      <c r="T1009" s="58">
        <v>0</v>
      </c>
      <c r="U1009" s="58">
        <v>0</v>
      </c>
      <c r="V1009" s="58">
        <v>0</v>
      </c>
      <c r="W1009" s="58">
        <v>0</v>
      </c>
      <c r="X1009" s="58">
        <v>0</v>
      </c>
      <c r="Y1009" s="58">
        <v>1350</v>
      </c>
      <c r="Z1009" s="58">
        <v>4875</v>
      </c>
      <c r="AA1009" s="58">
        <v>15136.95</v>
      </c>
      <c r="AE1009" s="57" t="str">
        <f t="shared" si="42"/>
        <v/>
      </c>
      <c r="AF1009" s="18" t="str">
        <f t="shared" si="43"/>
        <v/>
      </c>
      <c r="AG1009" s="18" t="str">
        <f t="shared" si="44"/>
        <v/>
      </c>
      <c r="AH1009" s="18" t="str">
        <f t="shared" si="45"/>
        <v/>
      </c>
      <c r="AI1009" s="18" t="str">
        <f t="shared" si="46"/>
        <v/>
      </c>
      <c r="AJ1009" s="18" t="str">
        <f t="shared" si="47"/>
        <v/>
      </c>
      <c r="AK1009" s="18" t="str">
        <f t="shared" si="48"/>
        <v/>
      </c>
      <c r="AL1009" s="18" t="str">
        <f t="shared" si="49"/>
        <v/>
      </c>
      <c r="AM1009" s="18" t="str">
        <f t="shared" si="50"/>
        <v/>
      </c>
    </row>
    <row r="1010" spans="1:39" x14ac:dyDescent="0.35">
      <c r="A1010" s="56" t="s">
        <v>1078</v>
      </c>
      <c r="B1010" s="58">
        <v>16400</v>
      </c>
      <c r="C1010" s="58" t="s">
        <v>34</v>
      </c>
      <c r="D1010" s="58">
        <v>0</v>
      </c>
      <c r="E1010" s="58">
        <v>0</v>
      </c>
      <c r="F1010" s="58">
        <v>0</v>
      </c>
      <c r="G1010" s="58">
        <v>0</v>
      </c>
      <c r="H1010" s="58">
        <v>0</v>
      </c>
      <c r="I1010" s="58">
        <v>0</v>
      </c>
      <c r="J1010" s="58">
        <v>0</v>
      </c>
      <c r="K1010" s="58">
        <v>0</v>
      </c>
      <c r="L1010" s="58">
        <v>7725</v>
      </c>
      <c r="M1010" s="58">
        <v>7725</v>
      </c>
      <c r="N1010" s="58">
        <v>15136.95</v>
      </c>
      <c r="O1010" s="58">
        <v>16400</v>
      </c>
      <c r="P1010" s="58" t="s">
        <v>34</v>
      </c>
      <c r="Q1010" s="58">
        <v>617</v>
      </c>
      <c r="R1010" s="58">
        <v>122</v>
      </c>
      <c r="S1010" s="58">
        <v>24.646464646464647</v>
      </c>
      <c r="T1010" s="58">
        <v>446</v>
      </c>
      <c r="U1010" s="58">
        <v>25</v>
      </c>
      <c r="V1010" s="58">
        <v>2.4500000000000002</v>
      </c>
      <c r="W1010" s="58">
        <v>-0.69999999999999973</v>
      </c>
      <c r="X1010" s="58">
        <v>-22.222222222222214</v>
      </c>
      <c r="Y1010" s="58">
        <v>174225</v>
      </c>
      <c r="Z1010" s="58">
        <v>34125</v>
      </c>
      <c r="AA1010" s="58">
        <v>15136.95</v>
      </c>
      <c r="AE1010" s="57" t="str">
        <f t="shared" si="42"/>
        <v/>
      </c>
      <c r="AF1010" s="18" t="str">
        <f t="shared" si="43"/>
        <v/>
      </c>
      <c r="AG1010" s="18" t="str">
        <f t="shared" si="44"/>
        <v/>
      </c>
      <c r="AH1010" s="18" t="str">
        <f t="shared" si="45"/>
        <v/>
      </c>
      <c r="AI1010" s="18" t="str">
        <f t="shared" si="46"/>
        <v/>
      </c>
      <c r="AJ1010" s="18" t="str">
        <f t="shared" si="47"/>
        <v/>
      </c>
      <c r="AK1010" s="18" t="str">
        <f t="shared" si="48"/>
        <v/>
      </c>
      <c r="AL1010" s="18" t="str">
        <f t="shared" si="49"/>
        <v/>
      </c>
      <c r="AM1010" s="18" t="str">
        <f t="shared" si="50"/>
        <v/>
      </c>
    </row>
    <row r="1011" spans="1:39" x14ac:dyDescent="0.35">
      <c r="A1011" s="56" t="s">
        <v>1079</v>
      </c>
      <c r="B1011" s="58">
        <v>16450</v>
      </c>
      <c r="C1011" s="58" t="s">
        <v>35</v>
      </c>
      <c r="D1011" s="58">
        <v>0</v>
      </c>
      <c r="E1011" s="58">
        <v>0</v>
      </c>
      <c r="F1011" s="58">
        <v>0</v>
      </c>
      <c r="G1011" s="58">
        <v>0</v>
      </c>
      <c r="H1011" s="58">
        <v>0</v>
      </c>
      <c r="I1011" s="58">
        <v>0</v>
      </c>
      <c r="J1011" s="58">
        <v>0</v>
      </c>
      <c r="K1011" s="58">
        <v>0</v>
      </c>
      <c r="L1011" s="58">
        <v>17325</v>
      </c>
      <c r="M1011" s="58">
        <v>14250</v>
      </c>
      <c r="N1011" s="58">
        <v>15136.95</v>
      </c>
      <c r="O1011" s="58">
        <v>16450</v>
      </c>
      <c r="P1011" s="58" t="s">
        <v>35</v>
      </c>
      <c r="Q1011" s="58">
        <v>136</v>
      </c>
      <c r="R1011" s="58">
        <v>43</v>
      </c>
      <c r="S1011" s="58">
        <v>46.236559139784944</v>
      </c>
      <c r="T1011" s="58">
        <v>128</v>
      </c>
      <c r="U1011" s="58">
        <v>55.34</v>
      </c>
      <c r="V1011" s="58">
        <v>0.3</v>
      </c>
      <c r="W1011" s="58">
        <v>-0.95</v>
      </c>
      <c r="X1011" s="58">
        <v>-76</v>
      </c>
      <c r="Y1011" s="58">
        <v>29250</v>
      </c>
      <c r="Z1011" s="58">
        <v>61650</v>
      </c>
      <c r="AA1011" s="58">
        <v>15136.95</v>
      </c>
      <c r="AE1011" s="57" t="str">
        <f t="shared" si="42"/>
        <v/>
      </c>
      <c r="AF1011" s="18" t="str">
        <f t="shared" si="43"/>
        <v/>
      </c>
      <c r="AG1011" s="18" t="str">
        <f t="shared" si="44"/>
        <v/>
      </c>
      <c r="AH1011" s="18" t="str">
        <f t="shared" si="45"/>
        <v/>
      </c>
      <c r="AI1011" s="18" t="str">
        <f t="shared" si="46"/>
        <v/>
      </c>
      <c r="AJ1011" s="18" t="str">
        <f t="shared" si="47"/>
        <v/>
      </c>
      <c r="AK1011" s="18" t="str">
        <f t="shared" si="48"/>
        <v/>
      </c>
      <c r="AL1011" s="18" t="str">
        <f t="shared" si="49"/>
        <v/>
      </c>
      <c r="AM1011" s="18" t="str">
        <f t="shared" si="50"/>
        <v/>
      </c>
    </row>
    <row r="1012" spans="1:39" x14ac:dyDescent="0.35">
      <c r="A1012" s="56" t="s">
        <v>1080</v>
      </c>
      <c r="B1012" s="58">
        <v>16450</v>
      </c>
      <c r="C1012" s="58" t="s">
        <v>34</v>
      </c>
      <c r="D1012" s="58">
        <v>0</v>
      </c>
      <c r="E1012" s="58">
        <v>0</v>
      </c>
      <c r="F1012" s="58">
        <v>0</v>
      </c>
      <c r="G1012" s="58">
        <v>0</v>
      </c>
      <c r="H1012" s="58">
        <v>0</v>
      </c>
      <c r="I1012" s="58">
        <v>0</v>
      </c>
      <c r="J1012" s="58">
        <v>0</v>
      </c>
      <c r="K1012" s="58">
        <v>0</v>
      </c>
      <c r="L1012" s="58">
        <v>7725</v>
      </c>
      <c r="M1012" s="58">
        <v>7725</v>
      </c>
      <c r="N1012" s="58">
        <v>15136.95</v>
      </c>
      <c r="O1012" s="58">
        <v>16450</v>
      </c>
      <c r="P1012" s="58" t="s">
        <v>34</v>
      </c>
      <c r="Q1012" s="58">
        <v>0</v>
      </c>
      <c r="R1012" s="58">
        <v>0</v>
      </c>
      <c r="S1012" s="58">
        <v>0</v>
      </c>
      <c r="T1012" s="58">
        <v>0</v>
      </c>
      <c r="U1012" s="58">
        <v>0</v>
      </c>
      <c r="V1012" s="58">
        <v>0</v>
      </c>
      <c r="W1012" s="58">
        <v>0</v>
      </c>
      <c r="X1012" s="58">
        <v>0</v>
      </c>
      <c r="Y1012" s="58">
        <v>33675</v>
      </c>
      <c r="Z1012" s="58">
        <v>10350</v>
      </c>
      <c r="AA1012" s="58">
        <v>15136.95</v>
      </c>
      <c r="AE1012" s="57" t="str">
        <f t="shared" si="42"/>
        <v/>
      </c>
      <c r="AF1012" s="18" t="str">
        <f t="shared" si="43"/>
        <v/>
      </c>
      <c r="AG1012" s="18" t="str">
        <f t="shared" si="44"/>
        <v/>
      </c>
      <c r="AH1012" s="18" t="str">
        <f t="shared" si="45"/>
        <v/>
      </c>
      <c r="AI1012" s="18" t="str">
        <f t="shared" si="46"/>
        <v/>
      </c>
      <c r="AJ1012" s="18" t="str">
        <f t="shared" si="47"/>
        <v/>
      </c>
      <c r="AK1012" s="18" t="str">
        <f t="shared" si="48"/>
        <v/>
      </c>
      <c r="AL1012" s="18" t="str">
        <f t="shared" si="49"/>
        <v/>
      </c>
      <c r="AM1012" s="18" t="str">
        <f t="shared" si="50"/>
        <v/>
      </c>
    </row>
    <row r="1013" spans="1:39" x14ac:dyDescent="0.35">
      <c r="A1013" s="56" t="s">
        <v>1081</v>
      </c>
      <c r="B1013" s="58">
        <v>16450</v>
      </c>
      <c r="C1013" s="58" t="s">
        <v>33</v>
      </c>
      <c r="D1013" s="58">
        <v>0</v>
      </c>
      <c r="E1013" s="58">
        <v>0</v>
      </c>
      <c r="F1013" s="58">
        <v>0</v>
      </c>
      <c r="G1013" s="58">
        <v>0</v>
      </c>
      <c r="H1013" s="58">
        <v>0</v>
      </c>
      <c r="I1013" s="58">
        <v>0</v>
      </c>
      <c r="J1013" s="58">
        <v>0</v>
      </c>
      <c r="K1013" s="58">
        <v>0</v>
      </c>
      <c r="L1013" s="58">
        <v>9225</v>
      </c>
      <c r="M1013" s="58">
        <v>9225</v>
      </c>
      <c r="N1013" s="58">
        <v>15136.95</v>
      </c>
      <c r="O1013" s="58">
        <v>16450</v>
      </c>
      <c r="P1013" s="58" t="s">
        <v>33</v>
      </c>
      <c r="Q1013" s="58">
        <v>1</v>
      </c>
      <c r="R1013" s="58">
        <v>0</v>
      </c>
      <c r="S1013" s="58">
        <v>0</v>
      </c>
      <c r="T1013" s="58">
        <v>0</v>
      </c>
      <c r="U1013" s="58">
        <v>0</v>
      </c>
      <c r="V1013" s="58">
        <v>0</v>
      </c>
      <c r="W1013" s="58">
        <v>0</v>
      </c>
      <c r="X1013" s="58">
        <v>0</v>
      </c>
      <c r="Y1013" s="58">
        <v>22350</v>
      </c>
      <c r="Z1013" s="58">
        <v>12300</v>
      </c>
      <c r="AA1013" s="58">
        <v>15136.95</v>
      </c>
      <c r="AE1013" s="57" t="str">
        <f t="shared" si="42"/>
        <v/>
      </c>
      <c r="AF1013" s="18" t="str">
        <f t="shared" si="43"/>
        <v/>
      </c>
      <c r="AG1013" s="18" t="str">
        <f t="shared" si="44"/>
        <v/>
      </c>
      <c r="AH1013" s="18" t="str">
        <f t="shared" si="45"/>
        <v/>
      </c>
      <c r="AI1013" s="18" t="str">
        <f t="shared" si="46"/>
        <v/>
      </c>
      <c r="AJ1013" s="18" t="str">
        <f t="shared" si="47"/>
        <v/>
      </c>
      <c r="AK1013" s="18" t="str">
        <f t="shared" si="48"/>
        <v/>
      </c>
      <c r="AL1013" s="18" t="str">
        <f t="shared" si="49"/>
        <v/>
      </c>
      <c r="AM1013" s="18" t="str">
        <f t="shared" si="50"/>
        <v/>
      </c>
    </row>
    <row r="1014" spans="1:39" x14ac:dyDescent="0.35">
      <c r="A1014" s="56" t="s">
        <v>1082</v>
      </c>
      <c r="B1014" s="58">
        <v>16450</v>
      </c>
      <c r="C1014" s="58" t="s">
        <v>36</v>
      </c>
      <c r="D1014" s="58">
        <v>0</v>
      </c>
      <c r="E1014" s="58">
        <v>0</v>
      </c>
      <c r="F1014" s="58">
        <v>0</v>
      </c>
      <c r="G1014" s="58">
        <v>0</v>
      </c>
      <c r="H1014" s="58">
        <v>0</v>
      </c>
      <c r="I1014" s="58">
        <v>0</v>
      </c>
      <c r="J1014" s="58">
        <v>0</v>
      </c>
      <c r="K1014" s="58">
        <v>0</v>
      </c>
      <c r="L1014" s="58">
        <v>4875</v>
      </c>
      <c r="M1014" s="58">
        <v>4875</v>
      </c>
      <c r="N1014" s="58">
        <v>15136.95</v>
      </c>
      <c r="O1014" s="58">
        <v>16450</v>
      </c>
      <c r="P1014" s="58" t="s">
        <v>36</v>
      </c>
      <c r="Q1014" s="58">
        <v>3</v>
      </c>
      <c r="R1014" s="58">
        <v>0</v>
      </c>
      <c r="S1014" s="58">
        <v>0</v>
      </c>
      <c r="T1014" s="58">
        <v>0</v>
      </c>
      <c r="U1014" s="58">
        <v>0</v>
      </c>
      <c r="V1014" s="58">
        <v>0</v>
      </c>
      <c r="W1014" s="58">
        <v>0</v>
      </c>
      <c r="X1014" s="58">
        <v>0</v>
      </c>
      <c r="Y1014" s="58">
        <v>150</v>
      </c>
      <c r="Z1014" s="58">
        <v>450</v>
      </c>
      <c r="AA1014" s="58">
        <v>15136.95</v>
      </c>
      <c r="AE1014" s="57" t="str">
        <f t="shared" si="42"/>
        <v/>
      </c>
      <c r="AF1014" s="18" t="str">
        <f t="shared" si="43"/>
        <v/>
      </c>
      <c r="AG1014" s="18" t="str">
        <f t="shared" si="44"/>
        <v/>
      </c>
      <c r="AH1014" s="18" t="str">
        <f t="shared" si="45"/>
        <v/>
      </c>
      <c r="AI1014" s="18" t="str">
        <f t="shared" si="46"/>
        <v/>
      </c>
      <c r="AJ1014" s="18" t="str">
        <f t="shared" si="47"/>
        <v/>
      </c>
      <c r="AK1014" s="18" t="str">
        <f t="shared" si="48"/>
        <v/>
      </c>
      <c r="AL1014" s="18" t="str">
        <f t="shared" si="49"/>
        <v/>
      </c>
      <c r="AM1014" s="18" t="str">
        <f t="shared" si="50"/>
        <v/>
      </c>
    </row>
    <row r="1015" spans="1:39" x14ac:dyDescent="0.35">
      <c r="A1015" s="56" t="s">
        <v>1083</v>
      </c>
      <c r="B1015" s="58">
        <v>16450</v>
      </c>
      <c r="C1015" s="58" t="s">
        <v>37</v>
      </c>
      <c r="D1015" s="58">
        <v>0</v>
      </c>
      <c r="E1015" s="58">
        <v>0</v>
      </c>
      <c r="F1015" s="58">
        <v>0</v>
      </c>
      <c r="G1015" s="58">
        <v>0</v>
      </c>
      <c r="H1015" s="58">
        <v>0</v>
      </c>
      <c r="I1015" s="58">
        <v>0</v>
      </c>
      <c r="J1015" s="58">
        <v>0</v>
      </c>
      <c r="K1015" s="58">
        <v>0</v>
      </c>
      <c r="L1015" s="58">
        <v>4875</v>
      </c>
      <c r="M1015" s="58">
        <v>4875</v>
      </c>
      <c r="N1015" s="58">
        <v>15136.95</v>
      </c>
      <c r="O1015" s="58">
        <v>16450</v>
      </c>
      <c r="P1015" s="58" t="s">
        <v>37</v>
      </c>
      <c r="Q1015" s="58">
        <v>0</v>
      </c>
      <c r="R1015" s="58">
        <v>0</v>
      </c>
      <c r="S1015" s="58">
        <v>0</v>
      </c>
      <c r="T1015" s="58">
        <v>0</v>
      </c>
      <c r="U1015" s="58">
        <v>0</v>
      </c>
      <c r="V1015" s="58">
        <v>0</v>
      </c>
      <c r="W1015" s="58">
        <v>0</v>
      </c>
      <c r="X1015" s="58">
        <v>0</v>
      </c>
      <c r="Y1015" s="58">
        <v>75</v>
      </c>
      <c r="Z1015" s="58">
        <v>0</v>
      </c>
      <c r="AA1015" s="58">
        <v>15136.95</v>
      </c>
      <c r="AE1015" s="57" t="str">
        <f t="shared" si="42"/>
        <v/>
      </c>
      <c r="AF1015" s="18" t="str">
        <f t="shared" si="43"/>
        <v/>
      </c>
      <c r="AG1015" s="18" t="str">
        <f t="shared" si="44"/>
        <v/>
      </c>
      <c r="AH1015" s="18" t="str">
        <f t="shared" si="45"/>
        <v/>
      </c>
      <c r="AI1015" s="18" t="str">
        <f t="shared" si="46"/>
        <v/>
      </c>
      <c r="AJ1015" s="18" t="str">
        <f t="shared" si="47"/>
        <v/>
      </c>
      <c r="AK1015" s="18" t="str">
        <f t="shared" si="48"/>
        <v/>
      </c>
      <c r="AL1015" s="18" t="str">
        <f t="shared" si="49"/>
        <v/>
      </c>
      <c r="AM1015" s="18" t="str">
        <f t="shared" si="50"/>
        <v/>
      </c>
    </row>
    <row r="1016" spans="1:39" x14ac:dyDescent="0.35">
      <c r="A1016" s="56" t="s">
        <v>1084</v>
      </c>
      <c r="B1016" s="58">
        <v>16450</v>
      </c>
      <c r="C1016" s="58" t="s">
        <v>38</v>
      </c>
      <c r="D1016" s="58">
        <v>0</v>
      </c>
      <c r="E1016" s="58">
        <v>0</v>
      </c>
      <c r="F1016" s="58">
        <v>0</v>
      </c>
      <c r="G1016" s="58">
        <v>0</v>
      </c>
      <c r="H1016" s="58">
        <v>0</v>
      </c>
      <c r="I1016" s="58">
        <v>0</v>
      </c>
      <c r="J1016" s="58">
        <v>0</v>
      </c>
      <c r="K1016" s="58">
        <v>0</v>
      </c>
      <c r="L1016" s="58">
        <v>4875</v>
      </c>
      <c r="M1016" s="58">
        <v>4875</v>
      </c>
      <c r="N1016" s="58">
        <v>15136.95</v>
      </c>
      <c r="O1016" s="58">
        <v>0</v>
      </c>
      <c r="P1016" s="58">
        <v>0</v>
      </c>
      <c r="Q1016" s="58">
        <v>0</v>
      </c>
      <c r="R1016" s="58">
        <v>0</v>
      </c>
      <c r="S1016" s="58">
        <v>0</v>
      </c>
      <c r="T1016" s="58">
        <v>0</v>
      </c>
      <c r="U1016" s="58">
        <v>0</v>
      </c>
      <c r="V1016" s="58">
        <v>0</v>
      </c>
      <c r="W1016" s="58">
        <v>0</v>
      </c>
      <c r="X1016" s="58">
        <v>0</v>
      </c>
      <c r="Y1016" s="58">
        <v>0</v>
      </c>
      <c r="Z1016" s="58">
        <v>0</v>
      </c>
      <c r="AA1016" s="58">
        <v>0</v>
      </c>
      <c r="AE1016" s="57" t="str">
        <f t="shared" si="42"/>
        <v/>
      </c>
      <c r="AF1016" s="18" t="str">
        <f t="shared" si="43"/>
        <v/>
      </c>
      <c r="AG1016" s="18" t="str">
        <f t="shared" si="44"/>
        <v/>
      </c>
      <c r="AH1016" s="18" t="str">
        <f t="shared" si="45"/>
        <v/>
      </c>
      <c r="AI1016" s="18" t="str">
        <f t="shared" si="46"/>
        <v/>
      </c>
      <c r="AJ1016" s="18" t="str">
        <f t="shared" si="47"/>
        <v/>
      </c>
      <c r="AK1016" s="18" t="str">
        <f t="shared" si="48"/>
        <v/>
      </c>
      <c r="AL1016" s="18" t="str">
        <f t="shared" si="49"/>
        <v/>
      </c>
      <c r="AM1016" s="18" t="str">
        <f t="shared" si="50"/>
        <v/>
      </c>
    </row>
    <row r="1017" spans="1:39" x14ac:dyDescent="0.35">
      <c r="A1017" s="56" t="s">
        <v>1085</v>
      </c>
      <c r="B1017" s="58">
        <v>16450</v>
      </c>
      <c r="C1017" s="58" t="s">
        <v>26</v>
      </c>
      <c r="D1017" s="58">
        <v>0</v>
      </c>
      <c r="E1017" s="58">
        <v>0</v>
      </c>
      <c r="F1017" s="58">
        <v>0</v>
      </c>
      <c r="G1017" s="58">
        <v>0</v>
      </c>
      <c r="H1017" s="58">
        <v>0</v>
      </c>
      <c r="I1017" s="58">
        <v>0</v>
      </c>
      <c r="J1017" s="58">
        <v>0</v>
      </c>
      <c r="K1017" s="58">
        <v>0</v>
      </c>
      <c r="L1017" s="58">
        <v>7725</v>
      </c>
      <c r="M1017" s="58">
        <v>7725</v>
      </c>
      <c r="N1017" s="58">
        <v>15136.95</v>
      </c>
      <c r="O1017" s="58">
        <v>16450</v>
      </c>
      <c r="P1017" s="58" t="s">
        <v>26</v>
      </c>
      <c r="Q1017" s="58">
        <v>0</v>
      </c>
      <c r="R1017" s="58">
        <v>0</v>
      </c>
      <c r="S1017" s="58">
        <v>0</v>
      </c>
      <c r="T1017" s="58">
        <v>0</v>
      </c>
      <c r="U1017" s="58">
        <v>0</v>
      </c>
      <c r="V1017" s="58">
        <v>0</v>
      </c>
      <c r="W1017" s="58">
        <v>0</v>
      </c>
      <c r="X1017" s="58">
        <v>0</v>
      </c>
      <c r="Y1017" s="58">
        <v>4200</v>
      </c>
      <c r="Z1017" s="58">
        <v>375</v>
      </c>
      <c r="AA1017" s="58">
        <v>15136.95</v>
      </c>
      <c r="AE1017" s="57" t="str">
        <f t="shared" si="42"/>
        <v/>
      </c>
      <c r="AF1017" s="18" t="str">
        <f t="shared" si="43"/>
        <v/>
      </c>
      <c r="AG1017" s="18" t="str">
        <f t="shared" si="44"/>
        <v/>
      </c>
      <c r="AH1017" s="18" t="str">
        <f t="shared" si="45"/>
        <v/>
      </c>
      <c r="AI1017" s="18" t="str">
        <f t="shared" si="46"/>
        <v/>
      </c>
      <c r="AJ1017" s="18" t="str">
        <f t="shared" si="47"/>
        <v/>
      </c>
      <c r="AK1017" s="18" t="str">
        <f t="shared" si="48"/>
        <v/>
      </c>
      <c r="AL1017" s="18" t="str">
        <f t="shared" si="49"/>
        <v/>
      </c>
      <c r="AM1017" s="18" t="str">
        <f t="shared" si="50"/>
        <v/>
      </c>
    </row>
    <row r="1018" spans="1:39" x14ac:dyDescent="0.35">
      <c r="A1018" s="56" t="s">
        <v>1086</v>
      </c>
      <c r="B1018" s="58">
        <v>16450</v>
      </c>
      <c r="C1018" s="58" t="s">
        <v>67</v>
      </c>
      <c r="D1018" s="58">
        <v>0</v>
      </c>
      <c r="E1018" s="58">
        <v>0</v>
      </c>
      <c r="F1018" s="58">
        <v>0</v>
      </c>
      <c r="G1018" s="58">
        <v>0</v>
      </c>
      <c r="H1018" s="58">
        <v>0</v>
      </c>
      <c r="I1018" s="58">
        <v>0</v>
      </c>
      <c r="J1018" s="58">
        <v>0</v>
      </c>
      <c r="K1018" s="58">
        <v>0</v>
      </c>
      <c r="L1018" s="58">
        <v>4875</v>
      </c>
      <c r="M1018" s="58">
        <v>4875</v>
      </c>
      <c r="N1018" s="58">
        <v>15136.95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58">
        <v>0</v>
      </c>
      <c r="W1018" s="58">
        <v>0</v>
      </c>
      <c r="X1018" s="58">
        <v>0</v>
      </c>
      <c r="Y1018" s="58">
        <v>0</v>
      </c>
      <c r="Z1018" s="58">
        <v>0</v>
      </c>
      <c r="AA1018" s="58">
        <v>0</v>
      </c>
      <c r="AE1018" s="57" t="str">
        <f t="shared" si="42"/>
        <v/>
      </c>
      <c r="AF1018" s="18" t="str">
        <f t="shared" si="43"/>
        <v/>
      </c>
      <c r="AG1018" s="18" t="str">
        <f t="shared" si="44"/>
        <v/>
      </c>
      <c r="AH1018" s="18" t="str">
        <f t="shared" si="45"/>
        <v/>
      </c>
      <c r="AI1018" s="18" t="str">
        <f t="shared" si="46"/>
        <v/>
      </c>
      <c r="AJ1018" s="18" t="str">
        <f t="shared" si="47"/>
        <v/>
      </c>
      <c r="AK1018" s="18" t="str">
        <f t="shared" si="48"/>
        <v/>
      </c>
      <c r="AL1018" s="18" t="str">
        <f t="shared" si="49"/>
        <v/>
      </c>
      <c r="AM1018" s="18" t="str">
        <f t="shared" si="50"/>
        <v/>
      </c>
    </row>
    <row r="1019" spans="1:39" x14ac:dyDescent="0.35">
      <c r="A1019" s="56" t="s">
        <v>1087</v>
      </c>
      <c r="B1019" s="58">
        <v>16450</v>
      </c>
      <c r="C1019" s="58" t="s">
        <v>2074</v>
      </c>
      <c r="D1019" s="58">
        <v>0</v>
      </c>
      <c r="E1019" s="58">
        <v>0</v>
      </c>
      <c r="F1019" s="58">
        <v>0</v>
      </c>
      <c r="G1019" s="58">
        <v>0</v>
      </c>
      <c r="H1019" s="58">
        <v>0</v>
      </c>
      <c r="I1019" s="58">
        <v>0</v>
      </c>
      <c r="J1019" s="58">
        <v>0</v>
      </c>
      <c r="K1019" s="58">
        <v>0</v>
      </c>
      <c r="L1019" s="58">
        <v>4875</v>
      </c>
      <c r="M1019" s="58">
        <v>4875</v>
      </c>
      <c r="N1019" s="58">
        <v>15136.95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58">
        <v>0</v>
      </c>
      <c r="W1019" s="58">
        <v>0</v>
      </c>
      <c r="X1019" s="58">
        <v>0</v>
      </c>
      <c r="Y1019" s="58">
        <v>0</v>
      </c>
      <c r="Z1019" s="58">
        <v>0</v>
      </c>
      <c r="AA1019" s="58">
        <v>0</v>
      </c>
      <c r="AE1019" s="57" t="str">
        <f t="shared" si="42"/>
        <v/>
      </c>
      <c r="AF1019" s="18" t="str">
        <f t="shared" si="43"/>
        <v/>
      </c>
      <c r="AG1019" s="18" t="str">
        <f t="shared" si="44"/>
        <v/>
      </c>
      <c r="AH1019" s="18" t="str">
        <f t="shared" si="45"/>
        <v/>
      </c>
      <c r="AI1019" s="18" t="str">
        <f t="shared" si="46"/>
        <v/>
      </c>
      <c r="AJ1019" s="18" t="str">
        <f t="shared" si="47"/>
        <v/>
      </c>
      <c r="AK1019" s="18" t="str">
        <f t="shared" si="48"/>
        <v/>
      </c>
      <c r="AL1019" s="18" t="str">
        <f t="shared" si="49"/>
        <v/>
      </c>
      <c r="AM1019" s="18" t="str">
        <f t="shared" si="50"/>
        <v/>
      </c>
    </row>
    <row r="1020" spans="1:39" x14ac:dyDescent="0.35">
      <c r="A1020" s="56" t="s">
        <v>1088</v>
      </c>
      <c r="B1020" s="58">
        <v>16450</v>
      </c>
      <c r="C1020" s="58" t="s">
        <v>2071</v>
      </c>
      <c r="D1020" s="58">
        <v>0</v>
      </c>
      <c r="E1020" s="58">
        <v>0</v>
      </c>
      <c r="F1020" s="58">
        <v>0</v>
      </c>
      <c r="G1020" s="58">
        <v>0</v>
      </c>
      <c r="H1020" s="58">
        <v>0</v>
      </c>
      <c r="I1020" s="58">
        <v>0</v>
      </c>
      <c r="J1020" s="58">
        <v>0</v>
      </c>
      <c r="K1020" s="58">
        <v>0</v>
      </c>
      <c r="L1020" s="58">
        <v>4875</v>
      </c>
      <c r="M1020" s="58">
        <v>4875</v>
      </c>
      <c r="N1020" s="58">
        <v>15136.95</v>
      </c>
      <c r="O1020" s="58">
        <v>16450</v>
      </c>
      <c r="P1020" s="58" t="s">
        <v>2071</v>
      </c>
      <c r="Q1020" s="58">
        <v>0</v>
      </c>
      <c r="R1020" s="58">
        <v>0</v>
      </c>
      <c r="S1020" s="58">
        <v>0</v>
      </c>
      <c r="T1020" s="58">
        <v>0</v>
      </c>
      <c r="U1020" s="58">
        <v>0</v>
      </c>
      <c r="V1020" s="58">
        <v>0</v>
      </c>
      <c r="W1020" s="58">
        <v>0</v>
      </c>
      <c r="X1020" s="58">
        <v>0</v>
      </c>
      <c r="Y1020" s="58">
        <v>0</v>
      </c>
      <c r="Z1020" s="58">
        <v>4875</v>
      </c>
      <c r="AA1020" s="58">
        <v>15136.95</v>
      </c>
      <c r="AE1020" s="57" t="str">
        <f t="shared" si="42"/>
        <v/>
      </c>
      <c r="AF1020" s="18" t="str">
        <f t="shared" si="43"/>
        <v/>
      </c>
      <c r="AG1020" s="18" t="str">
        <f t="shared" si="44"/>
        <v/>
      </c>
      <c r="AH1020" s="18" t="str">
        <f t="shared" si="45"/>
        <v/>
      </c>
      <c r="AI1020" s="18" t="str">
        <f t="shared" si="46"/>
        <v/>
      </c>
      <c r="AJ1020" s="18" t="str">
        <f t="shared" si="47"/>
        <v/>
      </c>
      <c r="AK1020" s="18" t="str">
        <f t="shared" si="48"/>
        <v/>
      </c>
      <c r="AL1020" s="18" t="str">
        <f t="shared" si="49"/>
        <v/>
      </c>
      <c r="AM1020" s="18" t="str">
        <f t="shared" si="50"/>
        <v/>
      </c>
    </row>
    <row r="1021" spans="1:39" x14ac:dyDescent="0.35">
      <c r="A1021" s="56" t="s">
        <v>1089</v>
      </c>
      <c r="B1021" s="58">
        <v>16500</v>
      </c>
      <c r="C1021" s="58" t="s">
        <v>67</v>
      </c>
      <c r="D1021" s="58">
        <v>0</v>
      </c>
      <c r="E1021" s="58">
        <v>0</v>
      </c>
      <c r="F1021" s="58">
        <v>0</v>
      </c>
      <c r="G1021" s="58">
        <v>0</v>
      </c>
      <c r="H1021" s="58">
        <v>0</v>
      </c>
      <c r="I1021" s="58">
        <v>0</v>
      </c>
      <c r="J1021" s="58">
        <v>0</v>
      </c>
      <c r="K1021" s="58">
        <v>0</v>
      </c>
      <c r="L1021" s="58">
        <v>4875</v>
      </c>
      <c r="M1021" s="58">
        <v>4875</v>
      </c>
      <c r="N1021" s="58">
        <v>15136.95</v>
      </c>
      <c r="O1021" s="58">
        <v>0</v>
      </c>
      <c r="P1021" s="58">
        <v>0</v>
      </c>
      <c r="Q1021" s="58">
        <v>0</v>
      </c>
      <c r="R1021" s="58">
        <v>0</v>
      </c>
      <c r="S1021" s="58">
        <v>0</v>
      </c>
      <c r="T1021" s="58">
        <v>0</v>
      </c>
      <c r="U1021" s="58">
        <v>0</v>
      </c>
      <c r="V1021" s="58">
        <v>0</v>
      </c>
      <c r="W1021" s="58">
        <v>0</v>
      </c>
      <c r="X1021" s="58">
        <v>0</v>
      </c>
      <c r="Y1021" s="58">
        <v>0</v>
      </c>
      <c r="Z1021" s="58">
        <v>0</v>
      </c>
      <c r="AA1021" s="58">
        <v>0</v>
      </c>
      <c r="AE1021" s="57" t="str">
        <f t="shared" si="42"/>
        <v/>
      </c>
      <c r="AF1021" s="18" t="str">
        <f t="shared" si="43"/>
        <v/>
      </c>
      <c r="AG1021" s="18" t="str">
        <f t="shared" si="44"/>
        <v/>
      </c>
      <c r="AH1021" s="18" t="str">
        <f t="shared" si="45"/>
        <v/>
      </c>
      <c r="AI1021" s="18" t="str">
        <f t="shared" si="46"/>
        <v/>
      </c>
      <c r="AJ1021" s="18" t="str">
        <f t="shared" si="47"/>
        <v/>
      </c>
      <c r="AK1021" s="18" t="str">
        <f t="shared" si="48"/>
        <v/>
      </c>
      <c r="AL1021" s="18" t="str">
        <f t="shared" si="49"/>
        <v/>
      </c>
      <c r="AM1021" s="18" t="str">
        <f t="shared" si="50"/>
        <v/>
      </c>
    </row>
    <row r="1022" spans="1:39" x14ac:dyDescent="0.35">
      <c r="A1022" s="56" t="s">
        <v>1090</v>
      </c>
      <c r="B1022" s="58">
        <v>16500</v>
      </c>
      <c r="C1022" s="58" t="s">
        <v>35</v>
      </c>
      <c r="D1022" s="58">
        <v>0</v>
      </c>
      <c r="E1022" s="58">
        <v>0</v>
      </c>
      <c r="F1022" s="58">
        <v>0</v>
      </c>
      <c r="G1022" s="58">
        <v>0</v>
      </c>
      <c r="H1022" s="58">
        <v>0</v>
      </c>
      <c r="I1022" s="58">
        <v>0</v>
      </c>
      <c r="J1022" s="58">
        <v>0</v>
      </c>
      <c r="K1022" s="58">
        <v>0</v>
      </c>
      <c r="L1022" s="58">
        <v>17325</v>
      </c>
      <c r="M1022" s="58">
        <v>14250</v>
      </c>
      <c r="N1022" s="58">
        <v>15136.95</v>
      </c>
      <c r="O1022" s="58">
        <v>16500</v>
      </c>
      <c r="P1022" s="58" t="s">
        <v>35</v>
      </c>
      <c r="Q1022" s="58">
        <v>12188</v>
      </c>
      <c r="R1022" s="58">
        <v>866</v>
      </c>
      <c r="S1022" s="58">
        <v>7.6488252958841194</v>
      </c>
      <c r="T1022" s="58">
        <v>15859</v>
      </c>
      <c r="U1022" s="58">
        <v>52</v>
      </c>
      <c r="V1022" s="58">
        <v>0.15</v>
      </c>
      <c r="W1022" s="58">
        <v>-1.1499999999999999</v>
      </c>
      <c r="X1022" s="58">
        <v>-88.461538461538467</v>
      </c>
      <c r="Y1022" s="58">
        <v>771300</v>
      </c>
      <c r="Z1022" s="58">
        <v>106425</v>
      </c>
      <c r="AA1022" s="58">
        <v>15136.95</v>
      </c>
      <c r="AE1022" s="57" t="str">
        <f t="shared" si="42"/>
        <v/>
      </c>
      <c r="AF1022" s="18" t="str">
        <f t="shared" si="43"/>
        <v/>
      </c>
      <c r="AG1022" s="18" t="str">
        <f t="shared" si="44"/>
        <v/>
      </c>
      <c r="AH1022" s="18" t="str">
        <f t="shared" si="45"/>
        <v/>
      </c>
      <c r="AI1022" s="18" t="str">
        <f t="shared" si="46"/>
        <v/>
      </c>
      <c r="AJ1022" s="18" t="str">
        <f t="shared" si="47"/>
        <v/>
      </c>
      <c r="AK1022" s="18" t="str">
        <f t="shared" si="48"/>
        <v/>
      </c>
      <c r="AL1022" s="18" t="str">
        <f t="shared" si="49"/>
        <v/>
      </c>
      <c r="AM1022" s="18" t="str">
        <f t="shared" si="50"/>
        <v/>
      </c>
    </row>
    <row r="1023" spans="1:39" x14ac:dyDescent="0.35">
      <c r="A1023" s="56" t="s">
        <v>1091</v>
      </c>
      <c r="B1023" s="58">
        <v>16500</v>
      </c>
      <c r="C1023" s="58" t="s">
        <v>36</v>
      </c>
      <c r="D1023" s="58">
        <v>0</v>
      </c>
      <c r="E1023" s="58">
        <v>0</v>
      </c>
      <c r="F1023" s="58">
        <v>0</v>
      </c>
      <c r="G1023" s="58">
        <v>0</v>
      </c>
      <c r="H1023" s="58">
        <v>0</v>
      </c>
      <c r="I1023" s="58">
        <v>0</v>
      </c>
      <c r="J1023" s="58">
        <v>0</v>
      </c>
      <c r="K1023" s="58">
        <v>0</v>
      </c>
      <c r="L1023" s="58">
        <v>4875</v>
      </c>
      <c r="M1023" s="58">
        <v>4875</v>
      </c>
      <c r="N1023" s="58">
        <v>15136.95</v>
      </c>
      <c r="O1023" s="58">
        <v>16500</v>
      </c>
      <c r="P1023" s="58" t="s">
        <v>36</v>
      </c>
      <c r="Q1023" s="58">
        <v>4</v>
      </c>
      <c r="R1023" s="58">
        <v>1</v>
      </c>
      <c r="S1023" s="58">
        <v>33.333333333333336</v>
      </c>
      <c r="T1023" s="58">
        <v>4</v>
      </c>
      <c r="U1023" s="58">
        <v>19.73</v>
      </c>
      <c r="V1023" s="58">
        <v>14</v>
      </c>
      <c r="W1023" s="58">
        <v>0</v>
      </c>
      <c r="X1023" s="58">
        <v>0</v>
      </c>
      <c r="Y1023" s="58">
        <v>5475</v>
      </c>
      <c r="Z1023" s="58">
        <v>2625</v>
      </c>
      <c r="AA1023" s="58">
        <v>15136.95</v>
      </c>
      <c r="AE1023" s="57" t="str">
        <f t="shared" si="42"/>
        <v/>
      </c>
      <c r="AF1023" s="18" t="str">
        <f t="shared" si="43"/>
        <v/>
      </c>
      <c r="AG1023" s="18" t="str">
        <f t="shared" si="44"/>
        <v/>
      </c>
      <c r="AH1023" s="18" t="str">
        <f t="shared" si="45"/>
        <v/>
      </c>
      <c r="AI1023" s="18" t="str">
        <f t="shared" si="46"/>
        <v/>
      </c>
      <c r="AJ1023" s="18" t="str">
        <f t="shared" si="47"/>
        <v/>
      </c>
      <c r="AK1023" s="18" t="str">
        <f t="shared" si="48"/>
        <v/>
      </c>
      <c r="AL1023" s="18" t="str">
        <f t="shared" si="49"/>
        <v/>
      </c>
      <c r="AM1023" s="18" t="str">
        <f t="shared" si="50"/>
        <v/>
      </c>
    </row>
    <row r="1024" spans="1:39" x14ac:dyDescent="0.35">
      <c r="A1024" s="56" t="s">
        <v>1092</v>
      </c>
      <c r="B1024" s="58">
        <v>16500</v>
      </c>
      <c r="C1024" s="58" t="s">
        <v>37</v>
      </c>
      <c r="D1024" s="58">
        <v>0</v>
      </c>
      <c r="E1024" s="58">
        <v>0</v>
      </c>
      <c r="F1024" s="58">
        <v>0</v>
      </c>
      <c r="G1024" s="58">
        <v>0</v>
      </c>
      <c r="H1024" s="58">
        <v>0</v>
      </c>
      <c r="I1024" s="58">
        <v>0</v>
      </c>
      <c r="J1024" s="58">
        <v>0</v>
      </c>
      <c r="K1024" s="58">
        <v>0</v>
      </c>
      <c r="L1024" s="58">
        <v>4875</v>
      </c>
      <c r="M1024" s="58">
        <v>4875</v>
      </c>
      <c r="N1024" s="58">
        <v>15136.95</v>
      </c>
      <c r="O1024" s="58">
        <v>16500</v>
      </c>
      <c r="P1024" s="58" t="s">
        <v>37</v>
      </c>
      <c r="Q1024" s="58">
        <v>1</v>
      </c>
      <c r="R1024" s="58">
        <v>0</v>
      </c>
      <c r="S1024" s="58">
        <v>0</v>
      </c>
      <c r="T1024" s="58">
        <v>0</v>
      </c>
      <c r="U1024" s="58">
        <v>0</v>
      </c>
      <c r="V1024" s="58">
        <v>0</v>
      </c>
      <c r="W1024" s="58">
        <v>0</v>
      </c>
      <c r="X1024" s="58">
        <v>0</v>
      </c>
      <c r="Y1024" s="58">
        <v>2850</v>
      </c>
      <c r="Z1024" s="58">
        <v>225</v>
      </c>
      <c r="AA1024" s="58">
        <v>15136.95</v>
      </c>
      <c r="AE1024" s="57" t="str">
        <f t="shared" si="42"/>
        <v/>
      </c>
      <c r="AF1024" s="18" t="str">
        <f t="shared" si="43"/>
        <v/>
      </c>
      <c r="AG1024" s="18" t="str">
        <f t="shared" si="44"/>
        <v/>
      </c>
      <c r="AH1024" s="18" t="str">
        <f t="shared" si="45"/>
        <v/>
      </c>
      <c r="AI1024" s="18" t="str">
        <f t="shared" si="46"/>
        <v/>
      </c>
      <c r="AJ1024" s="18" t="str">
        <f t="shared" si="47"/>
        <v/>
      </c>
      <c r="AK1024" s="18" t="str">
        <f t="shared" si="48"/>
        <v/>
      </c>
      <c r="AL1024" s="18" t="str">
        <f t="shared" si="49"/>
        <v/>
      </c>
      <c r="AM1024" s="18" t="str">
        <f t="shared" si="50"/>
        <v/>
      </c>
    </row>
    <row r="1025" spans="1:39" x14ac:dyDescent="0.35">
      <c r="A1025" s="56" t="s">
        <v>1093</v>
      </c>
      <c r="B1025" s="58">
        <v>16500</v>
      </c>
      <c r="C1025" s="58" t="s">
        <v>38</v>
      </c>
      <c r="D1025" s="58">
        <v>0</v>
      </c>
      <c r="E1025" s="58">
        <v>0</v>
      </c>
      <c r="F1025" s="58">
        <v>0</v>
      </c>
      <c r="G1025" s="58">
        <v>0</v>
      </c>
      <c r="H1025" s="58">
        <v>0</v>
      </c>
      <c r="I1025" s="58">
        <v>0</v>
      </c>
      <c r="J1025" s="58">
        <v>0</v>
      </c>
      <c r="K1025" s="58">
        <v>0</v>
      </c>
      <c r="L1025" s="58">
        <v>4875</v>
      </c>
      <c r="M1025" s="58">
        <v>4875</v>
      </c>
      <c r="N1025" s="58">
        <v>15136.95</v>
      </c>
      <c r="O1025" s="58">
        <v>16500</v>
      </c>
      <c r="P1025" s="58" t="s">
        <v>38</v>
      </c>
      <c r="Q1025" s="58">
        <v>0</v>
      </c>
      <c r="R1025" s="58">
        <v>0</v>
      </c>
      <c r="S1025" s="58">
        <v>0</v>
      </c>
      <c r="T1025" s="58">
        <v>0</v>
      </c>
      <c r="U1025" s="58">
        <v>0</v>
      </c>
      <c r="V1025" s="58">
        <v>0</v>
      </c>
      <c r="W1025" s="58">
        <v>0</v>
      </c>
      <c r="X1025" s="58">
        <v>0</v>
      </c>
      <c r="Y1025" s="58">
        <v>2100</v>
      </c>
      <c r="Z1025" s="58">
        <v>150</v>
      </c>
      <c r="AA1025" s="58">
        <v>15136.95</v>
      </c>
      <c r="AE1025" s="57" t="str">
        <f t="shared" si="42"/>
        <v/>
      </c>
      <c r="AF1025" s="18" t="str">
        <f t="shared" si="43"/>
        <v/>
      </c>
      <c r="AG1025" s="18" t="str">
        <f t="shared" si="44"/>
        <v/>
      </c>
      <c r="AH1025" s="18" t="str">
        <f t="shared" si="45"/>
        <v/>
      </c>
      <c r="AI1025" s="18" t="str">
        <f t="shared" si="46"/>
        <v/>
      </c>
      <c r="AJ1025" s="18" t="str">
        <f t="shared" si="47"/>
        <v/>
      </c>
      <c r="AK1025" s="18" t="str">
        <f t="shared" si="48"/>
        <v/>
      </c>
      <c r="AL1025" s="18" t="str">
        <f t="shared" si="49"/>
        <v/>
      </c>
      <c r="AM1025" s="18" t="str">
        <f t="shared" si="50"/>
        <v/>
      </c>
    </row>
    <row r="1026" spans="1:39" x14ac:dyDescent="0.35">
      <c r="A1026" s="56" t="s">
        <v>1094</v>
      </c>
      <c r="B1026" s="58">
        <v>16500</v>
      </c>
      <c r="C1026" s="58" t="s">
        <v>26</v>
      </c>
      <c r="D1026" s="58">
        <v>1884</v>
      </c>
      <c r="E1026" s="58">
        <v>-1</v>
      </c>
      <c r="F1026" s="58">
        <v>-5.3050397877984087E-2</v>
      </c>
      <c r="G1026" s="58">
        <v>12</v>
      </c>
      <c r="H1026" s="58">
        <v>27.13</v>
      </c>
      <c r="I1026" s="58">
        <v>1338</v>
      </c>
      <c r="J1026" s="58">
        <v>-36.700000000000045</v>
      </c>
      <c r="K1026" s="58">
        <v>-2.6696733832836288</v>
      </c>
      <c r="L1026" s="58">
        <v>13575</v>
      </c>
      <c r="M1026" s="58">
        <v>12300</v>
      </c>
      <c r="N1026" s="58">
        <v>15136.95</v>
      </c>
      <c r="O1026" s="58">
        <v>16500</v>
      </c>
      <c r="P1026" s="58" t="s">
        <v>26</v>
      </c>
      <c r="Q1026" s="58">
        <v>7038</v>
      </c>
      <c r="R1026" s="58">
        <v>28</v>
      </c>
      <c r="S1026" s="58">
        <v>0.39942938659058486</v>
      </c>
      <c r="T1026" s="58">
        <v>438</v>
      </c>
      <c r="U1026" s="58">
        <v>16.73</v>
      </c>
      <c r="V1026" s="58">
        <v>40</v>
      </c>
      <c r="W1026" s="58">
        <v>-1.6499999999999986</v>
      </c>
      <c r="X1026" s="58">
        <v>-3.9615846338535383</v>
      </c>
      <c r="Y1026" s="58">
        <v>67200</v>
      </c>
      <c r="Z1026" s="58">
        <v>28950</v>
      </c>
      <c r="AA1026" s="58">
        <v>15136.95</v>
      </c>
      <c r="AE1026" s="57" t="str">
        <f t="shared" si="42"/>
        <v/>
      </c>
      <c r="AF1026" s="18" t="str">
        <f t="shared" si="43"/>
        <v/>
      </c>
      <c r="AG1026" s="18" t="str">
        <f t="shared" si="44"/>
        <v/>
      </c>
      <c r="AH1026" s="18" t="str">
        <f t="shared" si="45"/>
        <v/>
      </c>
      <c r="AI1026" s="18" t="str">
        <f t="shared" si="46"/>
        <v/>
      </c>
      <c r="AJ1026" s="18" t="str">
        <f t="shared" si="47"/>
        <v/>
      </c>
      <c r="AK1026" s="18" t="str">
        <f t="shared" si="48"/>
        <v/>
      </c>
      <c r="AL1026" s="18" t="str">
        <f t="shared" si="49"/>
        <v/>
      </c>
      <c r="AM1026" s="18" t="str">
        <f t="shared" si="50"/>
        <v/>
      </c>
    </row>
    <row r="1027" spans="1:39" x14ac:dyDescent="0.35">
      <c r="A1027" s="56" t="s">
        <v>1095</v>
      </c>
      <c r="B1027" s="58">
        <v>16500</v>
      </c>
      <c r="C1027" s="58" t="s">
        <v>33</v>
      </c>
      <c r="D1027" s="58">
        <v>85</v>
      </c>
      <c r="E1027" s="58">
        <v>0</v>
      </c>
      <c r="F1027" s="58">
        <v>0</v>
      </c>
      <c r="G1027" s="58">
        <v>7</v>
      </c>
      <c r="H1027" s="58">
        <v>33.81</v>
      </c>
      <c r="I1027" s="58">
        <v>1346.05</v>
      </c>
      <c r="J1027" s="58">
        <v>-37.650000000000091</v>
      </c>
      <c r="K1027" s="58">
        <v>-2.7209655272096618</v>
      </c>
      <c r="L1027" s="58">
        <v>13800</v>
      </c>
      <c r="M1027" s="58">
        <v>14325</v>
      </c>
      <c r="N1027" s="58">
        <v>15136.95</v>
      </c>
      <c r="O1027" s="58">
        <v>16500</v>
      </c>
      <c r="P1027" s="58" t="s">
        <v>33</v>
      </c>
      <c r="Q1027" s="58">
        <v>872</v>
      </c>
      <c r="R1027" s="58">
        <v>222</v>
      </c>
      <c r="S1027" s="58">
        <v>34.153846153846153</v>
      </c>
      <c r="T1027" s="58">
        <v>1686</v>
      </c>
      <c r="U1027" s="58">
        <v>20.53</v>
      </c>
      <c r="V1027" s="58">
        <v>4.8</v>
      </c>
      <c r="W1027" s="58">
        <v>-1.7999999999999998</v>
      </c>
      <c r="X1027" s="58">
        <v>-27.27272727272727</v>
      </c>
      <c r="Y1027" s="58">
        <v>63975</v>
      </c>
      <c r="Z1027" s="58">
        <v>70050</v>
      </c>
      <c r="AA1027" s="58">
        <v>15136.95</v>
      </c>
      <c r="AE1027" s="57" t="str">
        <f t="shared" ref="AE1027:AE1090" si="51">IFERROR(VLOOKUP(AD1027,$A$2:$AA$2000,2,0),"")</f>
        <v/>
      </c>
      <c r="AF1027" s="18" t="str">
        <f t="shared" ref="AF1027:AF1090" si="52">IFERROR(VLOOKUP(AD1027,$A$2:$AA$2000,22,0),"")</f>
        <v/>
      </c>
      <c r="AG1027" s="18" t="str">
        <f t="shared" ref="AG1027:AG1090" si="53">IFERROR(VLOOKUP(AD1027,$A$2:$AA$2000,18,0),"")</f>
        <v/>
      </c>
      <c r="AH1027" s="18" t="str">
        <f t="shared" ref="AH1027:AH1090" si="54">IFERROR(VLOOKUP(AD1027,$A$2:$AA$2000,17,0),"")</f>
        <v/>
      </c>
      <c r="AI1027" s="18" t="str">
        <f t="shared" ref="AI1027:AI1090" si="55">IFERROR(VLOOKUP(AD1027,$A$2:$AA$2000,20,0),"")</f>
        <v/>
      </c>
      <c r="AJ1027" s="18" t="str">
        <f t="shared" ref="AJ1027:AJ1090" si="56">IFERROR(VLOOKUP(AD1027,$A$2:$AA$2000,9,0),"")</f>
        <v/>
      </c>
      <c r="AK1027" s="18" t="str">
        <f t="shared" ref="AK1027:AK1090" si="57">IFERROR(VLOOKUP(AD1027,$A$2:$AA$2000,5,0),"")</f>
        <v/>
      </c>
      <c r="AL1027" s="18" t="str">
        <f t="shared" ref="AL1027:AL1090" si="58">IFERROR(VLOOKUP(AD1027,$A$2:$AA$2000,4,0),"")</f>
        <v/>
      </c>
      <c r="AM1027" s="18" t="str">
        <f t="shared" ref="AM1027:AM1090" si="59">IFERROR(VLOOKUP(AD1027,$A$2:$AA$2000,7,0),"")</f>
        <v/>
      </c>
    </row>
    <row r="1028" spans="1:39" x14ac:dyDescent="0.35">
      <c r="A1028" s="56" t="s">
        <v>1096</v>
      </c>
      <c r="B1028" s="58">
        <v>16500</v>
      </c>
      <c r="C1028" s="58" t="s">
        <v>2074</v>
      </c>
      <c r="D1028" s="58">
        <v>0</v>
      </c>
      <c r="E1028" s="58">
        <v>0</v>
      </c>
      <c r="F1028" s="58">
        <v>0</v>
      </c>
      <c r="G1028" s="58">
        <v>0</v>
      </c>
      <c r="H1028" s="58">
        <v>0</v>
      </c>
      <c r="I1028" s="58">
        <v>0</v>
      </c>
      <c r="J1028" s="58">
        <v>0</v>
      </c>
      <c r="K1028" s="58">
        <v>0</v>
      </c>
      <c r="L1028" s="58">
        <v>4875</v>
      </c>
      <c r="M1028" s="58">
        <v>4875</v>
      </c>
      <c r="N1028" s="58">
        <v>15136.95</v>
      </c>
      <c r="O1028" s="58">
        <v>0</v>
      </c>
      <c r="P1028" s="58">
        <v>0</v>
      </c>
      <c r="Q1028" s="58">
        <v>0</v>
      </c>
      <c r="R1028" s="58">
        <v>0</v>
      </c>
      <c r="S1028" s="58">
        <v>0</v>
      </c>
      <c r="T1028" s="58">
        <v>0</v>
      </c>
      <c r="U1028" s="58">
        <v>0</v>
      </c>
      <c r="V1028" s="58">
        <v>0</v>
      </c>
      <c r="W1028" s="58">
        <v>0</v>
      </c>
      <c r="X1028" s="58">
        <v>0</v>
      </c>
      <c r="Y1028" s="58">
        <v>0</v>
      </c>
      <c r="Z1028" s="58">
        <v>0</v>
      </c>
      <c r="AA1028" s="58">
        <v>0</v>
      </c>
      <c r="AE1028" s="57" t="str">
        <f t="shared" si="51"/>
        <v/>
      </c>
      <c r="AF1028" s="18" t="str">
        <f t="shared" si="52"/>
        <v/>
      </c>
      <c r="AG1028" s="18" t="str">
        <f t="shared" si="53"/>
        <v/>
      </c>
      <c r="AH1028" s="18" t="str">
        <f t="shared" si="54"/>
        <v/>
      </c>
      <c r="AI1028" s="18" t="str">
        <f t="shared" si="55"/>
        <v/>
      </c>
      <c r="AJ1028" s="18" t="str">
        <f t="shared" si="56"/>
        <v/>
      </c>
      <c r="AK1028" s="18" t="str">
        <f t="shared" si="57"/>
        <v/>
      </c>
      <c r="AL1028" s="18" t="str">
        <f t="shared" si="58"/>
        <v/>
      </c>
      <c r="AM1028" s="18" t="str">
        <f t="shared" si="59"/>
        <v/>
      </c>
    </row>
    <row r="1029" spans="1:39" x14ac:dyDescent="0.35">
      <c r="A1029" s="56" t="s">
        <v>1097</v>
      </c>
      <c r="B1029" s="58">
        <v>16500</v>
      </c>
      <c r="C1029" s="58" t="s">
        <v>2071</v>
      </c>
      <c r="D1029" s="58">
        <v>2</v>
      </c>
      <c r="E1029" s="58">
        <v>0</v>
      </c>
      <c r="F1029" s="58">
        <v>0</v>
      </c>
      <c r="G1029" s="58">
        <v>0</v>
      </c>
      <c r="H1029" s="58">
        <v>0</v>
      </c>
      <c r="I1029" s="58">
        <v>0</v>
      </c>
      <c r="J1029" s="58">
        <v>0</v>
      </c>
      <c r="K1029" s="58">
        <v>0</v>
      </c>
      <c r="L1029" s="58">
        <v>5175</v>
      </c>
      <c r="M1029" s="58">
        <v>5175</v>
      </c>
      <c r="N1029" s="58">
        <v>15136.95</v>
      </c>
      <c r="O1029" s="58">
        <v>16500</v>
      </c>
      <c r="P1029" s="58" t="s">
        <v>2071</v>
      </c>
      <c r="Q1029" s="58">
        <v>221</v>
      </c>
      <c r="R1029" s="58">
        <v>12</v>
      </c>
      <c r="S1029" s="58">
        <v>5.741626794258373</v>
      </c>
      <c r="T1029" s="58">
        <v>46</v>
      </c>
      <c r="U1029" s="58">
        <v>15.28</v>
      </c>
      <c r="V1029" s="58">
        <v>102.1</v>
      </c>
      <c r="W1029" s="58">
        <v>4.5499999999999972</v>
      </c>
      <c r="X1029" s="58">
        <v>4.6642747309072243</v>
      </c>
      <c r="Y1029" s="58">
        <v>14250</v>
      </c>
      <c r="Z1029" s="58">
        <v>2925</v>
      </c>
      <c r="AA1029" s="58">
        <v>15136.95</v>
      </c>
      <c r="AE1029" s="57" t="str">
        <f t="shared" si="51"/>
        <v/>
      </c>
      <c r="AF1029" s="18" t="str">
        <f t="shared" si="52"/>
        <v/>
      </c>
      <c r="AG1029" s="18" t="str">
        <f t="shared" si="53"/>
        <v/>
      </c>
      <c r="AH1029" s="18" t="str">
        <f t="shared" si="54"/>
        <v/>
      </c>
      <c r="AI1029" s="18" t="str">
        <f t="shared" si="55"/>
        <v/>
      </c>
      <c r="AJ1029" s="18" t="str">
        <f t="shared" si="56"/>
        <v/>
      </c>
      <c r="AK1029" s="18" t="str">
        <f t="shared" si="57"/>
        <v/>
      </c>
      <c r="AL1029" s="18" t="str">
        <f t="shared" si="58"/>
        <v/>
      </c>
      <c r="AM1029" s="18" t="str">
        <f t="shared" si="59"/>
        <v/>
      </c>
    </row>
    <row r="1030" spans="1:39" x14ac:dyDescent="0.35">
      <c r="A1030" s="56" t="s">
        <v>1098</v>
      </c>
      <c r="B1030" s="58">
        <v>16500</v>
      </c>
      <c r="C1030" s="58" t="s">
        <v>27</v>
      </c>
      <c r="D1030" s="58">
        <v>0</v>
      </c>
      <c r="E1030" s="58">
        <v>0</v>
      </c>
      <c r="F1030" s="58">
        <v>0</v>
      </c>
      <c r="G1030" s="58">
        <v>0</v>
      </c>
      <c r="H1030" s="58">
        <v>0</v>
      </c>
      <c r="I1030" s="58">
        <v>0</v>
      </c>
      <c r="J1030" s="58">
        <v>0</v>
      </c>
      <c r="K1030" s="58">
        <v>0</v>
      </c>
      <c r="L1030" s="58">
        <v>2550</v>
      </c>
      <c r="M1030" s="58">
        <v>0</v>
      </c>
      <c r="N1030" s="58">
        <v>15136.95</v>
      </c>
      <c r="O1030" s="58">
        <v>16500</v>
      </c>
      <c r="P1030" s="58" t="s">
        <v>27</v>
      </c>
      <c r="Q1030" s="58">
        <v>15</v>
      </c>
      <c r="R1030" s="58">
        <v>0</v>
      </c>
      <c r="S1030" s="58">
        <v>0</v>
      </c>
      <c r="T1030" s="58">
        <v>0</v>
      </c>
      <c r="U1030" s="58">
        <v>0</v>
      </c>
      <c r="V1030" s="58">
        <v>0</v>
      </c>
      <c r="W1030" s="58">
        <v>0</v>
      </c>
      <c r="X1030" s="58">
        <v>0</v>
      </c>
      <c r="Y1030" s="58">
        <v>7050</v>
      </c>
      <c r="Z1030" s="58">
        <v>600</v>
      </c>
      <c r="AA1030" s="58">
        <v>15136.95</v>
      </c>
      <c r="AE1030" s="57" t="str">
        <f t="shared" si="51"/>
        <v/>
      </c>
      <c r="AF1030" s="18" t="str">
        <f t="shared" si="52"/>
        <v/>
      </c>
      <c r="AG1030" s="18" t="str">
        <f t="shared" si="53"/>
        <v/>
      </c>
      <c r="AH1030" s="18" t="str">
        <f t="shared" si="54"/>
        <v/>
      </c>
      <c r="AI1030" s="18" t="str">
        <f t="shared" si="55"/>
        <v/>
      </c>
      <c r="AJ1030" s="18" t="str">
        <f t="shared" si="56"/>
        <v/>
      </c>
      <c r="AK1030" s="18" t="str">
        <f t="shared" si="57"/>
        <v/>
      </c>
      <c r="AL1030" s="18" t="str">
        <f t="shared" si="58"/>
        <v/>
      </c>
      <c r="AM1030" s="18" t="str">
        <f t="shared" si="59"/>
        <v/>
      </c>
    </row>
    <row r="1031" spans="1:39" x14ac:dyDescent="0.35">
      <c r="A1031" s="56" t="s">
        <v>1099</v>
      </c>
      <c r="B1031" s="58">
        <v>16500</v>
      </c>
      <c r="C1031" s="58" t="s">
        <v>31</v>
      </c>
      <c r="D1031" s="58">
        <v>0</v>
      </c>
      <c r="E1031" s="58">
        <v>0</v>
      </c>
      <c r="F1031" s="58">
        <v>0</v>
      </c>
      <c r="G1031" s="58">
        <v>0</v>
      </c>
      <c r="H1031" s="58">
        <v>0</v>
      </c>
      <c r="I1031" s="58">
        <v>0</v>
      </c>
      <c r="J1031" s="58">
        <v>0</v>
      </c>
      <c r="K1031" s="58">
        <v>0</v>
      </c>
      <c r="L1031" s="58">
        <v>2250</v>
      </c>
      <c r="M1031" s="58">
        <v>0</v>
      </c>
      <c r="N1031" s="58">
        <v>15136.95</v>
      </c>
      <c r="O1031" s="58">
        <v>16500</v>
      </c>
      <c r="P1031" s="58" t="s">
        <v>31</v>
      </c>
      <c r="Q1031" s="58">
        <v>0</v>
      </c>
      <c r="R1031" s="58">
        <v>0</v>
      </c>
      <c r="S1031" s="58">
        <v>0</v>
      </c>
      <c r="T1031" s="58">
        <v>0</v>
      </c>
      <c r="U1031" s="58">
        <v>0</v>
      </c>
      <c r="V1031" s="58">
        <v>0</v>
      </c>
      <c r="W1031" s="58">
        <v>0</v>
      </c>
      <c r="X1031" s="58">
        <v>0</v>
      </c>
      <c r="Y1031" s="58">
        <v>3000</v>
      </c>
      <c r="Z1031" s="58">
        <v>0</v>
      </c>
      <c r="AA1031" s="58">
        <v>15136.95</v>
      </c>
      <c r="AE1031" s="57" t="str">
        <f t="shared" si="51"/>
        <v/>
      </c>
      <c r="AF1031" s="18" t="str">
        <f t="shared" si="52"/>
        <v/>
      </c>
      <c r="AG1031" s="18" t="str">
        <f t="shared" si="53"/>
        <v/>
      </c>
      <c r="AH1031" s="18" t="str">
        <f t="shared" si="54"/>
        <v/>
      </c>
      <c r="AI1031" s="18" t="str">
        <f t="shared" si="55"/>
        <v/>
      </c>
      <c r="AJ1031" s="18" t="str">
        <f t="shared" si="56"/>
        <v/>
      </c>
      <c r="AK1031" s="18" t="str">
        <f t="shared" si="57"/>
        <v/>
      </c>
      <c r="AL1031" s="18" t="str">
        <f t="shared" si="58"/>
        <v/>
      </c>
      <c r="AM1031" s="18" t="str">
        <f t="shared" si="59"/>
        <v/>
      </c>
    </row>
    <row r="1032" spans="1:39" x14ac:dyDescent="0.35">
      <c r="A1032" s="56" t="s">
        <v>1100</v>
      </c>
      <c r="B1032" s="58">
        <v>16500</v>
      </c>
      <c r="C1032" s="58" t="s">
        <v>29</v>
      </c>
      <c r="D1032" s="58">
        <v>0</v>
      </c>
      <c r="E1032" s="58">
        <v>0</v>
      </c>
      <c r="F1032" s="58">
        <v>0</v>
      </c>
      <c r="G1032" s="58">
        <v>0</v>
      </c>
      <c r="H1032" s="58">
        <v>0</v>
      </c>
      <c r="I1032" s="58">
        <v>0</v>
      </c>
      <c r="J1032" s="58">
        <v>0</v>
      </c>
      <c r="K1032" s="58">
        <v>0</v>
      </c>
      <c r="L1032" s="58">
        <v>2700</v>
      </c>
      <c r="M1032" s="58">
        <v>0</v>
      </c>
      <c r="N1032" s="58">
        <v>15136.95</v>
      </c>
      <c r="O1032" s="58">
        <v>16500</v>
      </c>
      <c r="P1032" s="58" t="s">
        <v>29</v>
      </c>
      <c r="Q1032" s="58">
        <v>213</v>
      </c>
      <c r="R1032" s="58">
        <v>0</v>
      </c>
      <c r="S1032" s="58">
        <v>0</v>
      </c>
      <c r="T1032" s="58">
        <v>0</v>
      </c>
      <c r="U1032" s="58">
        <v>0</v>
      </c>
      <c r="V1032" s="58">
        <v>0</v>
      </c>
      <c r="W1032" s="58">
        <v>0</v>
      </c>
      <c r="X1032" s="58">
        <v>0</v>
      </c>
      <c r="Y1032" s="58">
        <v>0</v>
      </c>
      <c r="Z1032" s="58">
        <v>1650</v>
      </c>
      <c r="AA1032" s="58">
        <v>15136.95</v>
      </c>
      <c r="AE1032" s="57" t="str">
        <f t="shared" si="51"/>
        <v/>
      </c>
      <c r="AF1032" s="18" t="str">
        <f t="shared" si="52"/>
        <v/>
      </c>
      <c r="AG1032" s="18" t="str">
        <f t="shared" si="53"/>
        <v/>
      </c>
      <c r="AH1032" s="18" t="str">
        <f t="shared" si="54"/>
        <v/>
      </c>
      <c r="AI1032" s="18" t="str">
        <f t="shared" si="55"/>
        <v/>
      </c>
      <c r="AJ1032" s="18" t="str">
        <f t="shared" si="56"/>
        <v/>
      </c>
      <c r="AK1032" s="18" t="str">
        <f t="shared" si="57"/>
        <v/>
      </c>
      <c r="AL1032" s="18" t="str">
        <f t="shared" si="58"/>
        <v/>
      </c>
      <c r="AM1032" s="18" t="str">
        <f t="shared" si="59"/>
        <v/>
      </c>
    </row>
    <row r="1033" spans="1:39" x14ac:dyDescent="0.35">
      <c r="A1033" s="56" t="s">
        <v>1101</v>
      </c>
      <c r="B1033" s="58">
        <v>16500</v>
      </c>
      <c r="C1033" s="58" t="s">
        <v>34</v>
      </c>
      <c r="D1033" s="58">
        <v>0</v>
      </c>
      <c r="E1033" s="58">
        <v>0</v>
      </c>
      <c r="F1033" s="58">
        <v>0</v>
      </c>
      <c r="G1033" s="58">
        <v>0</v>
      </c>
      <c r="H1033" s="58">
        <v>0</v>
      </c>
      <c r="I1033" s="58">
        <v>0</v>
      </c>
      <c r="J1033" s="58">
        <v>0</v>
      </c>
      <c r="K1033" s="58">
        <v>0</v>
      </c>
      <c r="L1033" s="58">
        <v>8325</v>
      </c>
      <c r="M1033" s="58">
        <v>8325</v>
      </c>
      <c r="N1033" s="58">
        <v>15136.95</v>
      </c>
      <c r="O1033" s="58">
        <v>16500</v>
      </c>
      <c r="P1033" s="58" t="s">
        <v>34</v>
      </c>
      <c r="Q1033" s="58">
        <v>4686</v>
      </c>
      <c r="R1033" s="58">
        <v>3287</v>
      </c>
      <c r="S1033" s="58">
        <v>234.95353824160111</v>
      </c>
      <c r="T1033" s="58">
        <v>6703</v>
      </c>
      <c r="U1033" s="58">
        <v>26.83</v>
      </c>
      <c r="V1033" s="58">
        <v>2.4</v>
      </c>
      <c r="W1033" s="58">
        <v>-0.89999999999999991</v>
      </c>
      <c r="X1033" s="58">
        <v>-27.27272727272727</v>
      </c>
      <c r="Y1033" s="58">
        <v>198225</v>
      </c>
      <c r="Z1033" s="58">
        <v>104325</v>
      </c>
      <c r="AA1033" s="58">
        <v>15136.95</v>
      </c>
      <c r="AE1033" s="57" t="str">
        <f t="shared" si="51"/>
        <v/>
      </c>
      <c r="AF1033" s="18" t="str">
        <f t="shared" si="52"/>
        <v/>
      </c>
      <c r="AG1033" s="18" t="str">
        <f t="shared" si="53"/>
        <v/>
      </c>
      <c r="AH1033" s="18" t="str">
        <f t="shared" si="54"/>
        <v/>
      </c>
      <c r="AI1033" s="18" t="str">
        <f t="shared" si="55"/>
        <v/>
      </c>
      <c r="AJ1033" s="18" t="str">
        <f t="shared" si="56"/>
        <v/>
      </c>
      <c r="AK1033" s="18" t="str">
        <f t="shared" si="57"/>
        <v/>
      </c>
      <c r="AL1033" s="18" t="str">
        <f t="shared" si="58"/>
        <v/>
      </c>
      <c r="AM1033" s="18" t="str">
        <f t="shared" si="59"/>
        <v/>
      </c>
    </row>
    <row r="1034" spans="1:39" x14ac:dyDescent="0.35">
      <c r="A1034" s="56" t="s">
        <v>1102</v>
      </c>
      <c r="B1034" s="58">
        <v>16550</v>
      </c>
      <c r="C1034" s="58" t="s">
        <v>35</v>
      </c>
      <c r="D1034" s="58">
        <v>0</v>
      </c>
      <c r="E1034" s="58">
        <v>0</v>
      </c>
      <c r="F1034" s="58">
        <v>0</v>
      </c>
      <c r="G1034" s="58">
        <v>0</v>
      </c>
      <c r="H1034" s="58">
        <v>0</v>
      </c>
      <c r="I1034" s="58">
        <v>0</v>
      </c>
      <c r="J1034" s="58">
        <v>0</v>
      </c>
      <c r="K1034" s="58">
        <v>0</v>
      </c>
      <c r="L1034" s="58">
        <v>20025</v>
      </c>
      <c r="M1034" s="58">
        <v>14250</v>
      </c>
      <c r="N1034" s="58">
        <v>15136.95</v>
      </c>
      <c r="O1034" s="58">
        <v>16550</v>
      </c>
      <c r="P1034" s="58" t="s">
        <v>35</v>
      </c>
      <c r="Q1034" s="58">
        <v>109</v>
      </c>
      <c r="R1034" s="58">
        <v>1</v>
      </c>
      <c r="S1034" s="58">
        <v>0.92592592592592604</v>
      </c>
      <c r="T1034" s="58">
        <v>127</v>
      </c>
      <c r="U1034" s="58">
        <v>53.68</v>
      </c>
      <c r="V1034" s="58">
        <v>0.1</v>
      </c>
      <c r="W1034" s="58">
        <v>-1.1000000000000001</v>
      </c>
      <c r="X1034" s="58">
        <v>-91.666666666666657</v>
      </c>
      <c r="Y1034" s="58">
        <v>15825</v>
      </c>
      <c r="Z1034" s="58">
        <v>56925</v>
      </c>
      <c r="AA1034" s="58">
        <v>15136.95</v>
      </c>
      <c r="AE1034" s="57" t="str">
        <f t="shared" si="51"/>
        <v/>
      </c>
      <c r="AF1034" s="18" t="str">
        <f t="shared" si="52"/>
        <v/>
      </c>
      <c r="AG1034" s="18" t="str">
        <f t="shared" si="53"/>
        <v/>
      </c>
      <c r="AH1034" s="18" t="str">
        <f t="shared" si="54"/>
        <v/>
      </c>
      <c r="AI1034" s="18" t="str">
        <f t="shared" si="55"/>
        <v/>
      </c>
      <c r="AJ1034" s="18" t="str">
        <f t="shared" si="56"/>
        <v/>
      </c>
      <c r="AK1034" s="18" t="str">
        <f t="shared" si="57"/>
        <v/>
      </c>
      <c r="AL1034" s="18" t="str">
        <f t="shared" si="58"/>
        <v/>
      </c>
      <c r="AM1034" s="18" t="str">
        <f t="shared" si="59"/>
        <v/>
      </c>
    </row>
    <row r="1035" spans="1:39" x14ac:dyDescent="0.35">
      <c r="A1035" s="56" t="s">
        <v>1103</v>
      </c>
      <c r="B1035" s="58">
        <v>16550</v>
      </c>
      <c r="C1035" s="58" t="s">
        <v>34</v>
      </c>
      <c r="D1035" s="58">
        <v>0</v>
      </c>
      <c r="E1035" s="58">
        <v>0</v>
      </c>
      <c r="F1035" s="58">
        <v>0</v>
      </c>
      <c r="G1035" s="58">
        <v>0</v>
      </c>
      <c r="H1035" s="58">
        <v>0</v>
      </c>
      <c r="I1035" s="58">
        <v>0</v>
      </c>
      <c r="J1035" s="58">
        <v>0</v>
      </c>
      <c r="K1035" s="58">
        <v>0</v>
      </c>
      <c r="L1035" s="58">
        <v>7650</v>
      </c>
      <c r="M1035" s="58">
        <v>7650</v>
      </c>
      <c r="N1035" s="58">
        <v>15136.95</v>
      </c>
      <c r="O1035" s="58">
        <v>16550</v>
      </c>
      <c r="P1035" s="58" t="s">
        <v>34</v>
      </c>
      <c r="Q1035" s="58">
        <v>0</v>
      </c>
      <c r="R1035" s="58">
        <v>0</v>
      </c>
      <c r="S1035" s="58">
        <v>0</v>
      </c>
      <c r="T1035" s="58">
        <v>0</v>
      </c>
      <c r="U1035" s="58">
        <v>0</v>
      </c>
      <c r="V1035" s="58">
        <v>0</v>
      </c>
      <c r="W1035" s="58">
        <v>0</v>
      </c>
      <c r="X1035" s="58">
        <v>0</v>
      </c>
      <c r="Y1035" s="58">
        <v>32025</v>
      </c>
      <c r="Z1035" s="58">
        <v>11325</v>
      </c>
      <c r="AA1035" s="58">
        <v>15136.95</v>
      </c>
      <c r="AE1035" s="57" t="str">
        <f t="shared" si="51"/>
        <v/>
      </c>
      <c r="AF1035" s="18" t="str">
        <f t="shared" si="52"/>
        <v/>
      </c>
      <c r="AG1035" s="18" t="str">
        <f t="shared" si="53"/>
        <v/>
      </c>
      <c r="AH1035" s="18" t="str">
        <f t="shared" si="54"/>
        <v/>
      </c>
      <c r="AI1035" s="18" t="str">
        <f t="shared" si="55"/>
        <v/>
      </c>
      <c r="AJ1035" s="18" t="str">
        <f t="shared" si="56"/>
        <v/>
      </c>
      <c r="AK1035" s="18" t="str">
        <f t="shared" si="57"/>
        <v/>
      </c>
      <c r="AL1035" s="18" t="str">
        <f t="shared" si="58"/>
        <v/>
      </c>
      <c r="AM1035" s="18" t="str">
        <f t="shared" si="59"/>
        <v/>
      </c>
    </row>
    <row r="1036" spans="1:39" x14ac:dyDescent="0.35">
      <c r="A1036" s="56" t="s">
        <v>1104</v>
      </c>
      <c r="B1036" s="58">
        <v>16550</v>
      </c>
      <c r="C1036" s="58" t="s">
        <v>33</v>
      </c>
      <c r="D1036" s="58">
        <v>0</v>
      </c>
      <c r="E1036" s="58">
        <v>0</v>
      </c>
      <c r="F1036" s="58">
        <v>0</v>
      </c>
      <c r="G1036" s="58">
        <v>0</v>
      </c>
      <c r="H1036" s="58">
        <v>0</v>
      </c>
      <c r="I1036" s="58">
        <v>0</v>
      </c>
      <c r="J1036" s="58">
        <v>0</v>
      </c>
      <c r="K1036" s="58">
        <v>0</v>
      </c>
      <c r="L1036" s="58">
        <v>9150</v>
      </c>
      <c r="M1036" s="58">
        <v>9150</v>
      </c>
      <c r="N1036" s="58">
        <v>15136.95</v>
      </c>
      <c r="O1036" s="58">
        <v>16550</v>
      </c>
      <c r="P1036" s="58" t="s">
        <v>33</v>
      </c>
      <c r="Q1036" s="58">
        <v>0</v>
      </c>
      <c r="R1036" s="58">
        <v>0</v>
      </c>
      <c r="S1036" s="58">
        <v>0</v>
      </c>
      <c r="T1036" s="58">
        <v>0</v>
      </c>
      <c r="U1036" s="58">
        <v>0</v>
      </c>
      <c r="V1036" s="58">
        <v>0</v>
      </c>
      <c r="W1036" s="58">
        <v>0</v>
      </c>
      <c r="X1036" s="58">
        <v>0</v>
      </c>
      <c r="Y1036" s="58">
        <v>18750</v>
      </c>
      <c r="Z1036" s="58">
        <v>8625</v>
      </c>
      <c r="AA1036" s="58">
        <v>15136.95</v>
      </c>
      <c r="AE1036" s="57" t="str">
        <f t="shared" si="51"/>
        <v/>
      </c>
      <c r="AF1036" s="18" t="str">
        <f t="shared" si="52"/>
        <v/>
      </c>
      <c r="AG1036" s="18" t="str">
        <f t="shared" si="53"/>
        <v/>
      </c>
      <c r="AH1036" s="18" t="str">
        <f t="shared" si="54"/>
        <v/>
      </c>
      <c r="AI1036" s="18" t="str">
        <f t="shared" si="55"/>
        <v/>
      </c>
      <c r="AJ1036" s="18" t="str">
        <f t="shared" si="56"/>
        <v/>
      </c>
      <c r="AK1036" s="18" t="str">
        <f t="shared" si="57"/>
        <v/>
      </c>
      <c r="AL1036" s="18" t="str">
        <f t="shared" si="58"/>
        <v/>
      </c>
      <c r="AM1036" s="18" t="str">
        <f t="shared" si="59"/>
        <v/>
      </c>
    </row>
    <row r="1037" spans="1:39" x14ac:dyDescent="0.35">
      <c r="A1037" s="56" t="s">
        <v>1105</v>
      </c>
      <c r="B1037" s="58">
        <v>16550</v>
      </c>
      <c r="C1037" s="58" t="s">
        <v>36</v>
      </c>
      <c r="D1037" s="58">
        <v>0</v>
      </c>
      <c r="E1037" s="58">
        <v>0</v>
      </c>
      <c r="F1037" s="58">
        <v>0</v>
      </c>
      <c r="G1037" s="58">
        <v>0</v>
      </c>
      <c r="H1037" s="58">
        <v>0</v>
      </c>
      <c r="I1037" s="58">
        <v>0</v>
      </c>
      <c r="J1037" s="58">
        <v>0</v>
      </c>
      <c r="K1037" s="58">
        <v>0</v>
      </c>
      <c r="L1037" s="58">
        <v>4875</v>
      </c>
      <c r="M1037" s="58">
        <v>4875</v>
      </c>
      <c r="N1037" s="58">
        <v>15136.95</v>
      </c>
      <c r="O1037" s="58">
        <v>16550</v>
      </c>
      <c r="P1037" s="58" t="s">
        <v>36</v>
      </c>
      <c r="Q1037" s="58">
        <v>0</v>
      </c>
      <c r="R1037" s="58">
        <v>0</v>
      </c>
      <c r="S1037" s="58">
        <v>0</v>
      </c>
      <c r="T1037" s="58">
        <v>0</v>
      </c>
      <c r="U1037" s="58">
        <v>0</v>
      </c>
      <c r="V1037" s="58">
        <v>0</v>
      </c>
      <c r="W1037" s="58">
        <v>0</v>
      </c>
      <c r="X1037" s="58">
        <v>0</v>
      </c>
      <c r="Y1037" s="58">
        <v>225</v>
      </c>
      <c r="Z1037" s="58">
        <v>150</v>
      </c>
      <c r="AA1037" s="58">
        <v>15136.95</v>
      </c>
      <c r="AE1037" s="57" t="str">
        <f t="shared" si="51"/>
        <v/>
      </c>
      <c r="AF1037" s="18" t="str">
        <f t="shared" si="52"/>
        <v/>
      </c>
      <c r="AG1037" s="18" t="str">
        <f t="shared" si="53"/>
        <v/>
      </c>
      <c r="AH1037" s="18" t="str">
        <f t="shared" si="54"/>
        <v/>
      </c>
      <c r="AI1037" s="18" t="str">
        <f t="shared" si="55"/>
        <v/>
      </c>
      <c r="AJ1037" s="18" t="str">
        <f t="shared" si="56"/>
        <v/>
      </c>
      <c r="AK1037" s="18" t="str">
        <f t="shared" si="57"/>
        <v/>
      </c>
      <c r="AL1037" s="18" t="str">
        <f t="shared" si="58"/>
        <v/>
      </c>
      <c r="AM1037" s="18" t="str">
        <f t="shared" si="59"/>
        <v/>
      </c>
    </row>
    <row r="1038" spans="1:39" x14ac:dyDescent="0.35">
      <c r="A1038" s="56" t="s">
        <v>1106</v>
      </c>
      <c r="B1038" s="58">
        <v>16550</v>
      </c>
      <c r="C1038" s="58" t="s">
        <v>37</v>
      </c>
      <c r="D1038" s="58">
        <v>0</v>
      </c>
      <c r="E1038" s="58">
        <v>0</v>
      </c>
      <c r="F1038" s="58">
        <v>0</v>
      </c>
      <c r="G1038" s="58">
        <v>0</v>
      </c>
      <c r="H1038" s="58">
        <v>0</v>
      </c>
      <c r="I1038" s="58">
        <v>0</v>
      </c>
      <c r="J1038" s="58">
        <v>0</v>
      </c>
      <c r="K1038" s="58">
        <v>0</v>
      </c>
      <c r="L1038" s="58">
        <v>4875</v>
      </c>
      <c r="M1038" s="58">
        <v>4875</v>
      </c>
      <c r="N1038" s="58">
        <v>15136.95</v>
      </c>
      <c r="O1038" s="58">
        <v>16550</v>
      </c>
      <c r="P1038" s="58" t="s">
        <v>37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58">
        <v>0</v>
      </c>
      <c r="W1038" s="58">
        <v>0</v>
      </c>
      <c r="X1038" s="58">
        <v>0</v>
      </c>
      <c r="Y1038" s="58">
        <v>300</v>
      </c>
      <c r="Z1038" s="58">
        <v>0</v>
      </c>
      <c r="AA1038" s="58">
        <v>15136.95</v>
      </c>
      <c r="AE1038" s="57" t="str">
        <f t="shared" si="51"/>
        <v/>
      </c>
      <c r="AF1038" s="18" t="str">
        <f t="shared" si="52"/>
        <v/>
      </c>
      <c r="AG1038" s="18" t="str">
        <f t="shared" si="53"/>
        <v/>
      </c>
      <c r="AH1038" s="18" t="str">
        <f t="shared" si="54"/>
        <v/>
      </c>
      <c r="AI1038" s="18" t="str">
        <f t="shared" si="55"/>
        <v/>
      </c>
      <c r="AJ1038" s="18" t="str">
        <f t="shared" si="56"/>
        <v/>
      </c>
      <c r="AK1038" s="18" t="str">
        <f t="shared" si="57"/>
        <v/>
      </c>
      <c r="AL1038" s="18" t="str">
        <f t="shared" si="58"/>
        <v/>
      </c>
      <c r="AM1038" s="18" t="str">
        <f t="shared" si="59"/>
        <v/>
      </c>
    </row>
    <row r="1039" spans="1:39" x14ac:dyDescent="0.35">
      <c r="A1039" s="56" t="s">
        <v>1107</v>
      </c>
      <c r="B1039" s="58">
        <v>16550</v>
      </c>
      <c r="C1039" s="58" t="s">
        <v>38</v>
      </c>
      <c r="D1039" s="58">
        <v>0</v>
      </c>
      <c r="E1039" s="58">
        <v>0</v>
      </c>
      <c r="F1039" s="58">
        <v>0</v>
      </c>
      <c r="G1039" s="58">
        <v>0</v>
      </c>
      <c r="H1039" s="58">
        <v>0</v>
      </c>
      <c r="I1039" s="58">
        <v>0</v>
      </c>
      <c r="J1039" s="58">
        <v>0</v>
      </c>
      <c r="K1039" s="58">
        <v>0</v>
      </c>
      <c r="L1039" s="58">
        <v>4875</v>
      </c>
      <c r="M1039" s="58">
        <v>4875</v>
      </c>
      <c r="N1039" s="58">
        <v>15136.95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58">
        <v>0</v>
      </c>
      <c r="W1039" s="58">
        <v>0</v>
      </c>
      <c r="X1039" s="58">
        <v>0</v>
      </c>
      <c r="Y1039" s="58">
        <v>0</v>
      </c>
      <c r="Z1039" s="58">
        <v>0</v>
      </c>
      <c r="AA1039" s="58">
        <v>0</v>
      </c>
      <c r="AE1039" s="57" t="str">
        <f t="shared" si="51"/>
        <v/>
      </c>
      <c r="AF1039" s="18" t="str">
        <f t="shared" si="52"/>
        <v/>
      </c>
      <c r="AG1039" s="18" t="str">
        <f t="shared" si="53"/>
        <v/>
      </c>
      <c r="AH1039" s="18" t="str">
        <f t="shared" si="54"/>
        <v/>
      </c>
      <c r="AI1039" s="18" t="str">
        <f t="shared" si="55"/>
        <v/>
      </c>
      <c r="AJ1039" s="18" t="str">
        <f t="shared" si="56"/>
        <v/>
      </c>
      <c r="AK1039" s="18" t="str">
        <f t="shared" si="57"/>
        <v/>
      </c>
      <c r="AL1039" s="18" t="str">
        <f t="shared" si="58"/>
        <v/>
      </c>
      <c r="AM1039" s="18" t="str">
        <f t="shared" si="59"/>
        <v/>
      </c>
    </row>
    <row r="1040" spans="1:39" x14ac:dyDescent="0.35">
      <c r="A1040" s="56" t="s">
        <v>1108</v>
      </c>
      <c r="B1040" s="58">
        <v>16550</v>
      </c>
      <c r="C1040" s="58" t="s">
        <v>26</v>
      </c>
      <c r="D1040" s="58">
        <v>0</v>
      </c>
      <c r="E1040" s="58">
        <v>0</v>
      </c>
      <c r="F1040" s="58">
        <v>0</v>
      </c>
      <c r="G1040" s="58">
        <v>0</v>
      </c>
      <c r="H1040" s="58">
        <v>0</v>
      </c>
      <c r="I1040" s="58">
        <v>0</v>
      </c>
      <c r="J1040" s="58">
        <v>0</v>
      </c>
      <c r="K1040" s="58">
        <v>0</v>
      </c>
      <c r="L1040" s="58">
        <v>7650</v>
      </c>
      <c r="M1040" s="58">
        <v>7650</v>
      </c>
      <c r="N1040" s="58">
        <v>15136.95</v>
      </c>
      <c r="O1040" s="58">
        <v>16550</v>
      </c>
      <c r="P1040" s="58" t="s">
        <v>26</v>
      </c>
      <c r="Q1040" s="58">
        <v>15</v>
      </c>
      <c r="R1040" s="58">
        <v>1</v>
      </c>
      <c r="S1040" s="58">
        <v>7.1428571428571432</v>
      </c>
      <c r="T1040" s="58">
        <v>3</v>
      </c>
      <c r="U1040" s="58">
        <v>16.63</v>
      </c>
      <c r="V1040" s="58">
        <v>34.9</v>
      </c>
      <c r="W1040" s="58">
        <v>-3.3500000000000014</v>
      </c>
      <c r="X1040" s="58">
        <v>-8.7581699346405273</v>
      </c>
      <c r="Y1040" s="58">
        <v>36300</v>
      </c>
      <c r="Z1040" s="58">
        <v>6825</v>
      </c>
      <c r="AA1040" s="58">
        <v>15136.95</v>
      </c>
      <c r="AE1040" s="57" t="str">
        <f t="shared" si="51"/>
        <v/>
      </c>
      <c r="AF1040" s="18" t="str">
        <f t="shared" si="52"/>
        <v/>
      </c>
      <c r="AG1040" s="18" t="str">
        <f t="shared" si="53"/>
        <v/>
      </c>
      <c r="AH1040" s="18" t="str">
        <f t="shared" si="54"/>
        <v/>
      </c>
      <c r="AI1040" s="18" t="str">
        <f t="shared" si="55"/>
        <v/>
      </c>
      <c r="AJ1040" s="18" t="str">
        <f t="shared" si="56"/>
        <v/>
      </c>
      <c r="AK1040" s="18" t="str">
        <f t="shared" si="57"/>
        <v/>
      </c>
      <c r="AL1040" s="18" t="str">
        <f t="shared" si="58"/>
        <v/>
      </c>
      <c r="AM1040" s="18" t="str">
        <f t="shared" si="59"/>
        <v/>
      </c>
    </row>
    <row r="1041" spans="1:39" x14ac:dyDescent="0.35">
      <c r="A1041" s="56" t="s">
        <v>1109</v>
      </c>
      <c r="B1041" s="58">
        <v>16550</v>
      </c>
      <c r="C1041" s="58" t="s">
        <v>67</v>
      </c>
      <c r="D1041" s="58">
        <v>0</v>
      </c>
      <c r="E1041" s="58">
        <v>0</v>
      </c>
      <c r="F1041" s="58">
        <v>0</v>
      </c>
      <c r="G1041" s="58">
        <v>0</v>
      </c>
      <c r="H1041" s="58">
        <v>0</v>
      </c>
      <c r="I1041" s="58">
        <v>0</v>
      </c>
      <c r="J1041" s="58">
        <v>0</v>
      </c>
      <c r="K1041" s="58">
        <v>0</v>
      </c>
      <c r="L1041" s="58">
        <v>4875</v>
      </c>
      <c r="M1041" s="58">
        <v>4875</v>
      </c>
      <c r="N1041" s="58">
        <v>15136.95</v>
      </c>
      <c r="O1041" s="58">
        <v>0</v>
      </c>
      <c r="P1041" s="58">
        <v>0</v>
      </c>
      <c r="Q1041" s="58">
        <v>0</v>
      </c>
      <c r="R1041" s="58">
        <v>0</v>
      </c>
      <c r="S1041" s="58">
        <v>0</v>
      </c>
      <c r="T1041" s="58">
        <v>0</v>
      </c>
      <c r="U1041" s="58">
        <v>0</v>
      </c>
      <c r="V1041" s="58">
        <v>0</v>
      </c>
      <c r="W1041" s="58">
        <v>0</v>
      </c>
      <c r="X1041" s="58">
        <v>0</v>
      </c>
      <c r="Y1041" s="58">
        <v>0</v>
      </c>
      <c r="Z1041" s="58">
        <v>0</v>
      </c>
      <c r="AA1041" s="58">
        <v>0</v>
      </c>
      <c r="AE1041" s="57" t="str">
        <f t="shared" si="51"/>
        <v/>
      </c>
      <c r="AF1041" s="18" t="str">
        <f t="shared" si="52"/>
        <v/>
      </c>
      <c r="AG1041" s="18" t="str">
        <f t="shared" si="53"/>
        <v/>
      </c>
      <c r="AH1041" s="18" t="str">
        <f t="shared" si="54"/>
        <v/>
      </c>
      <c r="AI1041" s="18" t="str">
        <f t="shared" si="55"/>
        <v/>
      </c>
      <c r="AJ1041" s="18" t="str">
        <f t="shared" si="56"/>
        <v/>
      </c>
      <c r="AK1041" s="18" t="str">
        <f t="shared" si="57"/>
        <v/>
      </c>
      <c r="AL1041" s="18" t="str">
        <f t="shared" si="58"/>
        <v/>
      </c>
      <c r="AM1041" s="18" t="str">
        <f t="shared" si="59"/>
        <v/>
      </c>
    </row>
    <row r="1042" spans="1:39" x14ac:dyDescent="0.35">
      <c r="A1042" s="56" t="s">
        <v>1110</v>
      </c>
      <c r="B1042" s="58">
        <v>16550</v>
      </c>
      <c r="C1042" s="58" t="s">
        <v>2074</v>
      </c>
      <c r="D1042" s="58">
        <v>0</v>
      </c>
      <c r="E1042" s="58">
        <v>0</v>
      </c>
      <c r="F1042" s="58">
        <v>0</v>
      </c>
      <c r="G1042" s="58">
        <v>0</v>
      </c>
      <c r="H1042" s="58">
        <v>0</v>
      </c>
      <c r="I1042" s="58">
        <v>0</v>
      </c>
      <c r="J1042" s="58">
        <v>0</v>
      </c>
      <c r="K1042" s="58">
        <v>0</v>
      </c>
      <c r="L1042" s="58">
        <v>4875</v>
      </c>
      <c r="M1042" s="58">
        <v>4875</v>
      </c>
      <c r="N1042" s="58">
        <v>15136.95</v>
      </c>
      <c r="O1042" s="58">
        <v>16550</v>
      </c>
      <c r="P1042" s="58" t="s">
        <v>2074</v>
      </c>
      <c r="Q1042" s="58">
        <v>0</v>
      </c>
      <c r="R1042" s="58">
        <v>0</v>
      </c>
      <c r="S1042" s="58">
        <v>0</v>
      </c>
      <c r="T1042" s="58">
        <v>0</v>
      </c>
      <c r="U1042" s="58">
        <v>0</v>
      </c>
      <c r="V1042" s="58">
        <v>0</v>
      </c>
      <c r="W1042" s="58">
        <v>0</v>
      </c>
      <c r="X1042" s="58">
        <v>0</v>
      </c>
      <c r="Y1042" s="58">
        <v>0</v>
      </c>
      <c r="Z1042" s="58">
        <v>0</v>
      </c>
      <c r="AA1042" s="58">
        <v>15136.95</v>
      </c>
      <c r="AE1042" s="57" t="str">
        <f t="shared" si="51"/>
        <v/>
      </c>
      <c r="AF1042" s="18" t="str">
        <f t="shared" si="52"/>
        <v/>
      </c>
      <c r="AG1042" s="18" t="str">
        <f t="shared" si="53"/>
        <v/>
      </c>
      <c r="AH1042" s="18" t="str">
        <f t="shared" si="54"/>
        <v/>
      </c>
      <c r="AI1042" s="18" t="str">
        <f t="shared" si="55"/>
        <v/>
      </c>
      <c r="AJ1042" s="18" t="str">
        <f t="shared" si="56"/>
        <v/>
      </c>
      <c r="AK1042" s="18" t="str">
        <f t="shared" si="57"/>
        <v/>
      </c>
      <c r="AL1042" s="18" t="str">
        <f t="shared" si="58"/>
        <v/>
      </c>
      <c r="AM1042" s="18" t="str">
        <f t="shared" si="59"/>
        <v/>
      </c>
    </row>
    <row r="1043" spans="1:39" x14ac:dyDescent="0.35">
      <c r="A1043" s="56" t="s">
        <v>1111</v>
      </c>
      <c r="B1043" s="58">
        <v>16550</v>
      </c>
      <c r="C1043" s="58" t="s">
        <v>2071</v>
      </c>
      <c r="D1043" s="58">
        <v>0</v>
      </c>
      <c r="E1043" s="58">
        <v>0</v>
      </c>
      <c r="F1043" s="58">
        <v>0</v>
      </c>
      <c r="G1043" s="58">
        <v>0</v>
      </c>
      <c r="H1043" s="58">
        <v>0</v>
      </c>
      <c r="I1043" s="58">
        <v>0</v>
      </c>
      <c r="J1043" s="58">
        <v>0</v>
      </c>
      <c r="K1043" s="58">
        <v>0</v>
      </c>
      <c r="L1043" s="58">
        <v>4875</v>
      </c>
      <c r="M1043" s="58">
        <v>4875</v>
      </c>
      <c r="N1043" s="58">
        <v>15136.95</v>
      </c>
      <c r="O1043" s="58">
        <v>0</v>
      </c>
      <c r="P1043" s="58">
        <v>0</v>
      </c>
      <c r="Q1043" s="58">
        <v>0</v>
      </c>
      <c r="R1043" s="58">
        <v>0</v>
      </c>
      <c r="S1043" s="58">
        <v>0</v>
      </c>
      <c r="T1043" s="58">
        <v>0</v>
      </c>
      <c r="U1043" s="58">
        <v>0</v>
      </c>
      <c r="V1043" s="58">
        <v>0</v>
      </c>
      <c r="W1043" s="58">
        <v>0</v>
      </c>
      <c r="X1043" s="58">
        <v>0</v>
      </c>
      <c r="Y1043" s="58">
        <v>0</v>
      </c>
      <c r="Z1043" s="58">
        <v>0</v>
      </c>
      <c r="AA1043" s="58">
        <v>0</v>
      </c>
      <c r="AE1043" s="57" t="str">
        <f t="shared" si="51"/>
        <v/>
      </c>
      <c r="AF1043" s="18" t="str">
        <f t="shared" si="52"/>
        <v/>
      </c>
      <c r="AG1043" s="18" t="str">
        <f t="shared" si="53"/>
        <v/>
      </c>
      <c r="AH1043" s="18" t="str">
        <f t="shared" si="54"/>
        <v/>
      </c>
      <c r="AI1043" s="18" t="str">
        <f t="shared" si="55"/>
        <v/>
      </c>
      <c r="AJ1043" s="18" t="str">
        <f t="shared" si="56"/>
        <v/>
      </c>
      <c r="AK1043" s="18" t="str">
        <f t="shared" si="57"/>
        <v/>
      </c>
      <c r="AL1043" s="18" t="str">
        <f t="shared" si="58"/>
        <v/>
      </c>
      <c r="AM1043" s="18" t="str">
        <f t="shared" si="59"/>
        <v/>
      </c>
    </row>
    <row r="1044" spans="1:39" x14ac:dyDescent="0.35">
      <c r="A1044" s="56" t="s">
        <v>1112</v>
      </c>
      <c r="B1044" s="58">
        <v>16600</v>
      </c>
      <c r="C1044" s="58" t="s">
        <v>2071</v>
      </c>
      <c r="D1044" s="58">
        <v>0</v>
      </c>
      <c r="E1044" s="58">
        <v>0</v>
      </c>
      <c r="F1044" s="58">
        <v>0</v>
      </c>
      <c r="G1044" s="58">
        <v>0</v>
      </c>
      <c r="H1044" s="58">
        <v>0</v>
      </c>
      <c r="I1044" s="58">
        <v>0</v>
      </c>
      <c r="J1044" s="58">
        <v>0</v>
      </c>
      <c r="K1044" s="58">
        <v>0</v>
      </c>
      <c r="L1044" s="58">
        <v>4875</v>
      </c>
      <c r="M1044" s="58">
        <v>4875</v>
      </c>
      <c r="N1044" s="58">
        <v>15136.95</v>
      </c>
      <c r="O1044" s="58">
        <v>16600</v>
      </c>
      <c r="P1044" s="58" t="s">
        <v>2071</v>
      </c>
      <c r="Q1044" s="58">
        <v>0</v>
      </c>
      <c r="R1044" s="58">
        <v>0</v>
      </c>
      <c r="S1044" s="58">
        <v>0</v>
      </c>
      <c r="T1044" s="58">
        <v>0</v>
      </c>
      <c r="U1044" s="58">
        <v>0</v>
      </c>
      <c r="V1044" s="58">
        <v>0</v>
      </c>
      <c r="W1044" s="58">
        <v>0</v>
      </c>
      <c r="X1044" s="58">
        <v>0</v>
      </c>
      <c r="Y1044" s="58">
        <v>900</v>
      </c>
      <c r="Z1044" s="58">
        <v>0</v>
      </c>
      <c r="AA1044" s="58">
        <v>15136.95</v>
      </c>
      <c r="AE1044" s="57" t="str">
        <f t="shared" si="51"/>
        <v/>
      </c>
      <c r="AF1044" s="18" t="str">
        <f t="shared" si="52"/>
        <v/>
      </c>
      <c r="AG1044" s="18" t="str">
        <f t="shared" si="53"/>
        <v/>
      </c>
      <c r="AH1044" s="18" t="str">
        <f t="shared" si="54"/>
        <v/>
      </c>
      <c r="AI1044" s="18" t="str">
        <f t="shared" si="55"/>
        <v/>
      </c>
      <c r="AJ1044" s="18" t="str">
        <f t="shared" si="56"/>
        <v/>
      </c>
      <c r="AK1044" s="18" t="str">
        <f t="shared" si="57"/>
        <v/>
      </c>
      <c r="AL1044" s="18" t="str">
        <f t="shared" si="58"/>
        <v/>
      </c>
      <c r="AM1044" s="18" t="str">
        <f t="shared" si="59"/>
        <v/>
      </c>
    </row>
    <row r="1045" spans="1:39" x14ac:dyDescent="0.35">
      <c r="A1045" s="56" t="s">
        <v>1113</v>
      </c>
      <c r="B1045" s="58">
        <v>16600</v>
      </c>
      <c r="C1045" s="58" t="s">
        <v>35</v>
      </c>
      <c r="D1045" s="58">
        <v>0</v>
      </c>
      <c r="E1045" s="58">
        <v>0</v>
      </c>
      <c r="F1045" s="58">
        <v>0</v>
      </c>
      <c r="G1045" s="58">
        <v>0</v>
      </c>
      <c r="H1045" s="58">
        <v>0</v>
      </c>
      <c r="I1045" s="58">
        <v>0</v>
      </c>
      <c r="J1045" s="58">
        <v>0</v>
      </c>
      <c r="K1045" s="58">
        <v>0</v>
      </c>
      <c r="L1045" s="58">
        <v>20025</v>
      </c>
      <c r="M1045" s="58">
        <v>14250</v>
      </c>
      <c r="N1045" s="58">
        <v>15136.95</v>
      </c>
      <c r="O1045" s="58">
        <v>16600</v>
      </c>
      <c r="P1045" s="58" t="s">
        <v>35</v>
      </c>
      <c r="Q1045" s="58">
        <v>2781</v>
      </c>
      <c r="R1045" s="58">
        <v>223</v>
      </c>
      <c r="S1045" s="58">
        <v>8.717748240813135</v>
      </c>
      <c r="T1045" s="58">
        <v>3521</v>
      </c>
      <c r="U1045" s="58">
        <v>52.51</v>
      </c>
      <c r="V1045" s="58">
        <v>0.1</v>
      </c>
      <c r="W1045" s="58">
        <v>-1.1000000000000001</v>
      </c>
      <c r="X1045" s="58">
        <v>-91.666666666666657</v>
      </c>
      <c r="Y1045" s="58">
        <v>60300</v>
      </c>
      <c r="Z1045" s="58">
        <v>87075</v>
      </c>
      <c r="AA1045" s="58">
        <v>15136.95</v>
      </c>
      <c r="AE1045" s="57" t="str">
        <f t="shared" si="51"/>
        <v/>
      </c>
      <c r="AF1045" s="18" t="str">
        <f t="shared" si="52"/>
        <v/>
      </c>
      <c r="AG1045" s="18" t="str">
        <f t="shared" si="53"/>
        <v/>
      </c>
      <c r="AH1045" s="18" t="str">
        <f t="shared" si="54"/>
        <v/>
      </c>
      <c r="AI1045" s="18" t="str">
        <f t="shared" si="55"/>
        <v/>
      </c>
      <c r="AJ1045" s="18" t="str">
        <f t="shared" si="56"/>
        <v/>
      </c>
      <c r="AK1045" s="18" t="str">
        <f t="shared" si="57"/>
        <v/>
      </c>
      <c r="AL1045" s="18" t="str">
        <f t="shared" si="58"/>
        <v/>
      </c>
      <c r="AM1045" s="18" t="str">
        <f t="shared" si="59"/>
        <v/>
      </c>
    </row>
    <row r="1046" spans="1:39" x14ac:dyDescent="0.35">
      <c r="A1046" s="56" t="s">
        <v>1114</v>
      </c>
      <c r="B1046" s="58">
        <v>16600</v>
      </c>
      <c r="C1046" s="58" t="s">
        <v>33</v>
      </c>
      <c r="D1046" s="58">
        <v>0</v>
      </c>
      <c r="E1046" s="58">
        <v>0</v>
      </c>
      <c r="F1046" s="58">
        <v>0</v>
      </c>
      <c r="G1046" s="58">
        <v>0</v>
      </c>
      <c r="H1046" s="58">
        <v>0</v>
      </c>
      <c r="I1046" s="58">
        <v>0</v>
      </c>
      <c r="J1046" s="58">
        <v>0</v>
      </c>
      <c r="K1046" s="58">
        <v>0</v>
      </c>
      <c r="L1046" s="58">
        <v>6525</v>
      </c>
      <c r="M1046" s="58">
        <v>6450</v>
      </c>
      <c r="N1046" s="58">
        <v>15136.95</v>
      </c>
      <c r="O1046" s="58">
        <v>16600</v>
      </c>
      <c r="P1046" s="58" t="s">
        <v>33</v>
      </c>
      <c r="Q1046" s="58">
        <v>437</v>
      </c>
      <c r="R1046" s="58">
        <v>76</v>
      </c>
      <c r="S1046" s="58">
        <v>21.05263157894737</v>
      </c>
      <c r="T1046" s="58">
        <v>183</v>
      </c>
      <c r="U1046" s="58">
        <v>21.53</v>
      </c>
      <c r="V1046" s="58">
        <v>4.3499999999999996</v>
      </c>
      <c r="W1046" s="58">
        <v>-1.6500000000000004</v>
      </c>
      <c r="X1046" s="58">
        <v>-27.500000000000007</v>
      </c>
      <c r="Y1046" s="58">
        <v>62625</v>
      </c>
      <c r="Z1046" s="58">
        <v>35475</v>
      </c>
      <c r="AA1046" s="58">
        <v>15136.95</v>
      </c>
      <c r="AE1046" s="57" t="str">
        <f t="shared" si="51"/>
        <v/>
      </c>
      <c r="AF1046" s="18" t="str">
        <f t="shared" si="52"/>
        <v/>
      </c>
      <c r="AG1046" s="18" t="str">
        <f t="shared" si="53"/>
        <v/>
      </c>
      <c r="AH1046" s="18" t="str">
        <f t="shared" si="54"/>
        <v/>
      </c>
      <c r="AI1046" s="18" t="str">
        <f t="shared" si="55"/>
        <v/>
      </c>
      <c r="AJ1046" s="18" t="str">
        <f t="shared" si="56"/>
        <v/>
      </c>
      <c r="AK1046" s="18" t="str">
        <f t="shared" si="57"/>
        <v/>
      </c>
      <c r="AL1046" s="18" t="str">
        <f t="shared" si="58"/>
        <v/>
      </c>
      <c r="AM1046" s="18" t="str">
        <f t="shared" si="59"/>
        <v/>
      </c>
    </row>
    <row r="1047" spans="1:39" x14ac:dyDescent="0.35">
      <c r="A1047" s="56" t="s">
        <v>1115</v>
      </c>
      <c r="B1047" s="58">
        <v>16600</v>
      </c>
      <c r="C1047" s="58" t="s">
        <v>36</v>
      </c>
      <c r="D1047" s="58">
        <v>0</v>
      </c>
      <c r="E1047" s="58">
        <v>0</v>
      </c>
      <c r="F1047" s="58">
        <v>0</v>
      </c>
      <c r="G1047" s="58">
        <v>0</v>
      </c>
      <c r="H1047" s="58">
        <v>0</v>
      </c>
      <c r="I1047" s="58">
        <v>0</v>
      </c>
      <c r="J1047" s="58">
        <v>0</v>
      </c>
      <c r="K1047" s="58">
        <v>0</v>
      </c>
      <c r="L1047" s="58">
        <v>4875</v>
      </c>
      <c r="M1047" s="58">
        <v>4875</v>
      </c>
      <c r="N1047" s="58">
        <v>15136.95</v>
      </c>
      <c r="O1047" s="58">
        <v>16600</v>
      </c>
      <c r="P1047" s="58" t="s">
        <v>36</v>
      </c>
      <c r="Q1047" s="58">
        <v>0</v>
      </c>
      <c r="R1047" s="58">
        <v>0</v>
      </c>
      <c r="S1047" s="58">
        <v>0</v>
      </c>
      <c r="T1047" s="58">
        <v>0</v>
      </c>
      <c r="U1047" s="58">
        <v>0</v>
      </c>
      <c r="V1047" s="58">
        <v>0</v>
      </c>
      <c r="W1047" s="58">
        <v>0</v>
      </c>
      <c r="X1047" s="58">
        <v>0</v>
      </c>
      <c r="Y1047" s="58">
        <v>2100</v>
      </c>
      <c r="Z1047" s="58">
        <v>975</v>
      </c>
      <c r="AA1047" s="58">
        <v>15136.95</v>
      </c>
      <c r="AE1047" s="57" t="str">
        <f t="shared" si="51"/>
        <v/>
      </c>
      <c r="AF1047" s="18" t="str">
        <f t="shared" si="52"/>
        <v/>
      </c>
      <c r="AG1047" s="18" t="str">
        <f t="shared" si="53"/>
        <v/>
      </c>
      <c r="AH1047" s="18" t="str">
        <f t="shared" si="54"/>
        <v/>
      </c>
      <c r="AI1047" s="18" t="str">
        <f t="shared" si="55"/>
        <v/>
      </c>
      <c r="AJ1047" s="18" t="str">
        <f t="shared" si="56"/>
        <v/>
      </c>
      <c r="AK1047" s="18" t="str">
        <f t="shared" si="57"/>
        <v/>
      </c>
      <c r="AL1047" s="18" t="str">
        <f t="shared" si="58"/>
        <v/>
      </c>
      <c r="AM1047" s="18" t="str">
        <f t="shared" si="59"/>
        <v/>
      </c>
    </row>
    <row r="1048" spans="1:39" x14ac:dyDescent="0.35">
      <c r="A1048" s="56" t="s">
        <v>1116</v>
      </c>
      <c r="B1048" s="58">
        <v>16600</v>
      </c>
      <c r="C1048" s="58" t="s">
        <v>37</v>
      </c>
      <c r="D1048" s="58">
        <v>0</v>
      </c>
      <c r="E1048" s="58">
        <v>0</v>
      </c>
      <c r="F1048" s="58">
        <v>0</v>
      </c>
      <c r="G1048" s="58">
        <v>0</v>
      </c>
      <c r="H1048" s="58">
        <v>0</v>
      </c>
      <c r="I1048" s="58">
        <v>0</v>
      </c>
      <c r="J1048" s="58">
        <v>0</v>
      </c>
      <c r="K1048" s="58">
        <v>0</v>
      </c>
      <c r="L1048" s="58">
        <v>4875</v>
      </c>
      <c r="M1048" s="58">
        <v>4875</v>
      </c>
      <c r="N1048" s="58">
        <v>15136.95</v>
      </c>
      <c r="O1048" s="58">
        <v>16600</v>
      </c>
      <c r="P1048" s="58" t="s">
        <v>37</v>
      </c>
      <c r="Q1048" s="58">
        <v>0</v>
      </c>
      <c r="R1048" s="58">
        <v>0</v>
      </c>
      <c r="S1048" s="58">
        <v>0</v>
      </c>
      <c r="T1048" s="58">
        <v>0</v>
      </c>
      <c r="U1048" s="58">
        <v>0</v>
      </c>
      <c r="V1048" s="58">
        <v>0</v>
      </c>
      <c r="W1048" s="58">
        <v>0</v>
      </c>
      <c r="X1048" s="58">
        <v>0</v>
      </c>
      <c r="Y1048" s="58">
        <v>600</v>
      </c>
      <c r="Z1048" s="58">
        <v>150</v>
      </c>
      <c r="AA1048" s="58">
        <v>15136.95</v>
      </c>
      <c r="AE1048" s="57" t="str">
        <f t="shared" si="51"/>
        <v/>
      </c>
      <c r="AF1048" s="18" t="str">
        <f t="shared" si="52"/>
        <v/>
      </c>
      <c r="AG1048" s="18" t="str">
        <f t="shared" si="53"/>
        <v/>
      </c>
      <c r="AH1048" s="18" t="str">
        <f t="shared" si="54"/>
        <v/>
      </c>
      <c r="AI1048" s="18" t="str">
        <f t="shared" si="55"/>
        <v/>
      </c>
      <c r="AJ1048" s="18" t="str">
        <f t="shared" si="56"/>
        <v/>
      </c>
      <c r="AK1048" s="18" t="str">
        <f t="shared" si="57"/>
        <v/>
      </c>
      <c r="AL1048" s="18" t="str">
        <f t="shared" si="58"/>
        <v/>
      </c>
      <c r="AM1048" s="18" t="str">
        <f t="shared" si="59"/>
        <v/>
      </c>
    </row>
    <row r="1049" spans="1:39" x14ac:dyDescent="0.35">
      <c r="A1049" s="56" t="s">
        <v>1117</v>
      </c>
      <c r="B1049" s="58">
        <v>16600</v>
      </c>
      <c r="C1049" s="58" t="s">
        <v>38</v>
      </c>
      <c r="D1049" s="58">
        <v>0</v>
      </c>
      <c r="E1049" s="58">
        <v>0</v>
      </c>
      <c r="F1049" s="58">
        <v>0</v>
      </c>
      <c r="G1049" s="58">
        <v>0</v>
      </c>
      <c r="H1049" s="58">
        <v>0</v>
      </c>
      <c r="I1049" s="58">
        <v>0</v>
      </c>
      <c r="J1049" s="58">
        <v>0</v>
      </c>
      <c r="K1049" s="58">
        <v>0</v>
      </c>
      <c r="L1049" s="58">
        <v>4875</v>
      </c>
      <c r="M1049" s="58">
        <v>4875</v>
      </c>
      <c r="N1049" s="58">
        <v>15136.95</v>
      </c>
      <c r="O1049" s="58">
        <v>16600</v>
      </c>
      <c r="P1049" s="58" t="s">
        <v>38</v>
      </c>
      <c r="Q1049" s="58">
        <v>0</v>
      </c>
      <c r="R1049" s="58">
        <v>0</v>
      </c>
      <c r="S1049" s="58">
        <v>0</v>
      </c>
      <c r="T1049" s="58">
        <v>0</v>
      </c>
      <c r="U1049" s="58">
        <v>0</v>
      </c>
      <c r="V1049" s="58">
        <v>0</v>
      </c>
      <c r="W1049" s="58">
        <v>0</v>
      </c>
      <c r="X1049" s="58">
        <v>0</v>
      </c>
      <c r="Y1049" s="58">
        <v>675</v>
      </c>
      <c r="Z1049" s="58">
        <v>0</v>
      </c>
      <c r="AA1049" s="58">
        <v>15136.95</v>
      </c>
      <c r="AE1049" s="57" t="str">
        <f t="shared" si="51"/>
        <v/>
      </c>
      <c r="AF1049" s="18" t="str">
        <f t="shared" si="52"/>
        <v/>
      </c>
      <c r="AG1049" s="18" t="str">
        <f t="shared" si="53"/>
        <v/>
      </c>
      <c r="AH1049" s="18" t="str">
        <f t="shared" si="54"/>
        <v/>
      </c>
      <c r="AI1049" s="18" t="str">
        <f t="shared" si="55"/>
        <v/>
      </c>
      <c r="AJ1049" s="18" t="str">
        <f t="shared" si="56"/>
        <v/>
      </c>
      <c r="AK1049" s="18" t="str">
        <f t="shared" si="57"/>
        <v/>
      </c>
      <c r="AL1049" s="18" t="str">
        <f t="shared" si="58"/>
        <v/>
      </c>
      <c r="AM1049" s="18" t="str">
        <f t="shared" si="59"/>
        <v/>
      </c>
    </row>
    <row r="1050" spans="1:39" x14ac:dyDescent="0.35">
      <c r="A1050" s="56" t="s">
        <v>1118</v>
      </c>
      <c r="B1050" s="58">
        <v>16600</v>
      </c>
      <c r="C1050" s="58" t="s">
        <v>26</v>
      </c>
      <c r="D1050" s="58">
        <v>0</v>
      </c>
      <c r="E1050" s="58">
        <v>0</v>
      </c>
      <c r="F1050" s="58">
        <v>0</v>
      </c>
      <c r="G1050" s="58">
        <v>0</v>
      </c>
      <c r="H1050" s="58">
        <v>0</v>
      </c>
      <c r="I1050" s="58">
        <v>0</v>
      </c>
      <c r="J1050" s="58">
        <v>0</v>
      </c>
      <c r="K1050" s="58">
        <v>0</v>
      </c>
      <c r="L1050" s="58">
        <v>7650</v>
      </c>
      <c r="M1050" s="58">
        <v>7650</v>
      </c>
      <c r="N1050" s="58">
        <v>15136.95</v>
      </c>
      <c r="O1050" s="58">
        <v>16600</v>
      </c>
      <c r="P1050" s="58" t="s">
        <v>26</v>
      </c>
      <c r="Q1050" s="58">
        <v>58</v>
      </c>
      <c r="R1050" s="58">
        <v>29</v>
      </c>
      <c r="S1050" s="58">
        <v>100</v>
      </c>
      <c r="T1050" s="58">
        <v>71</v>
      </c>
      <c r="U1050" s="58">
        <v>16.75</v>
      </c>
      <c r="V1050" s="58">
        <v>32</v>
      </c>
      <c r="W1050" s="58">
        <v>0.39999999999999858</v>
      </c>
      <c r="X1050" s="58">
        <v>1.265822784810122</v>
      </c>
      <c r="Y1050" s="58">
        <v>60000</v>
      </c>
      <c r="Z1050" s="58">
        <v>10200</v>
      </c>
      <c r="AA1050" s="58">
        <v>15136.95</v>
      </c>
      <c r="AE1050" s="57" t="str">
        <f t="shared" si="51"/>
        <v/>
      </c>
      <c r="AF1050" s="18" t="str">
        <f t="shared" si="52"/>
        <v/>
      </c>
      <c r="AG1050" s="18" t="str">
        <f t="shared" si="53"/>
        <v/>
      </c>
      <c r="AH1050" s="18" t="str">
        <f t="shared" si="54"/>
        <v/>
      </c>
      <c r="AI1050" s="18" t="str">
        <f t="shared" si="55"/>
        <v/>
      </c>
      <c r="AJ1050" s="18" t="str">
        <f t="shared" si="56"/>
        <v/>
      </c>
      <c r="AK1050" s="18" t="str">
        <f t="shared" si="57"/>
        <v/>
      </c>
      <c r="AL1050" s="18" t="str">
        <f t="shared" si="58"/>
        <v/>
      </c>
      <c r="AM1050" s="18" t="str">
        <f t="shared" si="59"/>
        <v/>
      </c>
    </row>
    <row r="1051" spans="1:39" x14ac:dyDescent="0.35">
      <c r="A1051" s="56" t="s">
        <v>1119</v>
      </c>
      <c r="B1051" s="58">
        <v>16600</v>
      </c>
      <c r="C1051" s="58" t="s">
        <v>67</v>
      </c>
      <c r="D1051" s="58">
        <v>0</v>
      </c>
      <c r="E1051" s="58">
        <v>0</v>
      </c>
      <c r="F1051" s="58">
        <v>0</v>
      </c>
      <c r="G1051" s="58">
        <v>0</v>
      </c>
      <c r="H1051" s="58">
        <v>0</v>
      </c>
      <c r="I1051" s="58">
        <v>0</v>
      </c>
      <c r="J1051" s="58">
        <v>0</v>
      </c>
      <c r="K1051" s="58">
        <v>0</v>
      </c>
      <c r="L1051" s="58">
        <v>4875</v>
      </c>
      <c r="M1051" s="58">
        <v>4875</v>
      </c>
      <c r="N1051" s="58">
        <v>15136.95</v>
      </c>
      <c r="O1051" s="58">
        <v>0</v>
      </c>
      <c r="P1051" s="58">
        <v>0</v>
      </c>
      <c r="Q1051" s="58">
        <v>0</v>
      </c>
      <c r="R1051" s="58">
        <v>0</v>
      </c>
      <c r="S1051" s="58">
        <v>0</v>
      </c>
      <c r="T1051" s="58">
        <v>0</v>
      </c>
      <c r="U1051" s="58">
        <v>0</v>
      </c>
      <c r="V1051" s="58">
        <v>0</v>
      </c>
      <c r="W1051" s="58">
        <v>0</v>
      </c>
      <c r="X1051" s="58">
        <v>0</v>
      </c>
      <c r="Y1051" s="58">
        <v>0</v>
      </c>
      <c r="Z1051" s="58">
        <v>0</v>
      </c>
      <c r="AA1051" s="58">
        <v>0</v>
      </c>
      <c r="AE1051" s="57" t="str">
        <f t="shared" si="51"/>
        <v/>
      </c>
      <c r="AF1051" s="18" t="str">
        <f t="shared" si="52"/>
        <v/>
      </c>
      <c r="AG1051" s="18" t="str">
        <f t="shared" si="53"/>
        <v/>
      </c>
      <c r="AH1051" s="18" t="str">
        <f t="shared" si="54"/>
        <v/>
      </c>
      <c r="AI1051" s="18" t="str">
        <f t="shared" si="55"/>
        <v/>
      </c>
      <c r="AJ1051" s="18" t="str">
        <f t="shared" si="56"/>
        <v/>
      </c>
      <c r="AK1051" s="18" t="str">
        <f t="shared" si="57"/>
        <v/>
      </c>
      <c r="AL1051" s="18" t="str">
        <f t="shared" si="58"/>
        <v/>
      </c>
      <c r="AM1051" s="18" t="str">
        <f t="shared" si="59"/>
        <v/>
      </c>
    </row>
    <row r="1052" spans="1:39" x14ac:dyDescent="0.35">
      <c r="A1052" s="56" t="s">
        <v>1120</v>
      </c>
      <c r="B1052" s="58">
        <v>16600</v>
      </c>
      <c r="C1052" s="58" t="s">
        <v>2074</v>
      </c>
      <c r="D1052" s="58">
        <v>0</v>
      </c>
      <c r="E1052" s="58">
        <v>0</v>
      </c>
      <c r="F1052" s="58">
        <v>0</v>
      </c>
      <c r="G1052" s="58">
        <v>0</v>
      </c>
      <c r="H1052" s="58">
        <v>0</v>
      </c>
      <c r="I1052" s="58">
        <v>0</v>
      </c>
      <c r="J1052" s="58">
        <v>0</v>
      </c>
      <c r="K1052" s="58">
        <v>0</v>
      </c>
      <c r="L1052" s="58">
        <v>4875</v>
      </c>
      <c r="M1052" s="58">
        <v>4875</v>
      </c>
      <c r="N1052" s="58">
        <v>15136.95</v>
      </c>
      <c r="O1052" s="58">
        <v>16600</v>
      </c>
      <c r="P1052" s="58" t="s">
        <v>2074</v>
      </c>
      <c r="Q1052" s="58">
        <v>0</v>
      </c>
      <c r="R1052" s="58">
        <v>0</v>
      </c>
      <c r="S1052" s="58">
        <v>0</v>
      </c>
      <c r="T1052" s="58">
        <v>0</v>
      </c>
      <c r="U1052" s="58">
        <v>0</v>
      </c>
      <c r="V1052" s="58">
        <v>0</v>
      </c>
      <c r="W1052" s="58">
        <v>0</v>
      </c>
      <c r="X1052" s="58">
        <v>0</v>
      </c>
      <c r="Y1052" s="58">
        <v>0</v>
      </c>
      <c r="Z1052" s="58">
        <v>0</v>
      </c>
      <c r="AA1052" s="58">
        <v>15136.95</v>
      </c>
      <c r="AE1052" s="57" t="str">
        <f t="shared" si="51"/>
        <v/>
      </c>
      <c r="AF1052" s="18" t="str">
        <f t="shared" si="52"/>
        <v/>
      </c>
      <c r="AG1052" s="18" t="str">
        <f t="shared" si="53"/>
        <v/>
      </c>
      <c r="AH1052" s="18" t="str">
        <f t="shared" si="54"/>
        <v/>
      </c>
      <c r="AI1052" s="18" t="str">
        <f t="shared" si="55"/>
        <v/>
      </c>
      <c r="AJ1052" s="18" t="str">
        <f t="shared" si="56"/>
        <v/>
      </c>
      <c r="AK1052" s="18" t="str">
        <f t="shared" si="57"/>
        <v/>
      </c>
      <c r="AL1052" s="18" t="str">
        <f t="shared" si="58"/>
        <v/>
      </c>
      <c r="AM1052" s="18" t="str">
        <f t="shared" si="59"/>
        <v/>
      </c>
    </row>
    <row r="1053" spans="1:39" x14ac:dyDescent="0.35">
      <c r="A1053" s="56" t="s">
        <v>1121</v>
      </c>
      <c r="B1053" s="58">
        <v>16600</v>
      </c>
      <c r="C1053" s="58" t="s">
        <v>34</v>
      </c>
      <c r="D1053" s="58">
        <v>0</v>
      </c>
      <c r="E1053" s="58">
        <v>0</v>
      </c>
      <c r="F1053" s="58">
        <v>0</v>
      </c>
      <c r="G1053" s="58">
        <v>0</v>
      </c>
      <c r="H1053" s="58">
        <v>0</v>
      </c>
      <c r="I1053" s="58">
        <v>0</v>
      </c>
      <c r="J1053" s="58">
        <v>0</v>
      </c>
      <c r="K1053" s="58">
        <v>0</v>
      </c>
      <c r="L1053" s="58">
        <v>7650</v>
      </c>
      <c r="M1053" s="58">
        <v>7650</v>
      </c>
      <c r="N1053" s="58">
        <v>15136.95</v>
      </c>
      <c r="O1053" s="58">
        <v>16600</v>
      </c>
      <c r="P1053" s="58" t="s">
        <v>34</v>
      </c>
      <c r="Q1053" s="58">
        <v>1103</v>
      </c>
      <c r="R1053" s="58">
        <v>1046</v>
      </c>
      <c r="S1053" s="58">
        <v>1835.0877192982457</v>
      </c>
      <c r="T1053" s="58">
        <v>1324</v>
      </c>
      <c r="U1053" s="58">
        <v>28.09</v>
      </c>
      <c r="V1053" s="58">
        <v>2.0499999999999998</v>
      </c>
      <c r="W1053" s="58">
        <v>-2.1500000000000004</v>
      </c>
      <c r="X1053" s="58">
        <v>-51.190476190476197</v>
      </c>
      <c r="Y1053" s="58">
        <v>129375</v>
      </c>
      <c r="Z1053" s="58">
        <v>46725</v>
      </c>
      <c r="AA1053" s="58">
        <v>15136.95</v>
      </c>
      <c r="AE1053" s="57" t="str">
        <f t="shared" si="51"/>
        <v/>
      </c>
      <c r="AF1053" s="18" t="str">
        <f t="shared" si="52"/>
        <v/>
      </c>
      <c r="AG1053" s="18" t="str">
        <f t="shared" si="53"/>
        <v/>
      </c>
      <c r="AH1053" s="18" t="str">
        <f t="shared" si="54"/>
        <v/>
      </c>
      <c r="AI1053" s="18" t="str">
        <f t="shared" si="55"/>
        <v/>
      </c>
      <c r="AJ1053" s="18" t="str">
        <f t="shared" si="56"/>
        <v/>
      </c>
      <c r="AK1053" s="18" t="str">
        <f t="shared" si="57"/>
        <v/>
      </c>
      <c r="AL1053" s="18" t="str">
        <f t="shared" si="58"/>
        <v/>
      </c>
      <c r="AM1053" s="18" t="str">
        <f t="shared" si="59"/>
        <v/>
      </c>
    </row>
    <row r="1054" spans="1:39" x14ac:dyDescent="0.35">
      <c r="A1054" s="56" t="s">
        <v>1122</v>
      </c>
      <c r="B1054" s="58">
        <v>17000</v>
      </c>
      <c r="C1054" s="58" t="s">
        <v>27</v>
      </c>
      <c r="D1054" s="58">
        <v>0</v>
      </c>
      <c r="E1054" s="58">
        <v>0</v>
      </c>
      <c r="F1054" s="58">
        <v>0</v>
      </c>
      <c r="G1054" s="58">
        <v>0</v>
      </c>
      <c r="H1054" s="58">
        <v>0</v>
      </c>
      <c r="I1054" s="58">
        <v>0</v>
      </c>
      <c r="J1054" s="58">
        <v>0</v>
      </c>
      <c r="K1054" s="58">
        <v>0</v>
      </c>
      <c r="L1054" s="58">
        <v>75</v>
      </c>
      <c r="M1054" s="58">
        <v>0</v>
      </c>
      <c r="N1054" s="58">
        <v>15136.95</v>
      </c>
      <c r="O1054" s="58">
        <v>17000</v>
      </c>
      <c r="P1054" s="58" t="s">
        <v>27</v>
      </c>
      <c r="Q1054" s="58">
        <v>88</v>
      </c>
      <c r="R1054" s="58">
        <v>0</v>
      </c>
      <c r="S1054" s="58">
        <v>0</v>
      </c>
      <c r="T1054" s="58">
        <v>5</v>
      </c>
      <c r="U1054" s="58">
        <v>15.88</v>
      </c>
      <c r="V1054" s="58">
        <v>173.6</v>
      </c>
      <c r="W1054" s="58">
        <v>24.449999999999989</v>
      </c>
      <c r="X1054" s="58">
        <v>16.392893060677164</v>
      </c>
      <c r="Y1054" s="58">
        <v>21750</v>
      </c>
      <c r="Z1054" s="58">
        <v>4125</v>
      </c>
      <c r="AA1054" s="58">
        <v>15136.95</v>
      </c>
      <c r="AE1054" s="57" t="str">
        <f t="shared" si="51"/>
        <v/>
      </c>
      <c r="AF1054" s="18" t="str">
        <f t="shared" si="52"/>
        <v/>
      </c>
      <c r="AG1054" s="18" t="str">
        <f t="shared" si="53"/>
        <v/>
      </c>
      <c r="AH1054" s="18" t="str">
        <f t="shared" si="54"/>
        <v/>
      </c>
      <c r="AI1054" s="18" t="str">
        <f t="shared" si="55"/>
        <v/>
      </c>
      <c r="AJ1054" s="18" t="str">
        <f t="shared" si="56"/>
        <v/>
      </c>
      <c r="AK1054" s="18" t="str">
        <f t="shared" si="57"/>
        <v/>
      </c>
      <c r="AL1054" s="18" t="str">
        <f t="shared" si="58"/>
        <v/>
      </c>
      <c r="AM1054" s="18" t="str">
        <f t="shared" si="59"/>
        <v/>
      </c>
    </row>
    <row r="1055" spans="1:39" x14ac:dyDescent="0.35">
      <c r="A1055" s="56" t="s">
        <v>1123</v>
      </c>
      <c r="B1055" s="58">
        <v>17000</v>
      </c>
      <c r="C1055" s="58" t="s">
        <v>31</v>
      </c>
      <c r="D1055" s="58">
        <v>0</v>
      </c>
      <c r="E1055" s="58">
        <v>0</v>
      </c>
      <c r="F1055" s="58">
        <v>0</v>
      </c>
      <c r="G1055" s="58">
        <v>0</v>
      </c>
      <c r="H1055" s="58">
        <v>0</v>
      </c>
      <c r="I1055" s="58">
        <v>0</v>
      </c>
      <c r="J1055" s="58">
        <v>0</v>
      </c>
      <c r="K1055" s="58">
        <v>0</v>
      </c>
      <c r="L1055" s="58">
        <v>2100</v>
      </c>
      <c r="M1055" s="58">
        <v>0</v>
      </c>
      <c r="N1055" s="58">
        <v>15136.95</v>
      </c>
      <c r="O1055" s="58">
        <v>17000</v>
      </c>
      <c r="P1055" s="58" t="s">
        <v>31</v>
      </c>
      <c r="Q1055" s="58">
        <v>0</v>
      </c>
      <c r="R1055" s="58">
        <v>0</v>
      </c>
      <c r="S1055" s="58">
        <v>0</v>
      </c>
      <c r="T1055" s="58">
        <v>0</v>
      </c>
      <c r="U1055" s="58">
        <v>0</v>
      </c>
      <c r="V1055" s="58">
        <v>0</v>
      </c>
      <c r="W1055" s="58">
        <v>0</v>
      </c>
      <c r="X1055" s="58">
        <v>0</v>
      </c>
      <c r="Y1055" s="58">
        <v>3000</v>
      </c>
      <c r="Z1055" s="58">
        <v>0</v>
      </c>
      <c r="AA1055" s="58">
        <v>15136.95</v>
      </c>
      <c r="AE1055" s="57" t="str">
        <f t="shared" si="51"/>
        <v/>
      </c>
      <c r="AF1055" s="18" t="str">
        <f t="shared" si="52"/>
        <v/>
      </c>
      <c r="AG1055" s="18" t="str">
        <f t="shared" si="53"/>
        <v/>
      </c>
      <c r="AH1055" s="18" t="str">
        <f t="shared" si="54"/>
        <v/>
      </c>
      <c r="AI1055" s="18" t="str">
        <f t="shared" si="55"/>
        <v/>
      </c>
      <c r="AJ1055" s="18" t="str">
        <f t="shared" si="56"/>
        <v/>
      </c>
      <c r="AK1055" s="18" t="str">
        <f t="shared" si="57"/>
        <v/>
      </c>
      <c r="AL1055" s="18" t="str">
        <f t="shared" si="58"/>
        <v/>
      </c>
      <c r="AM1055" s="18" t="str">
        <f t="shared" si="59"/>
        <v/>
      </c>
    </row>
    <row r="1056" spans="1:39" x14ac:dyDescent="0.35">
      <c r="A1056" s="56" t="s">
        <v>1124</v>
      </c>
      <c r="B1056" s="58">
        <v>17000</v>
      </c>
      <c r="C1056" s="58" t="s">
        <v>29</v>
      </c>
      <c r="D1056" s="58">
        <v>0</v>
      </c>
      <c r="E1056" s="58">
        <v>0</v>
      </c>
      <c r="F1056" s="58">
        <v>0</v>
      </c>
      <c r="G1056" s="58">
        <v>0</v>
      </c>
      <c r="H1056" s="58">
        <v>0</v>
      </c>
      <c r="I1056" s="58">
        <v>0</v>
      </c>
      <c r="J1056" s="58">
        <v>0</v>
      </c>
      <c r="K1056" s="58">
        <v>0</v>
      </c>
      <c r="L1056" s="58">
        <v>225</v>
      </c>
      <c r="M1056" s="58">
        <v>75</v>
      </c>
      <c r="N1056" s="58">
        <v>15136.95</v>
      </c>
      <c r="O1056" s="58">
        <v>17000</v>
      </c>
      <c r="P1056" s="58" t="s">
        <v>29</v>
      </c>
      <c r="Q1056" s="58">
        <v>617</v>
      </c>
      <c r="R1056" s="58">
        <v>0</v>
      </c>
      <c r="S1056" s="58">
        <v>0</v>
      </c>
      <c r="T1056" s="58">
        <v>1</v>
      </c>
      <c r="U1056" s="58">
        <v>0</v>
      </c>
      <c r="V1056" s="58">
        <v>400</v>
      </c>
      <c r="W1056" s="58">
        <v>38.800000000000011</v>
      </c>
      <c r="X1056" s="58">
        <v>10.74197120708749</v>
      </c>
      <c r="Y1056" s="58">
        <v>300</v>
      </c>
      <c r="Z1056" s="58">
        <v>5850</v>
      </c>
      <c r="AA1056" s="58">
        <v>15136.95</v>
      </c>
      <c r="AE1056" s="57" t="str">
        <f t="shared" si="51"/>
        <v/>
      </c>
      <c r="AF1056" s="18" t="str">
        <f t="shared" si="52"/>
        <v/>
      </c>
      <c r="AG1056" s="18" t="str">
        <f t="shared" si="53"/>
        <v/>
      </c>
      <c r="AH1056" s="18" t="str">
        <f t="shared" si="54"/>
        <v/>
      </c>
      <c r="AI1056" s="18" t="str">
        <f t="shared" si="55"/>
        <v/>
      </c>
      <c r="AJ1056" s="18" t="str">
        <f t="shared" si="56"/>
        <v/>
      </c>
      <c r="AK1056" s="18" t="str">
        <f t="shared" si="57"/>
        <v/>
      </c>
      <c r="AL1056" s="18" t="str">
        <f t="shared" si="58"/>
        <v/>
      </c>
      <c r="AM1056" s="18" t="str">
        <f t="shared" si="59"/>
        <v/>
      </c>
    </row>
    <row r="1057" spans="1:39" x14ac:dyDescent="0.35">
      <c r="A1057" s="56" t="s">
        <v>1125</v>
      </c>
      <c r="B1057" s="58">
        <v>0</v>
      </c>
      <c r="C1057" s="58">
        <v>0</v>
      </c>
      <c r="D1057" s="58">
        <v>0</v>
      </c>
      <c r="E1057" s="58">
        <v>0</v>
      </c>
      <c r="F1057" s="58">
        <v>0</v>
      </c>
      <c r="G1057" s="58">
        <v>0</v>
      </c>
      <c r="H1057" s="58">
        <v>0</v>
      </c>
      <c r="I1057" s="58">
        <v>0</v>
      </c>
      <c r="J1057" s="58">
        <v>0</v>
      </c>
      <c r="K1057" s="58">
        <v>0</v>
      </c>
      <c r="L1057" s="58">
        <v>0</v>
      </c>
      <c r="M1057" s="58">
        <v>0</v>
      </c>
      <c r="N1057" s="58">
        <v>0</v>
      </c>
      <c r="O1057" s="58">
        <v>17500</v>
      </c>
      <c r="P1057" s="58" t="s">
        <v>27</v>
      </c>
      <c r="Q1057" s="58">
        <v>24</v>
      </c>
      <c r="R1057" s="58">
        <v>0</v>
      </c>
      <c r="S1057" s="58">
        <v>0</v>
      </c>
      <c r="T1057" s="58">
        <v>0</v>
      </c>
      <c r="U1057" s="58">
        <v>0</v>
      </c>
      <c r="V1057" s="58">
        <v>0</v>
      </c>
      <c r="W1057" s="58">
        <v>0</v>
      </c>
      <c r="X1057" s="58">
        <v>0</v>
      </c>
      <c r="Y1057" s="58">
        <v>10200</v>
      </c>
      <c r="Z1057" s="58">
        <v>3225</v>
      </c>
      <c r="AA1057" s="58">
        <v>15136.95</v>
      </c>
      <c r="AE1057" s="57" t="str">
        <f t="shared" si="51"/>
        <v/>
      </c>
      <c r="AF1057" s="18" t="str">
        <f t="shared" si="52"/>
        <v/>
      </c>
      <c r="AG1057" s="18" t="str">
        <f t="shared" si="53"/>
        <v/>
      </c>
      <c r="AH1057" s="18" t="str">
        <f t="shared" si="54"/>
        <v/>
      </c>
      <c r="AI1057" s="18" t="str">
        <f t="shared" si="55"/>
        <v/>
      </c>
      <c r="AJ1057" s="18" t="str">
        <f t="shared" si="56"/>
        <v/>
      </c>
      <c r="AK1057" s="18" t="str">
        <f t="shared" si="57"/>
        <v/>
      </c>
      <c r="AL1057" s="18" t="str">
        <f t="shared" si="58"/>
        <v/>
      </c>
      <c r="AM1057" s="18" t="str">
        <f t="shared" si="59"/>
        <v/>
      </c>
    </row>
    <row r="1058" spans="1:39" x14ac:dyDescent="0.35">
      <c r="A1058" s="56" t="s">
        <v>1126</v>
      </c>
      <c r="B1058" s="58">
        <v>17500</v>
      </c>
      <c r="C1058" s="58" t="s">
        <v>31</v>
      </c>
      <c r="D1058" s="58">
        <v>0</v>
      </c>
      <c r="E1058" s="58">
        <v>0</v>
      </c>
      <c r="F1058" s="58">
        <v>0</v>
      </c>
      <c r="G1058" s="58">
        <v>0</v>
      </c>
      <c r="H1058" s="58">
        <v>0</v>
      </c>
      <c r="I1058" s="58">
        <v>0</v>
      </c>
      <c r="J1058" s="58">
        <v>0</v>
      </c>
      <c r="K1058" s="58">
        <v>0</v>
      </c>
      <c r="L1058" s="58">
        <v>75</v>
      </c>
      <c r="M1058" s="58">
        <v>0</v>
      </c>
      <c r="N1058" s="58">
        <v>15136.95</v>
      </c>
      <c r="O1058" s="58">
        <v>17500</v>
      </c>
      <c r="P1058" s="58" t="s">
        <v>31</v>
      </c>
      <c r="Q1058" s="58">
        <v>0</v>
      </c>
      <c r="R1058" s="58">
        <v>0</v>
      </c>
      <c r="S1058" s="58">
        <v>0</v>
      </c>
      <c r="T1058" s="58">
        <v>0</v>
      </c>
      <c r="U1058" s="58">
        <v>0</v>
      </c>
      <c r="V1058" s="58">
        <v>0</v>
      </c>
      <c r="W1058" s="58">
        <v>0</v>
      </c>
      <c r="X1058" s="58">
        <v>0</v>
      </c>
      <c r="Y1058" s="58">
        <v>3000</v>
      </c>
      <c r="Z1058" s="58">
        <v>0</v>
      </c>
      <c r="AA1058" s="58">
        <v>15136.95</v>
      </c>
      <c r="AE1058" s="57" t="str">
        <f t="shared" si="51"/>
        <v/>
      </c>
      <c r="AF1058" s="18" t="str">
        <f t="shared" si="52"/>
        <v/>
      </c>
      <c r="AG1058" s="18" t="str">
        <f t="shared" si="53"/>
        <v/>
      </c>
      <c r="AH1058" s="18" t="str">
        <f t="shared" si="54"/>
        <v/>
      </c>
      <c r="AI1058" s="18" t="str">
        <f t="shared" si="55"/>
        <v/>
      </c>
      <c r="AJ1058" s="18" t="str">
        <f t="shared" si="56"/>
        <v/>
      </c>
      <c r="AK1058" s="18" t="str">
        <f t="shared" si="57"/>
        <v/>
      </c>
      <c r="AL1058" s="18" t="str">
        <f t="shared" si="58"/>
        <v/>
      </c>
      <c r="AM1058" s="18" t="str">
        <f t="shared" si="59"/>
        <v/>
      </c>
    </row>
    <row r="1059" spans="1:39" x14ac:dyDescent="0.35">
      <c r="A1059" s="56" t="s">
        <v>1127</v>
      </c>
      <c r="B1059" s="58">
        <v>17500</v>
      </c>
      <c r="C1059" s="58" t="s">
        <v>29</v>
      </c>
      <c r="D1059" s="58">
        <v>0</v>
      </c>
      <c r="E1059" s="58">
        <v>0</v>
      </c>
      <c r="F1059" s="58">
        <v>0</v>
      </c>
      <c r="G1059" s="58">
        <v>0</v>
      </c>
      <c r="H1059" s="58">
        <v>0</v>
      </c>
      <c r="I1059" s="58">
        <v>0</v>
      </c>
      <c r="J1059" s="58">
        <v>0</v>
      </c>
      <c r="K1059" s="58">
        <v>0</v>
      </c>
      <c r="L1059" s="58">
        <v>150</v>
      </c>
      <c r="M1059" s="58">
        <v>75</v>
      </c>
      <c r="N1059" s="58">
        <v>15136.95</v>
      </c>
      <c r="O1059" s="58">
        <v>17500</v>
      </c>
      <c r="P1059" s="58" t="s">
        <v>29</v>
      </c>
      <c r="Q1059" s="58">
        <v>19</v>
      </c>
      <c r="R1059" s="58">
        <v>0</v>
      </c>
      <c r="S1059" s="58">
        <v>0</v>
      </c>
      <c r="T1059" s="58">
        <v>1</v>
      </c>
      <c r="U1059" s="58">
        <v>11.11</v>
      </c>
      <c r="V1059" s="58">
        <v>302.14999999999998</v>
      </c>
      <c r="W1059" s="58">
        <v>17.149999999999977</v>
      </c>
      <c r="X1059" s="58">
        <v>6.0175438596491144</v>
      </c>
      <c r="Y1059" s="58">
        <v>1575</v>
      </c>
      <c r="Z1059" s="58">
        <v>2475</v>
      </c>
      <c r="AA1059" s="58">
        <v>15136.95</v>
      </c>
      <c r="AE1059" s="57" t="str">
        <f t="shared" si="51"/>
        <v/>
      </c>
      <c r="AF1059" s="18" t="str">
        <f t="shared" si="52"/>
        <v/>
      </c>
      <c r="AG1059" s="18" t="str">
        <f t="shared" si="53"/>
        <v/>
      </c>
      <c r="AH1059" s="18" t="str">
        <f t="shared" si="54"/>
        <v/>
      </c>
      <c r="AI1059" s="18" t="str">
        <f t="shared" si="55"/>
        <v/>
      </c>
      <c r="AJ1059" s="18" t="str">
        <f t="shared" si="56"/>
        <v/>
      </c>
      <c r="AK1059" s="18" t="str">
        <f t="shared" si="57"/>
        <v/>
      </c>
      <c r="AL1059" s="18" t="str">
        <f t="shared" si="58"/>
        <v/>
      </c>
      <c r="AM1059" s="18" t="str">
        <f t="shared" si="59"/>
        <v/>
      </c>
    </row>
    <row r="1060" spans="1:39" x14ac:dyDescent="0.35">
      <c r="A1060" s="56" t="s">
        <v>1128</v>
      </c>
      <c r="B1060" s="58">
        <v>0</v>
      </c>
      <c r="C1060" s="58">
        <v>0</v>
      </c>
      <c r="D1060" s="58">
        <v>0</v>
      </c>
      <c r="E1060" s="58">
        <v>0</v>
      </c>
      <c r="F1060" s="58">
        <v>0</v>
      </c>
      <c r="G1060" s="58">
        <v>0</v>
      </c>
      <c r="H1060" s="58">
        <v>0</v>
      </c>
      <c r="I1060" s="58">
        <v>0</v>
      </c>
      <c r="J1060" s="58">
        <v>0</v>
      </c>
      <c r="K1060" s="58">
        <v>0</v>
      </c>
      <c r="L1060" s="58">
        <v>0</v>
      </c>
      <c r="M1060" s="58">
        <v>0</v>
      </c>
      <c r="N1060" s="58">
        <v>0</v>
      </c>
      <c r="O1060" s="58">
        <v>17500</v>
      </c>
      <c r="P1060" s="58" t="s">
        <v>30</v>
      </c>
      <c r="Q1060" s="58">
        <v>0</v>
      </c>
      <c r="R1060" s="58">
        <v>0</v>
      </c>
      <c r="S1060" s="58">
        <v>0</v>
      </c>
      <c r="T1060" s="58">
        <v>0</v>
      </c>
      <c r="U1060" s="58">
        <v>0</v>
      </c>
      <c r="V1060" s="58">
        <v>0</v>
      </c>
      <c r="W1060" s="58">
        <v>0</v>
      </c>
      <c r="X1060" s="58">
        <v>0</v>
      </c>
      <c r="Y1060" s="58">
        <v>0</v>
      </c>
      <c r="Z1060" s="58">
        <v>525</v>
      </c>
      <c r="AA1060" s="58">
        <v>15136.95</v>
      </c>
      <c r="AE1060" s="57" t="str">
        <f t="shared" si="51"/>
        <v/>
      </c>
      <c r="AF1060" s="18" t="str">
        <f t="shared" si="52"/>
        <v/>
      </c>
      <c r="AG1060" s="18" t="str">
        <f t="shared" si="53"/>
        <v/>
      </c>
      <c r="AH1060" s="18" t="str">
        <f t="shared" si="54"/>
        <v/>
      </c>
      <c r="AI1060" s="18" t="str">
        <f t="shared" si="55"/>
        <v/>
      </c>
      <c r="AJ1060" s="18" t="str">
        <f t="shared" si="56"/>
        <v/>
      </c>
      <c r="AK1060" s="18" t="str">
        <f t="shared" si="57"/>
        <v/>
      </c>
      <c r="AL1060" s="18" t="str">
        <f t="shared" si="58"/>
        <v/>
      </c>
      <c r="AM1060" s="18" t="str">
        <f t="shared" si="59"/>
        <v/>
      </c>
    </row>
    <row r="1061" spans="1:39" x14ac:dyDescent="0.35">
      <c r="A1061" s="56" t="s">
        <v>1129</v>
      </c>
      <c r="B1061" s="58">
        <v>0</v>
      </c>
      <c r="C1061" s="58">
        <v>0</v>
      </c>
      <c r="D1061" s="58">
        <v>0</v>
      </c>
      <c r="E1061" s="58">
        <v>0</v>
      </c>
      <c r="F1061" s="58">
        <v>0</v>
      </c>
      <c r="G1061" s="58">
        <v>0</v>
      </c>
      <c r="H1061" s="58">
        <v>0</v>
      </c>
      <c r="I1061" s="58">
        <v>0</v>
      </c>
      <c r="J1061" s="58">
        <v>0</v>
      </c>
      <c r="K1061" s="58">
        <v>0</v>
      </c>
      <c r="L1061" s="58">
        <v>0</v>
      </c>
      <c r="M1061" s="58">
        <v>0</v>
      </c>
      <c r="N1061" s="58">
        <v>0</v>
      </c>
      <c r="O1061" s="58">
        <v>17500</v>
      </c>
      <c r="P1061" s="58" t="s">
        <v>28</v>
      </c>
      <c r="Q1061" s="58">
        <v>0</v>
      </c>
      <c r="R1061" s="58">
        <v>0</v>
      </c>
      <c r="S1061" s="58">
        <v>0</v>
      </c>
      <c r="T1061" s="58">
        <v>0</v>
      </c>
      <c r="U1061" s="58">
        <v>0</v>
      </c>
      <c r="V1061" s="58">
        <v>0</v>
      </c>
      <c r="W1061" s="58">
        <v>0</v>
      </c>
      <c r="X1061" s="58">
        <v>0</v>
      </c>
      <c r="Y1061" s="58">
        <v>0</v>
      </c>
      <c r="Z1061" s="58">
        <v>750</v>
      </c>
      <c r="AA1061" s="58">
        <v>15136.95</v>
      </c>
      <c r="AE1061" s="57" t="str">
        <f t="shared" si="51"/>
        <v/>
      </c>
      <c r="AF1061" s="18" t="str">
        <f t="shared" si="52"/>
        <v/>
      </c>
      <c r="AG1061" s="18" t="str">
        <f t="shared" si="53"/>
        <v/>
      </c>
      <c r="AH1061" s="18" t="str">
        <f t="shared" si="54"/>
        <v/>
      </c>
      <c r="AI1061" s="18" t="str">
        <f t="shared" si="55"/>
        <v/>
      </c>
      <c r="AJ1061" s="18" t="str">
        <f t="shared" si="56"/>
        <v/>
      </c>
      <c r="AK1061" s="18" t="str">
        <f t="shared" si="57"/>
        <v/>
      </c>
      <c r="AL1061" s="18" t="str">
        <f t="shared" si="58"/>
        <v/>
      </c>
      <c r="AM1061" s="18" t="str">
        <f t="shared" si="59"/>
        <v/>
      </c>
    </row>
    <row r="1062" spans="1:39" x14ac:dyDescent="0.35">
      <c r="A1062" s="56" t="s">
        <v>1130</v>
      </c>
      <c r="B1062" s="31"/>
      <c r="C1062" s="54"/>
      <c r="D1062" s="31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E1062" s="57" t="str">
        <f t="shared" si="51"/>
        <v/>
      </c>
      <c r="AF1062" s="18" t="str">
        <f t="shared" si="52"/>
        <v/>
      </c>
      <c r="AG1062" s="18" t="str">
        <f t="shared" si="53"/>
        <v/>
      </c>
      <c r="AH1062" s="18" t="str">
        <f t="shared" si="54"/>
        <v/>
      </c>
      <c r="AI1062" s="18" t="str">
        <f t="shared" si="55"/>
        <v/>
      </c>
      <c r="AJ1062" s="18" t="str">
        <f t="shared" si="56"/>
        <v/>
      </c>
      <c r="AK1062" s="18" t="str">
        <f t="shared" si="57"/>
        <v/>
      </c>
      <c r="AL1062" s="18" t="str">
        <f t="shared" si="58"/>
        <v/>
      </c>
      <c r="AM1062" s="18" t="str">
        <f t="shared" si="59"/>
        <v/>
      </c>
    </row>
    <row r="1063" spans="1:39" x14ac:dyDescent="0.35">
      <c r="A1063" s="56" t="s">
        <v>1131</v>
      </c>
      <c r="B1063" s="31"/>
      <c r="C1063" s="54"/>
      <c r="D1063" s="31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E1063" s="57" t="str">
        <f t="shared" si="51"/>
        <v/>
      </c>
      <c r="AF1063" s="18" t="str">
        <f t="shared" si="52"/>
        <v/>
      </c>
      <c r="AG1063" s="18" t="str">
        <f t="shared" si="53"/>
        <v/>
      </c>
      <c r="AH1063" s="18" t="str">
        <f t="shared" si="54"/>
        <v/>
      </c>
      <c r="AI1063" s="18" t="str">
        <f t="shared" si="55"/>
        <v/>
      </c>
      <c r="AJ1063" s="18" t="str">
        <f t="shared" si="56"/>
        <v/>
      </c>
      <c r="AK1063" s="18" t="str">
        <f t="shared" si="57"/>
        <v/>
      </c>
      <c r="AL1063" s="18" t="str">
        <f t="shared" si="58"/>
        <v/>
      </c>
      <c r="AM1063" s="18" t="str">
        <f t="shared" si="59"/>
        <v/>
      </c>
    </row>
    <row r="1064" spans="1:39" x14ac:dyDescent="0.35">
      <c r="A1064" s="56" t="s">
        <v>1132</v>
      </c>
      <c r="B1064" s="31"/>
      <c r="C1064" s="54"/>
      <c r="D1064" s="31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E1064" s="57" t="str">
        <f t="shared" si="51"/>
        <v/>
      </c>
      <c r="AF1064" s="18" t="str">
        <f t="shared" si="52"/>
        <v/>
      </c>
      <c r="AG1064" s="18" t="str">
        <f t="shared" si="53"/>
        <v/>
      </c>
      <c r="AH1064" s="18" t="str">
        <f t="shared" si="54"/>
        <v/>
      </c>
      <c r="AI1064" s="18" t="str">
        <f t="shared" si="55"/>
        <v/>
      </c>
      <c r="AJ1064" s="18" t="str">
        <f t="shared" si="56"/>
        <v/>
      </c>
      <c r="AK1064" s="18" t="str">
        <f t="shared" si="57"/>
        <v/>
      </c>
      <c r="AL1064" s="18" t="str">
        <f t="shared" si="58"/>
        <v/>
      </c>
      <c r="AM1064" s="18" t="str">
        <f t="shared" si="59"/>
        <v/>
      </c>
    </row>
    <row r="1065" spans="1:39" x14ac:dyDescent="0.35">
      <c r="A1065" s="56" t="s">
        <v>1133</v>
      </c>
      <c r="B1065" s="31"/>
      <c r="C1065" s="54"/>
      <c r="D1065" s="31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E1065" s="57" t="str">
        <f t="shared" si="51"/>
        <v/>
      </c>
      <c r="AF1065" s="18" t="str">
        <f t="shared" si="52"/>
        <v/>
      </c>
      <c r="AG1065" s="18" t="str">
        <f t="shared" si="53"/>
        <v/>
      </c>
      <c r="AH1065" s="18" t="str">
        <f t="shared" si="54"/>
        <v/>
      </c>
      <c r="AI1065" s="18" t="str">
        <f t="shared" si="55"/>
        <v/>
      </c>
      <c r="AJ1065" s="18" t="str">
        <f t="shared" si="56"/>
        <v/>
      </c>
      <c r="AK1065" s="18" t="str">
        <f t="shared" si="57"/>
        <v/>
      </c>
      <c r="AL1065" s="18" t="str">
        <f t="shared" si="58"/>
        <v/>
      </c>
      <c r="AM1065" s="18" t="str">
        <f t="shared" si="59"/>
        <v/>
      </c>
    </row>
    <row r="1066" spans="1:39" x14ac:dyDescent="0.35">
      <c r="A1066" s="56" t="s">
        <v>1134</v>
      </c>
      <c r="B1066" s="31"/>
      <c r="C1066" s="54"/>
      <c r="D1066" s="31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E1066" s="57" t="str">
        <f t="shared" si="51"/>
        <v/>
      </c>
      <c r="AF1066" s="18" t="str">
        <f t="shared" si="52"/>
        <v/>
      </c>
      <c r="AG1066" s="18" t="str">
        <f t="shared" si="53"/>
        <v/>
      </c>
      <c r="AH1066" s="18" t="str">
        <f t="shared" si="54"/>
        <v/>
      </c>
      <c r="AI1066" s="18" t="str">
        <f t="shared" si="55"/>
        <v/>
      </c>
      <c r="AJ1066" s="18" t="str">
        <f t="shared" si="56"/>
        <v/>
      </c>
      <c r="AK1066" s="18" t="str">
        <f t="shared" si="57"/>
        <v/>
      </c>
      <c r="AL1066" s="18" t="str">
        <f t="shared" si="58"/>
        <v/>
      </c>
      <c r="AM1066" s="18" t="str">
        <f t="shared" si="59"/>
        <v/>
      </c>
    </row>
    <row r="1067" spans="1:39" x14ac:dyDescent="0.35">
      <c r="A1067" s="56" t="s">
        <v>1135</v>
      </c>
      <c r="B1067" s="31"/>
      <c r="C1067" s="54"/>
      <c r="D1067" s="31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E1067" s="57" t="str">
        <f t="shared" si="51"/>
        <v/>
      </c>
      <c r="AF1067" s="18" t="str">
        <f t="shared" si="52"/>
        <v/>
      </c>
      <c r="AG1067" s="18" t="str">
        <f t="shared" si="53"/>
        <v/>
      </c>
      <c r="AH1067" s="18" t="str">
        <f t="shared" si="54"/>
        <v/>
      </c>
      <c r="AI1067" s="18" t="str">
        <f t="shared" si="55"/>
        <v/>
      </c>
      <c r="AJ1067" s="18" t="str">
        <f t="shared" si="56"/>
        <v/>
      </c>
      <c r="AK1067" s="18" t="str">
        <f t="shared" si="57"/>
        <v/>
      </c>
      <c r="AL1067" s="18" t="str">
        <f t="shared" si="58"/>
        <v/>
      </c>
      <c r="AM1067" s="18" t="str">
        <f t="shared" si="59"/>
        <v/>
      </c>
    </row>
    <row r="1068" spans="1:39" x14ac:dyDescent="0.35">
      <c r="A1068" s="56" t="s">
        <v>1136</v>
      </c>
      <c r="B1068" s="31"/>
      <c r="C1068" s="54"/>
      <c r="D1068" s="31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E1068" s="57" t="str">
        <f t="shared" si="51"/>
        <v/>
      </c>
      <c r="AF1068" s="18" t="str">
        <f t="shared" si="52"/>
        <v/>
      </c>
      <c r="AG1068" s="18" t="str">
        <f t="shared" si="53"/>
        <v/>
      </c>
      <c r="AH1068" s="18" t="str">
        <f t="shared" si="54"/>
        <v/>
      </c>
      <c r="AI1068" s="18" t="str">
        <f t="shared" si="55"/>
        <v/>
      </c>
      <c r="AJ1068" s="18" t="str">
        <f t="shared" si="56"/>
        <v/>
      </c>
      <c r="AK1068" s="18" t="str">
        <f t="shared" si="57"/>
        <v/>
      </c>
      <c r="AL1068" s="18" t="str">
        <f t="shared" si="58"/>
        <v/>
      </c>
      <c r="AM1068" s="18" t="str">
        <f t="shared" si="59"/>
        <v/>
      </c>
    </row>
    <row r="1069" spans="1:39" x14ac:dyDescent="0.35">
      <c r="A1069" s="56" t="s">
        <v>1137</v>
      </c>
      <c r="B1069" s="31"/>
      <c r="C1069" s="54"/>
      <c r="D1069" s="31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E1069" s="57" t="str">
        <f t="shared" si="51"/>
        <v/>
      </c>
      <c r="AF1069" s="18" t="str">
        <f t="shared" si="52"/>
        <v/>
      </c>
      <c r="AG1069" s="18" t="str">
        <f t="shared" si="53"/>
        <v/>
      </c>
      <c r="AH1069" s="18" t="str">
        <f t="shared" si="54"/>
        <v/>
      </c>
      <c r="AI1069" s="18" t="str">
        <f t="shared" si="55"/>
        <v/>
      </c>
      <c r="AJ1069" s="18" t="str">
        <f t="shared" si="56"/>
        <v/>
      </c>
      <c r="AK1069" s="18" t="str">
        <f t="shared" si="57"/>
        <v/>
      </c>
      <c r="AL1069" s="18" t="str">
        <f t="shared" si="58"/>
        <v/>
      </c>
      <c r="AM1069" s="18" t="str">
        <f t="shared" si="59"/>
        <v/>
      </c>
    </row>
    <row r="1070" spans="1:39" x14ac:dyDescent="0.35">
      <c r="A1070" s="56" t="s">
        <v>1138</v>
      </c>
      <c r="B1070" s="31"/>
      <c r="C1070" s="54"/>
      <c r="D1070" s="31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E1070" s="57" t="str">
        <f t="shared" si="51"/>
        <v/>
      </c>
      <c r="AF1070" s="18" t="str">
        <f t="shared" si="52"/>
        <v/>
      </c>
      <c r="AG1070" s="18" t="str">
        <f t="shared" si="53"/>
        <v/>
      </c>
      <c r="AH1070" s="18" t="str">
        <f t="shared" si="54"/>
        <v/>
      </c>
      <c r="AI1070" s="18" t="str">
        <f t="shared" si="55"/>
        <v/>
      </c>
      <c r="AJ1070" s="18" t="str">
        <f t="shared" si="56"/>
        <v/>
      </c>
      <c r="AK1070" s="18" t="str">
        <f t="shared" si="57"/>
        <v/>
      </c>
      <c r="AL1070" s="18" t="str">
        <f t="shared" si="58"/>
        <v/>
      </c>
      <c r="AM1070" s="18" t="str">
        <f t="shared" si="59"/>
        <v/>
      </c>
    </row>
    <row r="1071" spans="1:39" x14ac:dyDescent="0.35">
      <c r="A1071" s="56" t="s">
        <v>1139</v>
      </c>
      <c r="B1071" s="31"/>
      <c r="C1071" s="54"/>
      <c r="D1071" s="31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E1071" s="57" t="str">
        <f t="shared" si="51"/>
        <v/>
      </c>
      <c r="AF1071" s="18" t="str">
        <f t="shared" si="52"/>
        <v/>
      </c>
      <c r="AG1071" s="18" t="str">
        <f t="shared" si="53"/>
        <v/>
      </c>
      <c r="AH1071" s="18" t="str">
        <f t="shared" si="54"/>
        <v/>
      </c>
      <c r="AI1071" s="18" t="str">
        <f t="shared" si="55"/>
        <v/>
      </c>
      <c r="AJ1071" s="18" t="str">
        <f t="shared" si="56"/>
        <v/>
      </c>
      <c r="AK1071" s="18" t="str">
        <f t="shared" si="57"/>
        <v/>
      </c>
      <c r="AL1071" s="18" t="str">
        <f t="shared" si="58"/>
        <v/>
      </c>
      <c r="AM1071" s="18" t="str">
        <f t="shared" si="59"/>
        <v/>
      </c>
    </row>
    <row r="1072" spans="1:39" x14ac:dyDescent="0.35">
      <c r="A1072" s="56" t="s">
        <v>1140</v>
      </c>
      <c r="B1072" s="31"/>
      <c r="C1072" s="54"/>
      <c r="D1072" s="31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E1072" s="57" t="str">
        <f t="shared" si="51"/>
        <v/>
      </c>
      <c r="AF1072" s="18" t="str">
        <f t="shared" si="52"/>
        <v/>
      </c>
      <c r="AG1072" s="18" t="str">
        <f t="shared" si="53"/>
        <v/>
      </c>
      <c r="AH1072" s="18" t="str">
        <f t="shared" si="54"/>
        <v/>
      </c>
      <c r="AI1072" s="18" t="str">
        <f t="shared" si="55"/>
        <v/>
      </c>
      <c r="AJ1072" s="18" t="str">
        <f t="shared" si="56"/>
        <v/>
      </c>
      <c r="AK1072" s="18" t="str">
        <f t="shared" si="57"/>
        <v/>
      </c>
      <c r="AL1072" s="18" t="str">
        <f t="shared" si="58"/>
        <v/>
      </c>
      <c r="AM1072" s="18" t="str">
        <f t="shared" si="59"/>
        <v/>
      </c>
    </row>
    <row r="1073" spans="1:39" x14ac:dyDescent="0.35">
      <c r="A1073" s="56" t="s">
        <v>1141</v>
      </c>
      <c r="B1073" s="31"/>
      <c r="C1073" s="54"/>
      <c r="D1073" s="31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E1073" s="57" t="str">
        <f t="shared" si="51"/>
        <v/>
      </c>
      <c r="AF1073" s="18" t="str">
        <f t="shared" si="52"/>
        <v/>
      </c>
      <c r="AG1073" s="18" t="str">
        <f t="shared" si="53"/>
        <v/>
      </c>
      <c r="AH1073" s="18" t="str">
        <f t="shared" si="54"/>
        <v/>
      </c>
      <c r="AI1073" s="18" t="str">
        <f t="shared" si="55"/>
        <v/>
      </c>
      <c r="AJ1073" s="18" t="str">
        <f t="shared" si="56"/>
        <v/>
      </c>
      <c r="AK1073" s="18" t="str">
        <f t="shared" si="57"/>
        <v/>
      </c>
      <c r="AL1073" s="18" t="str">
        <f t="shared" si="58"/>
        <v/>
      </c>
      <c r="AM1073" s="18" t="str">
        <f t="shared" si="59"/>
        <v/>
      </c>
    </row>
    <row r="1074" spans="1:39" x14ac:dyDescent="0.35">
      <c r="A1074" s="56" t="s">
        <v>1142</v>
      </c>
      <c r="B1074" s="31"/>
      <c r="C1074" s="54"/>
      <c r="D1074" s="31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E1074" s="57" t="str">
        <f t="shared" si="51"/>
        <v/>
      </c>
      <c r="AF1074" s="18" t="str">
        <f t="shared" si="52"/>
        <v/>
      </c>
      <c r="AG1074" s="18" t="str">
        <f t="shared" si="53"/>
        <v/>
      </c>
      <c r="AH1074" s="18" t="str">
        <f t="shared" si="54"/>
        <v/>
      </c>
      <c r="AI1074" s="18" t="str">
        <f t="shared" si="55"/>
        <v/>
      </c>
      <c r="AJ1074" s="18" t="str">
        <f t="shared" si="56"/>
        <v/>
      </c>
      <c r="AK1074" s="18" t="str">
        <f t="shared" si="57"/>
        <v/>
      </c>
      <c r="AL1074" s="18" t="str">
        <f t="shared" si="58"/>
        <v/>
      </c>
      <c r="AM1074" s="18" t="str">
        <f t="shared" si="59"/>
        <v/>
      </c>
    </row>
    <row r="1075" spans="1:39" x14ac:dyDescent="0.35">
      <c r="A1075" s="56" t="s">
        <v>1143</v>
      </c>
      <c r="B1075" s="31"/>
      <c r="C1075" s="54"/>
      <c r="D1075" s="31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E1075" s="57" t="str">
        <f t="shared" si="51"/>
        <v/>
      </c>
      <c r="AF1075" s="18" t="str">
        <f t="shared" si="52"/>
        <v/>
      </c>
      <c r="AG1075" s="18" t="str">
        <f t="shared" si="53"/>
        <v/>
      </c>
      <c r="AH1075" s="18" t="str">
        <f t="shared" si="54"/>
        <v/>
      </c>
      <c r="AI1075" s="18" t="str">
        <f t="shared" si="55"/>
        <v/>
      </c>
      <c r="AJ1075" s="18" t="str">
        <f t="shared" si="56"/>
        <v/>
      </c>
      <c r="AK1075" s="18" t="str">
        <f t="shared" si="57"/>
        <v/>
      </c>
      <c r="AL1075" s="18" t="str">
        <f t="shared" si="58"/>
        <v/>
      </c>
      <c r="AM1075" s="18" t="str">
        <f t="shared" si="59"/>
        <v/>
      </c>
    </row>
    <row r="1076" spans="1:39" x14ac:dyDescent="0.35">
      <c r="A1076" s="56" t="s">
        <v>1144</v>
      </c>
      <c r="B1076" s="31"/>
      <c r="C1076" s="54"/>
      <c r="D1076" s="31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E1076" s="57" t="str">
        <f t="shared" si="51"/>
        <v/>
      </c>
      <c r="AF1076" s="18" t="str">
        <f t="shared" si="52"/>
        <v/>
      </c>
      <c r="AG1076" s="18" t="str">
        <f t="shared" si="53"/>
        <v/>
      </c>
      <c r="AH1076" s="18" t="str">
        <f t="shared" si="54"/>
        <v/>
      </c>
      <c r="AI1076" s="18" t="str">
        <f t="shared" si="55"/>
        <v/>
      </c>
      <c r="AJ1076" s="18" t="str">
        <f t="shared" si="56"/>
        <v/>
      </c>
      <c r="AK1076" s="18" t="str">
        <f t="shared" si="57"/>
        <v/>
      </c>
      <c r="AL1076" s="18" t="str">
        <f t="shared" si="58"/>
        <v/>
      </c>
      <c r="AM1076" s="18" t="str">
        <f t="shared" si="59"/>
        <v/>
      </c>
    </row>
    <row r="1077" spans="1:39" x14ac:dyDescent="0.35">
      <c r="A1077" s="56" t="s">
        <v>1145</v>
      </c>
      <c r="B1077" s="31"/>
      <c r="C1077" s="54"/>
      <c r="D1077" s="31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E1077" s="57" t="str">
        <f t="shared" si="51"/>
        <v/>
      </c>
      <c r="AF1077" s="18" t="str">
        <f t="shared" si="52"/>
        <v/>
      </c>
      <c r="AG1077" s="18" t="str">
        <f t="shared" si="53"/>
        <v/>
      </c>
      <c r="AH1077" s="18" t="str">
        <f t="shared" si="54"/>
        <v/>
      </c>
      <c r="AI1077" s="18" t="str">
        <f t="shared" si="55"/>
        <v/>
      </c>
      <c r="AJ1077" s="18" t="str">
        <f t="shared" si="56"/>
        <v/>
      </c>
      <c r="AK1077" s="18" t="str">
        <f t="shared" si="57"/>
        <v/>
      </c>
      <c r="AL1077" s="18" t="str">
        <f t="shared" si="58"/>
        <v/>
      </c>
      <c r="AM1077" s="18" t="str">
        <f t="shared" si="59"/>
        <v/>
      </c>
    </row>
    <row r="1078" spans="1:39" x14ac:dyDescent="0.35">
      <c r="A1078" s="56" t="s">
        <v>1146</v>
      </c>
      <c r="B1078" s="31"/>
      <c r="C1078" s="54"/>
      <c r="D1078" s="31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E1078" s="57" t="str">
        <f t="shared" si="51"/>
        <v/>
      </c>
      <c r="AF1078" s="18" t="str">
        <f t="shared" si="52"/>
        <v/>
      </c>
      <c r="AG1078" s="18" t="str">
        <f t="shared" si="53"/>
        <v/>
      </c>
      <c r="AH1078" s="18" t="str">
        <f t="shared" si="54"/>
        <v/>
      </c>
      <c r="AI1078" s="18" t="str">
        <f t="shared" si="55"/>
        <v/>
      </c>
      <c r="AJ1078" s="18" t="str">
        <f t="shared" si="56"/>
        <v/>
      </c>
      <c r="AK1078" s="18" t="str">
        <f t="shared" si="57"/>
        <v/>
      </c>
      <c r="AL1078" s="18" t="str">
        <f t="shared" si="58"/>
        <v/>
      </c>
      <c r="AM1078" s="18" t="str">
        <f t="shared" si="59"/>
        <v/>
      </c>
    </row>
    <row r="1079" spans="1:39" x14ac:dyDescent="0.35">
      <c r="A1079" s="56" t="s">
        <v>1147</v>
      </c>
      <c r="B1079" s="31"/>
      <c r="C1079" s="54"/>
      <c r="D1079" s="31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E1079" s="57" t="str">
        <f t="shared" si="51"/>
        <v/>
      </c>
      <c r="AF1079" s="18" t="str">
        <f t="shared" si="52"/>
        <v/>
      </c>
      <c r="AG1079" s="18" t="str">
        <f t="shared" si="53"/>
        <v/>
      </c>
      <c r="AH1079" s="18" t="str">
        <f t="shared" si="54"/>
        <v/>
      </c>
      <c r="AI1079" s="18" t="str">
        <f t="shared" si="55"/>
        <v/>
      </c>
      <c r="AJ1079" s="18" t="str">
        <f t="shared" si="56"/>
        <v/>
      </c>
      <c r="AK1079" s="18" t="str">
        <f t="shared" si="57"/>
        <v/>
      </c>
      <c r="AL1079" s="18" t="str">
        <f t="shared" si="58"/>
        <v/>
      </c>
      <c r="AM1079" s="18" t="str">
        <f t="shared" si="59"/>
        <v/>
      </c>
    </row>
    <row r="1080" spans="1:39" x14ac:dyDescent="0.35">
      <c r="A1080" s="56" t="s">
        <v>1148</v>
      </c>
      <c r="B1080" s="31"/>
      <c r="C1080" s="54"/>
      <c r="D1080" s="31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E1080" s="57" t="str">
        <f t="shared" si="51"/>
        <v/>
      </c>
      <c r="AF1080" s="18" t="str">
        <f t="shared" si="52"/>
        <v/>
      </c>
      <c r="AG1080" s="18" t="str">
        <f t="shared" si="53"/>
        <v/>
      </c>
      <c r="AH1080" s="18" t="str">
        <f t="shared" si="54"/>
        <v/>
      </c>
      <c r="AI1080" s="18" t="str">
        <f t="shared" si="55"/>
        <v/>
      </c>
      <c r="AJ1080" s="18" t="str">
        <f t="shared" si="56"/>
        <v/>
      </c>
      <c r="AK1080" s="18" t="str">
        <f t="shared" si="57"/>
        <v/>
      </c>
      <c r="AL1080" s="18" t="str">
        <f t="shared" si="58"/>
        <v/>
      </c>
      <c r="AM1080" s="18" t="str">
        <f t="shared" si="59"/>
        <v/>
      </c>
    </row>
    <row r="1081" spans="1:39" x14ac:dyDescent="0.35">
      <c r="A1081" s="56" t="s">
        <v>1149</v>
      </c>
      <c r="B1081" s="31"/>
      <c r="C1081" s="54"/>
      <c r="D1081" s="31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E1081" s="57" t="str">
        <f t="shared" si="51"/>
        <v/>
      </c>
      <c r="AF1081" s="18" t="str">
        <f t="shared" si="52"/>
        <v/>
      </c>
      <c r="AG1081" s="18" t="str">
        <f t="shared" si="53"/>
        <v/>
      </c>
      <c r="AH1081" s="18" t="str">
        <f t="shared" si="54"/>
        <v/>
      </c>
      <c r="AI1081" s="18" t="str">
        <f t="shared" si="55"/>
        <v/>
      </c>
      <c r="AJ1081" s="18" t="str">
        <f t="shared" si="56"/>
        <v/>
      </c>
      <c r="AK1081" s="18" t="str">
        <f t="shared" si="57"/>
        <v/>
      </c>
      <c r="AL1081" s="18" t="str">
        <f t="shared" si="58"/>
        <v/>
      </c>
      <c r="AM1081" s="18" t="str">
        <f t="shared" si="59"/>
        <v/>
      </c>
    </row>
    <row r="1082" spans="1:39" x14ac:dyDescent="0.35">
      <c r="A1082" s="56" t="s">
        <v>1150</v>
      </c>
      <c r="B1082" s="31"/>
      <c r="C1082" s="54"/>
      <c r="D1082" s="31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E1082" s="57" t="str">
        <f t="shared" si="51"/>
        <v/>
      </c>
      <c r="AF1082" s="18" t="str">
        <f t="shared" si="52"/>
        <v/>
      </c>
      <c r="AG1082" s="18" t="str">
        <f t="shared" si="53"/>
        <v/>
      </c>
      <c r="AH1082" s="18" t="str">
        <f t="shared" si="54"/>
        <v/>
      </c>
      <c r="AI1082" s="18" t="str">
        <f t="shared" si="55"/>
        <v/>
      </c>
      <c r="AJ1082" s="18" t="str">
        <f t="shared" si="56"/>
        <v/>
      </c>
      <c r="AK1082" s="18" t="str">
        <f t="shared" si="57"/>
        <v/>
      </c>
      <c r="AL1082" s="18" t="str">
        <f t="shared" si="58"/>
        <v/>
      </c>
      <c r="AM1082" s="18" t="str">
        <f t="shared" si="59"/>
        <v/>
      </c>
    </row>
    <row r="1083" spans="1:39" x14ac:dyDescent="0.35">
      <c r="A1083" s="56" t="s">
        <v>1151</v>
      </c>
      <c r="B1083" s="31"/>
      <c r="C1083" s="54"/>
      <c r="D1083" s="31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E1083" s="57" t="str">
        <f t="shared" si="51"/>
        <v/>
      </c>
      <c r="AF1083" s="18" t="str">
        <f t="shared" si="52"/>
        <v/>
      </c>
      <c r="AG1083" s="18" t="str">
        <f t="shared" si="53"/>
        <v/>
      </c>
      <c r="AH1083" s="18" t="str">
        <f t="shared" si="54"/>
        <v/>
      </c>
      <c r="AI1083" s="18" t="str">
        <f t="shared" si="55"/>
        <v/>
      </c>
      <c r="AJ1083" s="18" t="str">
        <f t="shared" si="56"/>
        <v/>
      </c>
      <c r="AK1083" s="18" t="str">
        <f t="shared" si="57"/>
        <v/>
      </c>
      <c r="AL1083" s="18" t="str">
        <f t="shared" si="58"/>
        <v/>
      </c>
      <c r="AM1083" s="18" t="str">
        <f t="shared" si="59"/>
        <v/>
      </c>
    </row>
    <row r="1084" spans="1:39" x14ac:dyDescent="0.35">
      <c r="A1084" s="56" t="s">
        <v>1152</v>
      </c>
      <c r="B1084" s="31"/>
      <c r="C1084" s="54"/>
      <c r="D1084" s="31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E1084" s="57" t="str">
        <f t="shared" si="51"/>
        <v/>
      </c>
      <c r="AF1084" s="18" t="str">
        <f t="shared" si="52"/>
        <v/>
      </c>
      <c r="AG1084" s="18" t="str">
        <f t="shared" si="53"/>
        <v/>
      </c>
      <c r="AH1084" s="18" t="str">
        <f t="shared" si="54"/>
        <v/>
      </c>
      <c r="AI1084" s="18" t="str">
        <f t="shared" si="55"/>
        <v/>
      </c>
      <c r="AJ1084" s="18" t="str">
        <f t="shared" si="56"/>
        <v/>
      </c>
      <c r="AK1084" s="18" t="str">
        <f t="shared" si="57"/>
        <v/>
      </c>
      <c r="AL1084" s="18" t="str">
        <f t="shared" si="58"/>
        <v/>
      </c>
      <c r="AM1084" s="18" t="str">
        <f t="shared" si="59"/>
        <v/>
      </c>
    </row>
    <row r="1085" spans="1:39" x14ac:dyDescent="0.35">
      <c r="A1085" s="56" t="s">
        <v>1153</v>
      </c>
      <c r="B1085" s="31"/>
      <c r="C1085" s="54"/>
      <c r="D1085" s="31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E1085" s="57" t="str">
        <f t="shared" si="51"/>
        <v/>
      </c>
      <c r="AF1085" s="18" t="str">
        <f t="shared" si="52"/>
        <v/>
      </c>
      <c r="AG1085" s="18" t="str">
        <f t="shared" si="53"/>
        <v/>
      </c>
      <c r="AH1085" s="18" t="str">
        <f t="shared" si="54"/>
        <v/>
      </c>
      <c r="AI1085" s="18" t="str">
        <f t="shared" si="55"/>
        <v/>
      </c>
      <c r="AJ1085" s="18" t="str">
        <f t="shared" si="56"/>
        <v/>
      </c>
      <c r="AK1085" s="18" t="str">
        <f t="shared" si="57"/>
        <v/>
      </c>
      <c r="AL1085" s="18" t="str">
        <f t="shared" si="58"/>
        <v/>
      </c>
      <c r="AM1085" s="18" t="str">
        <f t="shared" si="59"/>
        <v/>
      </c>
    </row>
    <row r="1086" spans="1:39" x14ac:dyDescent="0.35">
      <c r="A1086" s="56" t="s">
        <v>1154</v>
      </c>
      <c r="B1086" s="31"/>
      <c r="C1086" s="54"/>
      <c r="D1086" s="31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E1086" s="57" t="str">
        <f t="shared" si="51"/>
        <v/>
      </c>
      <c r="AF1086" s="18" t="str">
        <f t="shared" si="52"/>
        <v/>
      </c>
      <c r="AG1086" s="18" t="str">
        <f t="shared" si="53"/>
        <v/>
      </c>
      <c r="AH1086" s="18" t="str">
        <f t="shared" si="54"/>
        <v/>
      </c>
      <c r="AI1086" s="18" t="str">
        <f t="shared" si="55"/>
        <v/>
      </c>
      <c r="AJ1086" s="18" t="str">
        <f t="shared" si="56"/>
        <v/>
      </c>
      <c r="AK1086" s="18" t="str">
        <f t="shared" si="57"/>
        <v/>
      </c>
      <c r="AL1086" s="18" t="str">
        <f t="shared" si="58"/>
        <v/>
      </c>
      <c r="AM1086" s="18" t="str">
        <f t="shared" si="59"/>
        <v/>
      </c>
    </row>
    <row r="1087" spans="1:39" x14ac:dyDescent="0.35">
      <c r="A1087" s="56" t="s">
        <v>1155</v>
      </c>
      <c r="B1087" s="31"/>
      <c r="C1087" s="54"/>
      <c r="D1087" s="31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E1087" s="57" t="str">
        <f t="shared" si="51"/>
        <v/>
      </c>
      <c r="AF1087" s="18" t="str">
        <f t="shared" si="52"/>
        <v/>
      </c>
      <c r="AG1087" s="18" t="str">
        <f t="shared" si="53"/>
        <v/>
      </c>
      <c r="AH1087" s="18" t="str">
        <f t="shared" si="54"/>
        <v/>
      </c>
      <c r="AI1087" s="18" t="str">
        <f t="shared" si="55"/>
        <v/>
      </c>
      <c r="AJ1087" s="18" t="str">
        <f t="shared" si="56"/>
        <v/>
      </c>
      <c r="AK1087" s="18" t="str">
        <f t="shared" si="57"/>
        <v/>
      </c>
      <c r="AL1087" s="18" t="str">
        <f t="shared" si="58"/>
        <v/>
      </c>
      <c r="AM1087" s="18" t="str">
        <f t="shared" si="59"/>
        <v/>
      </c>
    </row>
    <row r="1088" spans="1:39" x14ac:dyDescent="0.35">
      <c r="A1088" s="56" t="s">
        <v>1156</v>
      </c>
      <c r="B1088" s="31"/>
      <c r="C1088" s="54"/>
      <c r="D1088" s="31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E1088" s="57" t="str">
        <f t="shared" si="51"/>
        <v/>
      </c>
      <c r="AF1088" s="18" t="str">
        <f t="shared" si="52"/>
        <v/>
      </c>
      <c r="AG1088" s="18" t="str">
        <f t="shared" si="53"/>
        <v/>
      </c>
      <c r="AH1088" s="18" t="str">
        <f t="shared" si="54"/>
        <v/>
      </c>
      <c r="AI1088" s="18" t="str">
        <f t="shared" si="55"/>
        <v/>
      </c>
      <c r="AJ1088" s="18" t="str">
        <f t="shared" si="56"/>
        <v/>
      </c>
      <c r="AK1088" s="18" t="str">
        <f t="shared" si="57"/>
        <v/>
      </c>
      <c r="AL1088" s="18" t="str">
        <f t="shared" si="58"/>
        <v/>
      </c>
      <c r="AM1088" s="18" t="str">
        <f t="shared" si="59"/>
        <v/>
      </c>
    </row>
    <row r="1089" spans="1:39" x14ac:dyDescent="0.35">
      <c r="A1089" s="56" t="s">
        <v>1157</v>
      </c>
      <c r="B1089" s="31"/>
      <c r="C1089" s="54"/>
      <c r="D1089" s="31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E1089" s="57" t="str">
        <f t="shared" si="51"/>
        <v/>
      </c>
      <c r="AF1089" s="18" t="str">
        <f t="shared" si="52"/>
        <v/>
      </c>
      <c r="AG1089" s="18" t="str">
        <f t="shared" si="53"/>
        <v/>
      </c>
      <c r="AH1089" s="18" t="str">
        <f t="shared" si="54"/>
        <v/>
      </c>
      <c r="AI1089" s="18" t="str">
        <f t="shared" si="55"/>
        <v/>
      </c>
      <c r="AJ1089" s="18" t="str">
        <f t="shared" si="56"/>
        <v/>
      </c>
      <c r="AK1089" s="18" t="str">
        <f t="shared" si="57"/>
        <v/>
      </c>
      <c r="AL1089" s="18" t="str">
        <f t="shared" si="58"/>
        <v/>
      </c>
      <c r="AM1089" s="18" t="str">
        <f t="shared" si="59"/>
        <v/>
      </c>
    </row>
    <row r="1090" spans="1:39" x14ac:dyDescent="0.35">
      <c r="A1090" s="56" t="s">
        <v>1158</v>
      </c>
      <c r="B1090" s="31"/>
      <c r="C1090" s="54"/>
      <c r="D1090" s="31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E1090" s="57" t="str">
        <f t="shared" si="51"/>
        <v/>
      </c>
      <c r="AF1090" s="18" t="str">
        <f t="shared" si="52"/>
        <v/>
      </c>
      <c r="AG1090" s="18" t="str">
        <f t="shared" si="53"/>
        <v/>
      </c>
      <c r="AH1090" s="18" t="str">
        <f t="shared" si="54"/>
        <v/>
      </c>
      <c r="AI1090" s="18" t="str">
        <f t="shared" si="55"/>
        <v/>
      </c>
      <c r="AJ1090" s="18" t="str">
        <f t="shared" si="56"/>
        <v/>
      </c>
      <c r="AK1090" s="18" t="str">
        <f t="shared" si="57"/>
        <v/>
      </c>
      <c r="AL1090" s="18" t="str">
        <f t="shared" si="58"/>
        <v/>
      </c>
      <c r="AM1090" s="18" t="str">
        <f t="shared" si="59"/>
        <v/>
      </c>
    </row>
    <row r="1091" spans="1:39" x14ac:dyDescent="0.35">
      <c r="A1091" s="56" t="s">
        <v>1159</v>
      </c>
      <c r="B1091" s="31"/>
      <c r="C1091" s="54"/>
      <c r="D1091" s="31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E1091" s="57" t="str">
        <f t="shared" ref="AE1091:AE1154" si="60">IFERROR(VLOOKUP(AD1091,$A$2:$AA$2000,2,0),"")</f>
        <v/>
      </c>
      <c r="AF1091" s="18" t="str">
        <f t="shared" ref="AF1091:AF1154" si="61">IFERROR(VLOOKUP(AD1091,$A$2:$AA$2000,22,0),"")</f>
        <v/>
      </c>
      <c r="AG1091" s="18" t="str">
        <f t="shared" ref="AG1091:AG1154" si="62">IFERROR(VLOOKUP(AD1091,$A$2:$AA$2000,18,0),"")</f>
        <v/>
      </c>
      <c r="AH1091" s="18" t="str">
        <f t="shared" ref="AH1091:AH1154" si="63">IFERROR(VLOOKUP(AD1091,$A$2:$AA$2000,17,0),"")</f>
        <v/>
      </c>
      <c r="AI1091" s="18" t="str">
        <f t="shared" ref="AI1091:AI1154" si="64">IFERROR(VLOOKUP(AD1091,$A$2:$AA$2000,20,0),"")</f>
        <v/>
      </c>
      <c r="AJ1091" s="18" t="str">
        <f t="shared" ref="AJ1091:AJ1154" si="65">IFERROR(VLOOKUP(AD1091,$A$2:$AA$2000,9,0),"")</f>
        <v/>
      </c>
      <c r="AK1091" s="18" t="str">
        <f t="shared" ref="AK1091:AK1154" si="66">IFERROR(VLOOKUP(AD1091,$A$2:$AA$2000,5,0),"")</f>
        <v/>
      </c>
      <c r="AL1091" s="18" t="str">
        <f t="shared" ref="AL1091:AL1154" si="67">IFERROR(VLOOKUP(AD1091,$A$2:$AA$2000,4,0),"")</f>
        <v/>
      </c>
      <c r="AM1091" s="18" t="str">
        <f t="shared" ref="AM1091:AM1154" si="68">IFERROR(VLOOKUP(AD1091,$A$2:$AA$2000,7,0),"")</f>
        <v/>
      </c>
    </row>
    <row r="1092" spans="1:39" x14ac:dyDescent="0.35">
      <c r="A1092" s="56" t="s">
        <v>1160</v>
      </c>
      <c r="B1092" s="31"/>
      <c r="C1092" s="54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E1092" s="57" t="str">
        <f t="shared" si="60"/>
        <v/>
      </c>
      <c r="AF1092" s="18" t="str">
        <f t="shared" si="61"/>
        <v/>
      </c>
      <c r="AG1092" s="18" t="str">
        <f t="shared" si="62"/>
        <v/>
      </c>
      <c r="AH1092" s="18" t="str">
        <f t="shared" si="63"/>
        <v/>
      </c>
      <c r="AI1092" s="18" t="str">
        <f t="shared" si="64"/>
        <v/>
      </c>
      <c r="AJ1092" s="18" t="str">
        <f t="shared" si="65"/>
        <v/>
      </c>
      <c r="AK1092" s="18" t="str">
        <f t="shared" si="66"/>
        <v/>
      </c>
      <c r="AL1092" s="18" t="str">
        <f t="shared" si="67"/>
        <v/>
      </c>
      <c r="AM1092" s="18" t="str">
        <f t="shared" si="68"/>
        <v/>
      </c>
    </row>
    <row r="1093" spans="1:39" x14ac:dyDescent="0.35">
      <c r="A1093" s="56" t="s">
        <v>1161</v>
      </c>
      <c r="B1093" s="31"/>
      <c r="C1093" s="54"/>
      <c r="D1093" s="31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E1093" s="57" t="str">
        <f t="shared" si="60"/>
        <v/>
      </c>
      <c r="AF1093" s="18" t="str">
        <f t="shared" si="61"/>
        <v/>
      </c>
      <c r="AG1093" s="18" t="str">
        <f t="shared" si="62"/>
        <v/>
      </c>
      <c r="AH1093" s="18" t="str">
        <f t="shared" si="63"/>
        <v/>
      </c>
      <c r="AI1093" s="18" t="str">
        <f t="shared" si="64"/>
        <v/>
      </c>
      <c r="AJ1093" s="18" t="str">
        <f t="shared" si="65"/>
        <v/>
      </c>
      <c r="AK1093" s="18" t="str">
        <f t="shared" si="66"/>
        <v/>
      </c>
      <c r="AL1093" s="18" t="str">
        <f t="shared" si="67"/>
        <v/>
      </c>
      <c r="AM1093" s="18" t="str">
        <f t="shared" si="68"/>
        <v/>
      </c>
    </row>
    <row r="1094" spans="1:39" x14ac:dyDescent="0.35">
      <c r="A1094" s="56" t="s">
        <v>1162</v>
      </c>
      <c r="B1094" s="31"/>
      <c r="C1094" s="54"/>
      <c r="D1094" s="31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E1094" s="57" t="str">
        <f t="shared" si="60"/>
        <v/>
      </c>
      <c r="AF1094" s="18" t="str">
        <f t="shared" si="61"/>
        <v/>
      </c>
      <c r="AG1094" s="18" t="str">
        <f t="shared" si="62"/>
        <v/>
      </c>
      <c r="AH1094" s="18" t="str">
        <f t="shared" si="63"/>
        <v/>
      </c>
      <c r="AI1094" s="18" t="str">
        <f t="shared" si="64"/>
        <v/>
      </c>
      <c r="AJ1094" s="18" t="str">
        <f t="shared" si="65"/>
        <v/>
      </c>
      <c r="AK1094" s="18" t="str">
        <f t="shared" si="66"/>
        <v/>
      </c>
      <c r="AL1094" s="18" t="str">
        <f t="shared" si="67"/>
        <v/>
      </c>
      <c r="AM1094" s="18" t="str">
        <f t="shared" si="68"/>
        <v/>
      </c>
    </row>
    <row r="1095" spans="1:39" x14ac:dyDescent="0.35">
      <c r="A1095" s="56" t="s">
        <v>1163</v>
      </c>
      <c r="B1095" s="31"/>
      <c r="C1095" s="54"/>
      <c r="D1095" s="31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E1095" s="57" t="str">
        <f t="shared" si="60"/>
        <v/>
      </c>
      <c r="AF1095" s="18" t="str">
        <f t="shared" si="61"/>
        <v/>
      </c>
      <c r="AG1095" s="18" t="str">
        <f t="shared" si="62"/>
        <v/>
      </c>
      <c r="AH1095" s="18" t="str">
        <f t="shared" si="63"/>
        <v/>
      </c>
      <c r="AI1095" s="18" t="str">
        <f t="shared" si="64"/>
        <v/>
      </c>
      <c r="AJ1095" s="18" t="str">
        <f t="shared" si="65"/>
        <v/>
      </c>
      <c r="AK1095" s="18" t="str">
        <f t="shared" si="66"/>
        <v/>
      </c>
      <c r="AL1095" s="18" t="str">
        <f t="shared" si="67"/>
        <v/>
      </c>
      <c r="AM1095" s="18" t="str">
        <f t="shared" si="68"/>
        <v/>
      </c>
    </row>
    <row r="1096" spans="1:39" x14ac:dyDescent="0.35">
      <c r="A1096" s="56" t="s">
        <v>1164</v>
      </c>
      <c r="B1096" s="31"/>
      <c r="C1096" s="54"/>
      <c r="D1096" s="31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E1096" s="57" t="str">
        <f t="shared" si="60"/>
        <v/>
      </c>
      <c r="AF1096" s="18" t="str">
        <f t="shared" si="61"/>
        <v/>
      </c>
      <c r="AG1096" s="18" t="str">
        <f t="shared" si="62"/>
        <v/>
      </c>
      <c r="AH1096" s="18" t="str">
        <f t="shared" si="63"/>
        <v/>
      </c>
      <c r="AI1096" s="18" t="str">
        <f t="shared" si="64"/>
        <v/>
      </c>
      <c r="AJ1096" s="18" t="str">
        <f t="shared" si="65"/>
        <v/>
      </c>
      <c r="AK1096" s="18" t="str">
        <f t="shared" si="66"/>
        <v/>
      </c>
      <c r="AL1096" s="18" t="str">
        <f t="shared" si="67"/>
        <v/>
      </c>
      <c r="AM1096" s="18" t="str">
        <f t="shared" si="68"/>
        <v/>
      </c>
    </row>
    <row r="1097" spans="1:39" x14ac:dyDescent="0.35">
      <c r="A1097" s="56" t="s">
        <v>1165</v>
      </c>
      <c r="B1097" s="31"/>
      <c r="C1097" s="54"/>
      <c r="D1097" s="31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E1097" s="57" t="str">
        <f t="shared" si="60"/>
        <v/>
      </c>
      <c r="AF1097" s="18" t="str">
        <f t="shared" si="61"/>
        <v/>
      </c>
      <c r="AG1097" s="18" t="str">
        <f t="shared" si="62"/>
        <v/>
      </c>
      <c r="AH1097" s="18" t="str">
        <f t="shared" si="63"/>
        <v/>
      </c>
      <c r="AI1097" s="18" t="str">
        <f t="shared" si="64"/>
        <v/>
      </c>
      <c r="AJ1097" s="18" t="str">
        <f t="shared" si="65"/>
        <v/>
      </c>
      <c r="AK1097" s="18" t="str">
        <f t="shared" si="66"/>
        <v/>
      </c>
      <c r="AL1097" s="18" t="str">
        <f t="shared" si="67"/>
        <v/>
      </c>
      <c r="AM1097" s="18" t="str">
        <f t="shared" si="68"/>
        <v/>
      </c>
    </row>
    <row r="1098" spans="1:39" x14ac:dyDescent="0.35">
      <c r="A1098" s="56" t="s">
        <v>1166</v>
      </c>
      <c r="B1098" s="31"/>
      <c r="C1098" s="54"/>
      <c r="D1098" s="31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E1098" s="57" t="str">
        <f t="shared" si="60"/>
        <v/>
      </c>
      <c r="AF1098" s="18" t="str">
        <f t="shared" si="61"/>
        <v/>
      </c>
      <c r="AG1098" s="18" t="str">
        <f t="shared" si="62"/>
        <v/>
      </c>
      <c r="AH1098" s="18" t="str">
        <f t="shared" si="63"/>
        <v/>
      </c>
      <c r="AI1098" s="18" t="str">
        <f t="shared" si="64"/>
        <v/>
      </c>
      <c r="AJ1098" s="18" t="str">
        <f t="shared" si="65"/>
        <v/>
      </c>
      <c r="AK1098" s="18" t="str">
        <f t="shared" si="66"/>
        <v/>
      </c>
      <c r="AL1098" s="18" t="str">
        <f t="shared" si="67"/>
        <v/>
      </c>
      <c r="AM1098" s="18" t="str">
        <f t="shared" si="68"/>
        <v/>
      </c>
    </row>
    <row r="1099" spans="1:39" x14ac:dyDescent="0.35">
      <c r="A1099" s="56" t="s">
        <v>1167</v>
      </c>
      <c r="B1099" s="31"/>
      <c r="C1099" s="54"/>
      <c r="D1099" s="31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E1099" s="57" t="str">
        <f t="shared" si="60"/>
        <v/>
      </c>
      <c r="AF1099" s="18" t="str">
        <f t="shared" si="61"/>
        <v/>
      </c>
      <c r="AG1099" s="18" t="str">
        <f t="shared" si="62"/>
        <v/>
      </c>
      <c r="AH1099" s="18" t="str">
        <f t="shared" si="63"/>
        <v/>
      </c>
      <c r="AI1099" s="18" t="str">
        <f t="shared" si="64"/>
        <v/>
      </c>
      <c r="AJ1099" s="18" t="str">
        <f t="shared" si="65"/>
        <v/>
      </c>
      <c r="AK1099" s="18" t="str">
        <f t="shared" si="66"/>
        <v/>
      </c>
      <c r="AL1099" s="18" t="str">
        <f t="shared" si="67"/>
        <v/>
      </c>
      <c r="AM1099" s="18" t="str">
        <f t="shared" si="68"/>
        <v/>
      </c>
    </row>
    <row r="1100" spans="1:39" x14ac:dyDescent="0.35">
      <c r="A1100" s="56" t="s">
        <v>1168</v>
      </c>
      <c r="B1100" s="31"/>
      <c r="C1100" s="54"/>
      <c r="D1100" s="31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E1100" s="57" t="str">
        <f t="shared" si="60"/>
        <v/>
      </c>
      <c r="AF1100" s="18" t="str">
        <f t="shared" si="61"/>
        <v/>
      </c>
      <c r="AG1100" s="18" t="str">
        <f t="shared" si="62"/>
        <v/>
      </c>
      <c r="AH1100" s="18" t="str">
        <f t="shared" si="63"/>
        <v/>
      </c>
      <c r="AI1100" s="18" t="str">
        <f t="shared" si="64"/>
        <v/>
      </c>
      <c r="AJ1100" s="18" t="str">
        <f t="shared" si="65"/>
        <v/>
      </c>
      <c r="AK1100" s="18" t="str">
        <f t="shared" si="66"/>
        <v/>
      </c>
      <c r="AL1100" s="18" t="str">
        <f t="shared" si="67"/>
        <v/>
      </c>
      <c r="AM1100" s="18" t="str">
        <f t="shared" si="68"/>
        <v/>
      </c>
    </row>
    <row r="1101" spans="1:39" x14ac:dyDescent="0.35">
      <c r="A1101" s="56" t="s">
        <v>1169</v>
      </c>
      <c r="B1101" s="31"/>
      <c r="C1101" s="54"/>
      <c r="D1101" s="31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E1101" s="57" t="str">
        <f t="shared" si="60"/>
        <v/>
      </c>
      <c r="AF1101" s="18" t="str">
        <f t="shared" si="61"/>
        <v/>
      </c>
      <c r="AG1101" s="18" t="str">
        <f t="shared" si="62"/>
        <v/>
      </c>
      <c r="AH1101" s="18" t="str">
        <f t="shared" si="63"/>
        <v/>
      </c>
      <c r="AI1101" s="18" t="str">
        <f t="shared" si="64"/>
        <v/>
      </c>
      <c r="AJ1101" s="18" t="str">
        <f t="shared" si="65"/>
        <v/>
      </c>
      <c r="AK1101" s="18" t="str">
        <f t="shared" si="66"/>
        <v/>
      </c>
      <c r="AL1101" s="18" t="str">
        <f t="shared" si="67"/>
        <v/>
      </c>
      <c r="AM1101" s="18" t="str">
        <f t="shared" si="68"/>
        <v/>
      </c>
    </row>
    <row r="1102" spans="1:39" x14ac:dyDescent="0.35">
      <c r="A1102" s="56" t="s">
        <v>1170</v>
      </c>
      <c r="B1102" s="31"/>
      <c r="C1102" s="54"/>
      <c r="D1102" s="31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E1102" s="57" t="str">
        <f t="shared" si="60"/>
        <v/>
      </c>
      <c r="AF1102" s="18" t="str">
        <f t="shared" si="61"/>
        <v/>
      </c>
      <c r="AG1102" s="18" t="str">
        <f t="shared" si="62"/>
        <v/>
      </c>
      <c r="AH1102" s="18" t="str">
        <f t="shared" si="63"/>
        <v/>
      </c>
      <c r="AI1102" s="18" t="str">
        <f t="shared" si="64"/>
        <v/>
      </c>
      <c r="AJ1102" s="18" t="str">
        <f t="shared" si="65"/>
        <v/>
      </c>
      <c r="AK1102" s="18" t="str">
        <f t="shared" si="66"/>
        <v/>
      </c>
      <c r="AL1102" s="18" t="str">
        <f t="shared" si="67"/>
        <v/>
      </c>
      <c r="AM1102" s="18" t="str">
        <f t="shared" si="68"/>
        <v/>
      </c>
    </row>
    <row r="1103" spans="1:39" x14ac:dyDescent="0.35">
      <c r="A1103" s="56" t="s">
        <v>1171</v>
      </c>
      <c r="B1103" s="31"/>
      <c r="C1103" s="54"/>
      <c r="D1103" s="31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E1103" s="57" t="str">
        <f t="shared" si="60"/>
        <v/>
      </c>
      <c r="AF1103" s="18" t="str">
        <f t="shared" si="61"/>
        <v/>
      </c>
      <c r="AG1103" s="18" t="str">
        <f t="shared" si="62"/>
        <v/>
      </c>
      <c r="AH1103" s="18" t="str">
        <f t="shared" si="63"/>
        <v/>
      </c>
      <c r="AI1103" s="18" t="str">
        <f t="shared" si="64"/>
        <v/>
      </c>
      <c r="AJ1103" s="18" t="str">
        <f t="shared" si="65"/>
        <v/>
      </c>
      <c r="AK1103" s="18" t="str">
        <f t="shared" si="66"/>
        <v/>
      </c>
      <c r="AL1103" s="18" t="str">
        <f t="shared" si="67"/>
        <v/>
      </c>
      <c r="AM1103" s="18" t="str">
        <f t="shared" si="68"/>
        <v/>
      </c>
    </row>
    <row r="1104" spans="1:39" x14ac:dyDescent="0.35">
      <c r="A1104" s="56" t="s">
        <v>1172</v>
      </c>
      <c r="B1104" s="31"/>
      <c r="C1104" s="54"/>
      <c r="D1104" s="31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E1104" s="57" t="str">
        <f t="shared" si="60"/>
        <v/>
      </c>
      <c r="AF1104" s="18" t="str">
        <f t="shared" si="61"/>
        <v/>
      </c>
      <c r="AG1104" s="18" t="str">
        <f t="shared" si="62"/>
        <v/>
      </c>
      <c r="AH1104" s="18" t="str">
        <f t="shared" si="63"/>
        <v/>
      </c>
      <c r="AI1104" s="18" t="str">
        <f t="shared" si="64"/>
        <v/>
      </c>
      <c r="AJ1104" s="18" t="str">
        <f t="shared" si="65"/>
        <v/>
      </c>
      <c r="AK1104" s="18" t="str">
        <f t="shared" si="66"/>
        <v/>
      </c>
      <c r="AL1104" s="18" t="str">
        <f t="shared" si="67"/>
        <v/>
      </c>
      <c r="AM1104" s="18" t="str">
        <f t="shared" si="68"/>
        <v/>
      </c>
    </row>
    <row r="1105" spans="1:39" x14ac:dyDescent="0.35">
      <c r="A1105" s="56" t="s">
        <v>1173</v>
      </c>
      <c r="B1105" s="31"/>
      <c r="C1105" s="54"/>
      <c r="D1105" s="31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E1105" s="57" t="str">
        <f t="shared" si="60"/>
        <v/>
      </c>
      <c r="AF1105" s="18" t="str">
        <f t="shared" si="61"/>
        <v/>
      </c>
      <c r="AG1105" s="18" t="str">
        <f t="shared" si="62"/>
        <v/>
      </c>
      <c r="AH1105" s="18" t="str">
        <f t="shared" si="63"/>
        <v/>
      </c>
      <c r="AI1105" s="18" t="str">
        <f t="shared" si="64"/>
        <v/>
      </c>
      <c r="AJ1105" s="18" t="str">
        <f t="shared" si="65"/>
        <v/>
      </c>
      <c r="AK1105" s="18" t="str">
        <f t="shared" si="66"/>
        <v/>
      </c>
      <c r="AL1105" s="18" t="str">
        <f t="shared" si="67"/>
        <v/>
      </c>
      <c r="AM1105" s="18" t="str">
        <f t="shared" si="68"/>
        <v/>
      </c>
    </row>
    <row r="1106" spans="1:39" x14ac:dyDescent="0.35">
      <c r="A1106" s="56" t="s">
        <v>1174</v>
      </c>
      <c r="B1106" s="31"/>
      <c r="C1106" s="54"/>
      <c r="D1106" s="31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E1106" s="57" t="str">
        <f t="shared" si="60"/>
        <v/>
      </c>
      <c r="AF1106" s="18" t="str">
        <f t="shared" si="61"/>
        <v/>
      </c>
      <c r="AG1106" s="18" t="str">
        <f t="shared" si="62"/>
        <v/>
      </c>
      <c r="AH1106" s="18" t="str">
        <f t="shared" si="63"/>
        <v/>
      </c>
      <c r="AI1106" s="18" t="str">
        <f t="shared" si="64"/>
        <v/>
      </c>
      <c r="AJ1106" s="18" t="str">
        <f t="shared" si="65"/>
        <v/>
      </c>
      <c r="AK1106" s="18" t="str">
        <f t="shared" si="66"/>
        <v/>
      </c>
      <c r="AL1106" s="18" t="str">
        <f t="shared" si="67"/>
        <v/>
      </c>
      <c r="AM1106" s="18" t="str">
        <f t="shared" si="68"/>
        <v/>
      </c>
    </row>
    <row r="1107" spans="1:39" x14ac:dyDescent="0.35">
      <c r="A1107" s="56" t="s">
        <v>1175</v>
      </c>
      <c r="B1107" s="31"/>
      <c r="C1107" s="54"/>
      <c r="D1107" s="31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E1107" s="57" t="str">
        <f t="shared" si="60"/>
        <v/>
      </c>
      <c r="AF1107" s="18" t="str">
        <f t="shared" si="61"/>
        <v/>
      </c>
      <c r="AG1107" s="18" t="str">
        <f t="shared" si="62"/>
        <v/>
      </c>
      <c r="AH1107" s="18" t="str">
        <f t="shared" si="63"/>
        <v/>
      </c>
      <c r="AI1107" s="18" t="str">
        <f t="shared" si="64"/>
        <v/>
      </c>
      <c r="AJ1107" s="18" t="str">
        <f t="shared" si="65"/>
        <v/>
      </c>
      <c r="AK1107" s="18" t="str">
        <f t="shared" si="66"/>
        <v/>
      </c>
      <c r="AL1107" s="18" t="str">
        <f t="shared" si="67"/>
        <v/>
      </c>
      <c r="AM1107" s="18" t="str">
        <f t="shared" si="68"/>
        <v/>
      </c>
    </row>
    <row r="1108" spans="1:39" x14ac:dyDescent="0.35">
      <c r="A1108" s="56" t="s">
        <v>1176</v>
      </c>
      <c r="B1108" s="31"/>
      <c r="C1108" s="54"/>
      <c r="D1108" s="31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E1108" s="57" t="str">
        <f t="shared" si="60"/>
        <v/>
      </c>
      <c r="AF1108" s="18" t="str">
        <f t="shared" si="61"/>
        <v/>
      </c>
      <c r="AG1108" s="18" t="str">
        <f t="shared" si="62"/>
        <v/>
      </c>
      <c r="AH1108" s="18" t="str">
        <f t="shared" si="63"/>
        <v/>
      </c>
      <c r="AI1108" s="18" t="str">
        <f t="shared" si="64"/>
        <v/>
      </c>
      <c r="AJ1108" s="18" t="str">
        <f t="shared" si="65"/>
        <v/>
      </c>
      <c r="AK1108" s="18" t="str">
        <f t="shared" si="66"/>
        <v/>
      </c>
      <c r="AL1108" s="18" t="str">
        <f t="shared" si="67"/>
        <v/>
      </c>
      <c r="AM1108" s="18" t="str">
        <f t="shared" si="68"/>
        <v/>
      </c>
    </row>
    <row r="1109" spans="1:39" x14ac:dyDescent="0.35">
      <c r="A1109" s="56" t="s">
        <v>1177</v>
      </c>
      <c r="B1109" s="31"/>
      <c r="C1109" s="54"/>
      <c r="D1109" s="31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E1109" s="57" t="str">
        <f t="shared" si="60"/>
        <v/>
      </c>
      <c r="AF1109" s="18" t="str">
        <f t="shared" si="61"/>
        <v/>
      </c>
      <c r="AG1109" s="18" t="str">
        <f t="shared" si="62"/>
        <v/>
      </c>
      <c r="AH1109" s="18" t="str">
        <f t="shared" si="63"/>
        <v/>
      </c>
      <c r="AI1109" s="18" t="str">
        <f t="shared" si="64"/>
        <v/>
      </c>
      <c r="AJ1109" s="18" t="str">
        <f t="shared" si="65"/>
        <v/>
      </c>
      <c r="AK1109" s="18" t="str">
        <f t="shared" si="66"/>
        <v/>
      </c>
      <c r="AL1109" s="18" t="str">
        <f t="shared" si="67"/>
        <v/>
      </c>
      <c r="AM1109" s="18" t="str">
        <f t="shared" si="68"/>
        <v/>
      </c>
    </row>
    <row r="1110" spans="1:39" x14ac:dyDescent="0.35">
      <c r="A1110" s="56" t="s">
        <v>1178</v>
      </c>
      <c r="B1110" s="31"/>
      <c r="C1110" s="54"/>
      <c r="D1110" s="31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E1110" s="57" t="str">
        <f t="shared" si="60"/>
        <v/>
      </c>
      <c r="AF1110" s="18" t="str">
        <f t="shared" si="61"/>
        <v/>
      </c>
      <c r="AG1110" s="18" t="str">
        <f t="shared" si="62"/>
        <v/>
      </c>
      <c r="AH1110" s="18" t="str">
        <f t="shared" si="63"/>
        <v/>
      </c>
      <c r="AI1110" s="18" t="str">
        <f t="shared" si="64"/>
        <v/>
      </c>
      <c r="AJ1110" s="18" t="str">
        <f t="shared" si="65"/>
        <v/>
      </c>
      <c r="AK1110" s="18" t="str">
        <f t="shared" si="66"/>
        <v/>
      </c>
      <c r="AL1110" s="18" t="str">
        <f t="shared" si="67"/>
        <v/>
      </c>
      <c r="AM1110" s="18" t="str">
        <f t="shared" si="68"/>
        <v/>
      </c>
    </row>
    <row r="1111" spans="1:39" x14ac:dyDescent="0.35">
      <c r="A1111" s="56" t="s">
        <v>1179</v>
      </c>
      <c r="B1111" s="31"/>
      <c r="C1111" s="54"/>
      <c r="D1111" s="31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E1111" s="57" t="str">
        <f t="shared" si="60"/>
        <v/>
      </c>
      <c r="AF1111" s="18" t="str">
        <f t="shared" si="61"/>
        <v/>
      </c>
      <c r="AG1111" s="18" t="str">
        <f t="shared" si="62"/>
        <v/>
      </c>
      <c r="AH1111" s="18" t="str">
        <f t="shared" si="63"/>
        <v/>
      </c>
      <c r="AI1111" s="18" t="str">
        <f t="shared" si="64"/>
        <v/>
      </c>
      <c r="AJ1111" s="18" t="str">
        <f t="shared" si="65"/>
        <v/>
      </c>
      <c r="AK1111" s="18" t="str">
        <f t="shared" si="66"/>
        <v/>
      </c>
      <c r="AL1111" s="18" t="str">
        <f t="shared" si="67"/>
        <v/>
      </c>
      <c r="AM1111" s="18" t="str">
        <f t="shared" si="68"/>
        <v/>
      </c>
    </row>
    <row r="1112" spans="1:39" x14ac:dyDescent="0.35">
      <c r="A1112" s="56" t="s">
        <v>1180</v>
      </c>
      <c r="B1112" s="31"/>
      <c r="C1112" s="54"/>
      <c r="D1112" s="31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E1112" s="57" t="str">
        <f t="shared" si="60"/>
        <v/>
      </c>
      <c r="AF1112" s="18" t="str">
        <f t="shared" si="61"/>
        <v/>
      </c>
      <c r="AG1112" s="18" t="str">
        <f t="shared" si="62"/>
        <v/>
      </c>
      <c r="AH1112" s="18" t="str">
        <f t="shared" si="63"/>
        <v/>
      </c>
      <c r="AI1112" s="18" t="str">
        <f t="shared" si="64"/>
        <v/>
      </c>
      <c r="AJ1112" s="18" t="str">
        <f t="shared" si="65"/>
        <v/>
      </c>
      <c r="AK1112" s="18" t="str">
        <f t="shared" si="66"/>
        <v/>
      </c>
      <c r="AL1112" s="18" t="str">
        <f t="shared" si="67"/>
        <v/>
      </c>
      <c r="AM1112" s="18" t="str">
        <f t="shared" si="68"/>
        <v/>
      </c>
    </row>
    <row r="1113" spans="1:39" x14ac:dyDescent="0.35">
      <c r="A1113" s="56" t="s">
        <v>1181</v>
      </c>
      <c r="B1113" s="31"/>
      <c r="C1113" s="54"/>
      <c r="D1113" s="31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E1113" s="57" t="str">
        <f t="shared" si="60"/>
        <v/>
      </c>
      <c r="AF1113" s="18" t="str">
        <f t="shared" si="61"/>
        <v/>
      </c>
      <c r="AG1113" s="18" t="str">
        <f t="shared" si="62"/>
        <v/>
      </c>
      <c r="AH1113" s="18" t="str">
        <f t="shared" si="63"/>
        <v/>
      </c>
      <c r="AI1113" s="18" t="str">
        <f t="shared" si="64"/>
        <v/>
      </c>
      <c r="AJ1113" s="18" t="str">
        <f t="shared" si="65"/>
        <v/>
      </c>
      <c r="AK1113" s="18" t="str">
        <f t="shared" si="66"/>
        <v/>
      </c>
      <c r="AL1113" s="18" t="str">
        <f t="shared" si="67"/>
        <v/>
      </c>
      <c r="AM1113" s="18" t="str">
        <f t="shared" si="68"/>
        <v/>
      </c>
    </row>
    <row r="1114" spans="1:39" x14ac:dyDescent="0.35">
      <c r="A1114" s="56" t="s">
        <v>1182</v>
      </c>
      <c r="B1114" s="31"/>
      <c r="C1114" s="54"/>
      <c r="D1114" s="31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E1114" s="57" t="str">
        <f t="shared" si="60"/>
        <v/>
      </c>
      <c r="AF1114" s="18" t="str">
        <f t="shared" si="61"/>
        <v/>
      </c>
      <c r="AG1114" s="18" t="str">
        <f t="shared" si="62"/>
        <v/>
      </c>
      <c r="AH1114" s="18" t="str">
        <f t="shared" si="63"/>
        <v/>
      </c>
      <c r="AI1114" s="18" t="str">
        <f t="shared" si="64"/>
        <v/>
      </c>
      <c r="AJ1114" s="18" t="str">
        <f t="shared" si="65"/>
        <v/>
      </c>
      <c r="AK1114" s="18" t="str">
        <f t="shared" si="66"/>
        <v/>
      </c>
      <c r="AL1114" s="18" t="str">
        <f t="shared" si="67"/>
        <v/>
      </c>
      <c r="AM1114" s="18" t="str">
        <f t="shared" si="68"/>
        <v/>
      </c>
    </row>
    <row r="1115" spans="1:39" x14ac:dyDescent="0.35">
      <c r="A1115" s="56" t="s">
        <v>1183</v>
      </c>
      <c r="B1115" s="31"/>
      <c r="C1115" s="54"/>
      <c r="D1115" s="31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E1115" s="57" t="str">
        <f t="shared" si="60"/>
        <v/>
      </c>
      <c r="AF1115" s="18" t="str">
        <f t="shared" si="61"/>
        <v/>
      </c>
      <c r="AG1115" s="18" t="str">
        <f t="shared" si="62"/>
        <v/>
      </c>
      <c r="AH1115" s="18" t="str">
        <f t="shared" si="63"/>
        <v/>
      </c>
      <c r="AI1115" s="18" t="str">
        <f t="shared" si="64"/>
        <v/>
      </c>
      <c r="AJ1115" s="18" t="str">
        <f t="shared" si="65"/>
        <v/>
      </c>
      <c r="AK1115" s="18" t="str">
        <f t="shared" si="66"/>
        <v/>
      </c>
      <c r="AL1115" s="18" t="str">
        <f t="shared" si="67"/>
        <v/>
      </c>
      <c r="AM1115" s="18" t="str">
        <f t="shared" si="68"/>
        <v/>
      </c>
    </row>
    <row r="1116" spans="1:39" x14ac:dyDescent="0.35">
      <c r="A1116" s="56" t="s">
        <v>1184</v>
      </c>
      <c r="B1116" s="31"/>
      <c r="C1116" s="54"/>
      <c r="D1116" s="31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E1116" s="57" t="str">
        <f t="shared" si="60"/>
        <v/>
      </c>
      <c r="AF1116" s="18" t="str">
        <f t="shared" si="61"/>
        <v/>
      </c>
      <c r="AG1116" s="18" t="str">
        <f t="shared" si="62"/>
        <v/>
      </c>
      <c r="AH1116" s="18" t="str">
        <f t="shared" si="63"/>
        <v/>
      </c>
      <c r="AI1116" s="18" t="str">
        <f t="shared" si="64"/>
        <v/>
      </c>
      <c r="AJ1116" s="18" t="str">
        <f t="shared" si="65"/>
        <v/>
      </c>
      <c r="AK1116" s="18" t="str">
        <f t="shared" si="66"/>
        <v/>
      </c>
      <c r="AL1116" s="18" t="str">
        <f t="shared" si="67"/>
        <v/>
      </c>
      <c r="AM1116" s="18" t="str">
        <f t="shared" si="68"/>
        <v/>
      </c>
    </row>
    <row r="1117" spans="1:39" x14ac:dyDescent="0.35">
      <c r="A1117" s="56" t="s">
        <v>1185</v>
      </c>
      <c r="B1117" s="31"/>
      <c r="C1117" s="54"/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E1117" s="57" t="str">
        <f t="shared" si="60"/>
        <v/>
      </c>
      <c r="AF1117" s="18" t="str">
        <f t="shared" si="61"/>
        <v/>
      </c>
      <c r="AG1117" s="18" t="str">
        <f t="shared" si="62"/>
        <v/>
      </c>
      <c r="AH1117" s="18" t="str">
        <f t="shared" si="63"/>
        <v/>
      </c>
      <c r="AI1117" s="18" t="str">
        <f t="shared" si="64"/>
        <v/>
      </c>
      <c r="AJ1117" s="18" t="str">
        <f t="shared" si="65"/>
        <v/>
      </c>
      <c r="AK1117" s="18" t="str">
        <f t="shared" si="66"/>
        <v/>
      </c>
      <c r="AL1117" s="18" t="str">
        <f t="shared" si="67"/>
        <v/>
      </c>
      <c r="AM1117" s="18" t="str">
        <f t="shared" si="68"/>
        <v/>
      </c>
    </row>
    <row r="1118" spans="1:39" x14ac:dyDescent="0.35">
      <c r="A1118" s="56" t="s">
        <v>1186</v>
      </c>
      <c r="B1118" s="31"/>
      <c r="C1118" s="54"/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E1118" s="57" t="str">
        <f t="shared" si="60"/>
        <v/>
      </c>
      <c r="AF1118" s="18" t="str">
        <f t="shared" si="61"/>
        <v/>
      </c>
      <c r="AG1118" s="18" t="str">
        <f t="shared" si="62"/>
        <v/>
      </c>
      <c r="AH1118" s="18" t="str">
        <f t="shared" si="63"/>
        <v/>
      </c>
      <c r="AI1118" s="18" t="str">
        <f t="shared" si="64"/>
        <v/>
      </c>
      <c r="AJ1118" s="18" t="str">
        <f t="shared" si="65"/>
        <v/>
      </c>
      <c r="AK1118" s="18" t="str">
        <f t="shared" si="66"/>
        <v/>
      </c>
      <c r="AL1118" s="18" t="str">
        <f t="shared" si="67"/>
        <v/>
      </c>
      <c r="AM1118" s="18" t="str">
        <f t="shared" si="68"/>
        <v/>
      </c>
    </row>
    <row r="1119" spans="1:39" x14ac:dyDescent="0.35">
      <c r="A1119" s="56" t="s">
        <v>1187</v>
      </c>
      <c r="B1119" s="31"/>
      <c r="C1119" s="54"/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E1119" s="57" t="str">
        <f t="shared" si="60"/>
        <v/>
      </c>
      <c r="AF1119" s="18" t="str">
        <f t="shared" si="61"/>
        <v/>
      </c>
      <c r="AG1119" s="18" t="str">
        <f t="shared" si="62"/>
        <v/>
      </c>
      <c r="AH1119" s="18" t="str">
        <f t="shared" si="63"/>
        <v/>
      </c>
      <c r="AI1119" s="18" t="str">
        <f t="shared" si="64"/>
        <v/>
      </c>
      <c r="AJ1119" s="18" t="str">
        <f t="shared" si="65"/>
        <v/>
      </c>
      <c r="AK1119" s="18" t="str">
        <f t="shared" si="66"/>
        <v/>
      </c>
      <c r="AL1119" s="18" t="str">
        <f t="shared" si="67"/>
        <v/>
      </c>
      <c r="AM1119" s="18" t="str">
        <f t="shared" si="68"/>
        <v/>
      </c>
    </row>
    <row r="1120" spans="1:39" x14ac:dyDescent="0.35">
      <c r="A1120" s="56" t="s">
        <v>1188</v>
      </c>
      <c r="B1120" s="31"/>
      <c r="C1120" s="54"/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E1120" s="57" t="str">
        <f t="shared" si="60"/>
        <v/>
      </c>
      <c r="AF1120" s="18" t="str">
        <f t="shared" si="61"/>
        <v/>
      </c>
      <c r="AG1120" s="18" t="str">
        <f t="shared" si="62"/>
        <v/>
      </c>
      <c r="AH1120" s="18" t="str">
        <f t="shared" si="63"/>
        <v/>
      </c>
      <c r="AI1120" s="18" t="str">
        <f t="shared" si="64"/>
        <v/>
      </c>
      <c r="AJ1120" s="18" t="str">
        <f t="shared" si="65"/>
        <v/>
      </c>
      <c r="AK1120" s="18" t="str">
        <f t="shared" si="66"/>
        <v/>
      </c>
      <c r="AL1120" s="18" t="str">
        <f t="shared" si="67"/>
        <v/>
      </c>
      <c r="AM1120" s="18" t="str">
        <f t="shared" si="68"/>
        <v/>
      </c>
    </row>
    <row r="1121" spans="1:39" x14ac:dyDescent="0.35">
      <c r="A1121" s="56" t="s">
        <v>1189</v>
      </c>
      <c r="B1121" s="31"/>
      <c r="C1121" s="54"/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E1121" s="57" t="str">
        <f t="shared" si="60"/>
        <v/>
      </c>
      <c r="AF1121" s="18" t="str">
        <f t="shared" si="61"/>
        <v/>
      </c>
      <c r="AG1121" s="18" t="str">
        <f t="shared" si="62"/>
        <v/>
      </c>
      <c r="AH1121" s="18" t="str">
        <f t="shared" si="63"/>
        <v/>
      </c>
      <c r="AI1121" s="18" t="str">
        <f t="shared" si="64"/>
        <v/>
      </c>
      <c r="AJ1121" s="18" t="str">
        <f t="shared" si="65"/>
        <v/>
      </c>
      <c r="AK1121" s="18" t="str">
        <f t="shared" si="66"/>
        <v/>
      </c>
      <c r="AL1121" s="18" t="str">
        <f t="shared" si="67"/>
        <v/>
      </c>
      <c r="AM1121" s="18" t="str">
        <f t="shared" si="68"/>
        <v/>
      </c>
    </row>
    <row r="1122" spans="1:39" x14ac:dyDescent="0.35">
      <c r="A1122" s="56" t="s">
        <v>1190</v>
      </c>
      <c r="B1122" s="31"/>
      <c r="C1122" s="54"/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E1122" s="57" t="str">
        <f t="shared" si="60"/>
        <v/>
      </c>
      <c r="AF1122" s="18" t="str">
        <f t="shared" si="61"/>
        <v/>
      </c>
      <c r="AG1122" s="18" t="str">
        <f t="shared" si="62"/>
        <v/>
      </c>
      <c r="AH1122" s="18" t="str">
        <f t="shared" si="63"/>
        <v/>
      </c>
      <c r="AI1122" s="18" t="str">
        <f t="shared" si="64"/>
        <v/>
      </c>
      <c r="AJ1122" s="18" t="str">
        <f t="shared" si="65"/>
        <v/>
      </c>
      <c r="AK1122" s="18" t="str">
        <f t="shared" si="66"/>
        <v/>
      </c>
      <c r="AL1122" s="18" t="str">
        <f t="shared" si="67"/>
        <v/>
      </c>
      <c r="AM1122" s="18" t="str">
        <f t="shared" si="68"/>
        <v/>
      </c>
    </row>
    <row r="1123" spans="1:39" x14ac:dyDescent="0.35">
      <c r="A1123" s="56" t="s">
        <v>1191</v>
      </c>
      <c r="B1123" s="31"/>
      <c r="C1123" s="54"/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E1123" s="57" t="str">
        <f t="shared" si="60"/>
        <v/>
      </c>
      <c r="AF1123" s="18" t="str">
        <f t="shared" si="61"/>
        <v/>
      </c>
      <c r="AG1123" s="18" t="str">
        <f t="shared" si="62"/>
        <v/>
      </c>
      <c r="AH1123" s="18" t="str">
        <f t="shared" si="63"/>
        <v/>
      </c>
      <c r="AI1123" s="18" t="str">
        <f t="shared" si="64"/>
        <v/>
      </c>
      <c r="AJ1123" s="18" t="str">
        <f t="shared" si="65"/>
        <v/>
      </c>
      <c r="AK1123" s="18" t="str">
        <f t="shared" si="66"/>
        <v/>
      </c>
      <c r="AL1123" s="18" t="str">
        <f t="shared" si="67"/>
        <v/>
      </c>
      <c r="AM1123" s="18" t="str">
        <f t="shared" si="68"/>
        <v/>
      </c>
    </row>
    <row r="1124" spans="1:39" x14ac:dyDescent="0.35">
      <c r="A1124" s="56" t="s">
        <v>1192</v>
      </c>
      <c r="B1124" s="31"/>
      <c r="C1124" s="54"/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E1124" s="57" t="str">
        <f t="shared" si="60"/>
        <v/>
      </c>
      <c r="AF1124" s="18" t="str">
        <f t="shared" si="61"/>
        <v/>
      </c>
      <c r="AG1124" s="18" t="str">
        <f t="shared" si="62"/>
        <v/>
      </c>
      <c r="AH1124" s="18" t="str">
        <f t="shared" si="63"/>
        <v/>
      </c>
      <c r="AI1124" s="18" t="str">
        <f t="shared" si="64"/>
        <v/>
      </c>
      <c r="AJ1124" s="18" t="str">
        <f t="shared" si="65"/>
        <v/>
      </c>
      <c r="AK1124" s="18" t="str">
        <f t="shared" si="66"/>
        <v/>
      </c>
      <c r="AL1124" s="18" t="str">
        <f t="shared" si="67"/>
        <v/>
      </c>
      <c r="AM1124" s="18" t="str">
        <f t="shared" si="68"/>
        <v/>
      </c>
    </row>
    <row r="1125" spans="1:39" x14ac:dyDescent="0.35">
      <c r="A1125" s="56" t="s">
        <v>1193</v>
      </c>
      <c r="B1125" s="31"/>
      <c r="C1125" s="54"/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E1125" s="57" t="str">
        <f t="shared" si="60"/>
        <v/>
      </c>
      <c r="AF1125" s="18" t="str">
        <f t="shared" si="61"/>
        <v/>
      </c>
      <c r="AG1125" s="18" t="str">
        <f t="shared" si="62"/>
        <v/>
      </c>
      <c r="AH1125" s="18" t="str">
        <f t="shared" si="63"/>
        <v/>
      </c>
      <c r="AI1125" s="18" t="str">
        <f t="shared" si="64"/>
        <v/>
      </c>
      <c r="AJ1125" s="18" t="str">
        <f t="shared" si="65"/>
        <v/>
      </c>
      <c r="AK1125" s="18" t="str">
        <f t="shared" si="66"/>
        <v/>
      </c>
      <c r="AL1125" s="18" t="str">
        <f t="shared" si="67"/>
        <v/>
      </c>
      <c r="AM1125" s="18" t="str">
        <f t="shared" si="68"/>
        <v/>
      </c>
    </row>
    <row r="1126" spans="1:39" x14ac:dyDescent="0.35">
      <c r="A1126" s="56" t="s">
        <v>1194</v>
      </c>
      <c r="B1126" s="31"/>
      <c r="C1126" s="54"/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E1126" s="57" t="str">
        <f t="shared" si="60"/>
        <v/>
      </c>
      <c r="AF1126" s="18" t="str">
        <f t="shared" si="61"/>
        <v/>
      </c>
      <c r="AG1126" s="18" t="str">
        <f t="shared" si="62"/>
        <v/>
      </c>
      <c r="AH1126" s="18" t="str">
        <f t="shared" si="63"/>
        <v/>
      </c>
      <c r="AI1126" s="18" t="str">
        <f t="shared" si="64"/>
        <v/>
      </c>
      <c r="AJ1126" s="18" t="str">
        <f t="shared" si="65"/>
        <v/>
      </c>
      <c r="AK1126" s="18" t="str">
        <f t="shared" si="66"/>
        <v/>
      </c>
      <c r="AL1126" s="18" t="str">
        <f t="shared" si="67"/>
        <v/>
      </c>
      <c r="AM1126" s="18" t="str">
        <f t="shared" si="68"/>
        <v/>
      </c>
    </row>
    <row r="1127" spans="1:39" x14ac:dyDescent="0.35">
      <c r="A1127" s="56" t="s">
        <v>1195</v>
      </c>
      <c r="B1127" s="31"/>
      <c r="C1127" s="54"/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E1127" s="57" t="str">
        <f t="shared" si="60"/>
        <v/>
      </c>
      <c r="AF1127" s="18" t="str">
        <f t="shared" si="61"/>
        <v/>
      </c>
      <c r="AG1127" s="18" t="str">
        <f t="shared" si="62"/>
        <v/>
      </c>
      <c r="AH1127" s="18" t="str">
        <f t="shared" si="63"/>
        <v/>
      </c>
      <c r="AI1127" s="18" t="str">
        <f t="shared" si="64"/>
        <v/>
      </c>
      <c r="AJ1127" s="18" t="str">
        <f t="shared" si="65"/>
        <v/>
      </c>
      <c r="AK1127" s="18" t="str">
        <f t="shared" si="66"/>
        <v/>
      </c>
      <c r="AL1127" s="18" t="str">
        <f t="shared" si="67"/>
        <v/>
      </c>
      <c r="AM1127" s="18" t="str">
        <f t="shared" si="68"/>
        <v/>
      </c>
    </row>
    <row r="1128" spans="1:39" x14ac:dyDescent="0.35">
      <c r="A1128" s="56" t="s">
        <v>1196</v>
      </c>
      <c r="B1128" s="31"/>
      <c r="C1128" s="54"/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E1128" s="57" t="str">
        <f t="shared" si="60"/>
        <v/>
      </c>
      <c r="AF1128" s="18" t="str">
        <f t="shared" si="61"/>
        <v/>
      </c>
      <c r="AG1128" s="18" t="str">
        <f t="shared" si="62"/>
        <v/>
      </c>
      <c r="AH1128" s="18" t="str">
        <f t="shared" si="63"/>
        <v/>
      </c>
      <c r="AI1128" s="18" t="str">
        <f t="shared" si="64"/>
        <v/>
      </c>
      <c r="AJ1128" s="18" t="str">
        <f t="shared" si="65"/>
        <v/>
      </c>
      <c r="AK1128" s="18" t="str">
        <f t="shared" si="66"/>
        <v/>
      </c>
      <c r="AL1128" s="18" t="str">
        <f t="shared" si="67"/>
        <v/>
      </c>
      <c r="AM1128" s="18" t="str">
        <f t="shared" si="68"/>
        <v/>
      </c>
    </row>
    <row r="1129" spans="1:39" x14ac:dyDescent="0.35">
      <c r="A1129" s="56" t="s">
        <v>1197</v>
      </c>
      <c r="B1129" s="31"/>
      <c r="C1129" s="54"/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E1129" s="57" t="str">
        <f t="shared" si="60"/>
        <v/>
      </c>
      <c r="AF1129" s="18" t="str">
        <f t="shared" si="61"/>
        <v/>
      </c>
      <c r="AG1129" s="18" t="str">
        <f t="shared" si="62"/>
        <v/>
      </c>
      <c r="AH1129" s="18" t="str">
        <f t="shared" si="63"/>
        <v/>
      </c>
      <c r="AI1129" s="18" t="str">
        <f t="shared" si="64"/>
        <v/>
      </c>
      <c r="AJ1129" s="18" t="str">
        <f t="shared" si="65"/>
        <v/>
      </c>
      <c r="AK1129" s="18" t="str">
        <f t="shared" si="66"/>
        <v/>
      </c>
      <c r="AL1129" s="18" t="str">
        <f t="shared" si="67"/>
        <v/>
      </c>
      <c r="AM1129" s="18" t="str">
        <f t="shared" si="68"/>
        <v/>
      </c>
    </row>
    <row r="1130" spans="1:39" x14ac:dyDescent="0.35">
      <c r="A1130" s="56" t="s">
        <v>1198</v>
      </c>
      <c r="B1130" s="31"/>
      <c r="C1130" s="54"/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E1130" s="57" t="str">
        <f t="shared" si="60"/>
        <v/>
      </c>
      <c r="AF1130" s="18" t="str">
        <f t="shared" si="61"/>
        <v/>
      </c>
      <c r="AG1130" s="18" t="str">
        <f t="shared" si="62"/>
        <v/>
      </c>
      <c r="AH1130" s="18" t="str">
        <f t="shared" si="63"/>
        <v/>
      </c>
      <c r="AI1130" s="18" t="str">
        <f t="shared" si="64"/>
        <v/>
      </c>
      <c r="AJ1130" s="18" t="str">
        <f t="shared" si="65"/>
        <v/>
      </c>
      <c r="AK1130" s="18" t="str">
        <f t="shared" si="66"/>
        <v/>
      </c>
      <c r="AL1130" s="18" t="str">
        <f t="shared" si="67"/>
        <v/>
      </c>
      <c r="AM1130" s="18" t="str">
        <f t="shared" si="68"/>
        <v/>
      </c>
    </row>
    <row r="1131" spans="1:39" x14ac:dyDescent="0.35">
      <c r="A1131" s="56" t="s">
        <v>1199</v>
      </c>
      <c r="B1131" s="31"/>
      <c r="C1131" s="54"/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E1131" s="57" t="str">
        <f t="shared" si="60"/>
        <v/>
      </c>
      <c r="AF1131" s="18" t="str">
        <f t="shared" si="61"/>
        <v/>
      </c>
      <c r="AG1131" s="18" t="str">
        <f t="shared" si="62"/>
        <v/>
      </c>
      <c r="AH1131" s="18" t="str">
        <f t="shared" si="63"/>
        <v/>
      </c>
      <c r="AI1131" s="18" t="str">
        <f t="shared" si="64"/>
        <v/>
      </c>
      <c r="AJ1131" s="18" t="str">
        <f t="shared" si="65"/>
        <v/>
      </c>
      <c r="AK1131" s="18" t="str">
        <f t="shared" si="66"/>
        <v/>
      </c>
      <c r="AL1131" s="18" t="str">
        <f t="shared" si="67"/>
        <v/>
      </c>
      <c r="AM1131" s="18" t="str">
        <f t="shared" si="68"/>
        <v/>
      </c>
    </row>
    <row r="1132" spans="1:39" x14ac:dyDescent="0.35">
      <c r="A1132" s="56" t="s">
        <v>1200</v>
      </c>
      <c r="B1132" s="31"/>
      <c r="C1132" s="54"/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E1132" s="57" t="str">
        <f t="shared" si="60"/>
        <v/>
      </c>
      <c r="AF1132" s="18" t="str">
        <f t="shared" si="61"/>
        <v/>
      </c>
      <c r="AG1132" s="18" t="str">
        <f t="shared" si="62"/>
        <v/>
      </c>
      <c r="AH1132" s="18" t="str">
        <f t="shared" si="63"/>
        <v/>
      </c>
      <c r="AI1132" s="18" t="str">
        <f t="shared" si="64"/>
        <v/>
      </c>
      <c r="AJ1132" s="18" t="str">
        <f t="shared" si="65"/>
        <v/>
      </c>
      <c r="AK1132" s="18" t="str">
        <f t="shared" si="66"/>
        <v/>
      </c>
      <c r="AL1132" s="18" t="str">
        <f t="shared" si="67"/>
        <v/>
      </c>
      <c r="AM1132" s="18" t="str">
        <f t="shared" si="68"/>
        <v/>
      </c>
    </row>
    <row r="1133" spans="1:39" x14ac:dyDescent="0.35">
      <c r="A1133" s="56" t="s">
        <v>1201</v>
      </c>
      <c r="B1133" s="31"/>
      <c r="C1133" s="54"/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E1133" s="57" t="str">
        <f t="shared" si="60"/>
        <v/>
      </c>
      <c r="AF1133" s="18" t="str">
        <f t="shared" si="61"/>
        <v/>
      </c>
      <c r="AG1133" s="18" t="str">
        <f t="shared" si="62"/>
        <v/>
      </c>
      <c r="AH1133" s="18" t="str">
        <f t="shared" si="63"/>
        <v/>
      </c>
      <c r="AI1133" s="18" t="str">
        <f t="shared" si="64"/>
        <v/>
      </c>
      <c r="AJ1133" s="18" t="str">
        <f t="shared" si="65"/>
        <v/>
      </c>
      <c r="AK1133" s="18" t="str">
        <f t="shared" si="66"/>
        <v/>
      </c>
      <c r="AL1133" s="18" t="str">
        <f t="shared" si="67"/>
        <v/>
      </c>
      <c r="AM1133" s="18" t="str">
        <f t="shared" si="68"/>
        <v/>
      </c>
    </row>
    <row r="1134" spans="1:39" x14ac:dyDescent="0.35">
      <c r="A1134" s="56" t="s">
        <v>1202</v>
      </c>
      <c r="B1134" s="31"/>
      <c r="C1134" s="54"/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E1134" s="57" t="str">
        <f t="shared" si="60"/>
        <v/>
      </c>
      <c r="AF1134" s="18" t="str">
        <f t="shared" si="61"/>
        <v/>
      </c>
      <c r="AG1134" s="18" t="str">
        <f t="shared" si="62"/>
        <v/>
      </c>
      <c r="AH1134" s="18" t="str">
        <f t="shared" si="63"/>
        <v/>
      </c>
      <c r="AI1134" s="18" t="str">
        <f t="shared" si="64"/>
        <v/>
      </c>
      <c r="AJ1134" s="18" t="str">
        <f t="shared" si="65"/>
        <v/>
      </c>
      <c r="AK1134" s="18" t="str">
        <f t="shared" si="66"/>
        <v/>
      </c>
      <c r="AL1134" s="18" t="str">
        <f t="shared" si="67"/>
        <v/>
      </c>
      <c r="AM1134" s="18" t="str">
        <f t="shared" si="68"/>
        <v/>
      </c>
    </row>
    <row r="1135" spans="1:39" x14ac:dyDescent="0.35">
      <c r="A1135" s="56" t="s">
        <v>1203</v>
      </c>
      <c r="B1135" s="31"/>
      <c r="C1135" s="54"/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E1135" s="57" t="str">
        <f t="shared" si="60"/>
        <v/>
      </c>
      <c r="AF1135" s="18" t="str">
        <f t="shared" si="61"/>
        <v/>
      </c>
      <c r="AG1135" s="18" t="str">
        <f t="shared" si="62"/>
        <v/>
      </c>
      <c r="AH1135" s="18" t="str">
        <f t="shared" si="63"/>
        <v/>
      </c>
      <c r="AI1135" s="18" t="str">
        <f t="shared" si="64"/>
        <v/>
      </c>
      <c r="AJ1135" s="18" t="str">
        <f t="shared" si="65"/>
        <v/>
      </c>
      <c r="AK1135" s="18" t="str">
        <f t="shared" si="66"/>
        <v/>
      </c>
      <c r="AL1135" s="18" t="str">
        <f t="shared" si="67"/>
        <v/>
      </c>
      <c r="AM1135" s="18" t="str">
        <f t="shared" si="68"/>
        <v/>
      </c>
    </row>
    <row r="1136" spans="1:39" x14ac:dyDescent="0.35">
      <c r="A1136" s="56" t="s">
        <v>1204</v>
      </c>
      <c r="B1136" s="31"/>
      <c r="C1136" s="54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E1136" s="57" t="str">
        <f t="shared" si="60"/>
        <v/>
      </c>
      <c r="AF1136" s="18" t="str">
        <f t="shared" si="61"/>
        <v/>
      </c>
      <c r="AG1136" s="18" t="str">
        <f t="shared" si="62"/>
        <v/>
      </c>
      <c r="AH1136" s="18" t="str">
        <f t="shared" si="63"/>
        <v/>
      </c>
      <c r="AI1136" s="18" t="str">
        <f t="shared" si="64"/>
        <v/>
      </c>
      <c r="AJ1136" s="18" t="str">
        <f t="shared" si="65"/>
        <v/>
      </c>
      <c r="AK1136" s="18" t="str">
        <f t="shared" si="66"/>
        <v/>
      </c>
      <c r="AL1136" s="18" t="str">
        <f t="shared" si="67"/>
        <v/>
      </c>
      <c r="AM1136" s="18" t="str">
        <f t="shared" si="68"/>
        <v/>
      </c>
    </row>
    <row r="1137" spans="1:39" x14ac:dyDescent="0.35">
      <c r="A1137" s="56" t="s">
        <v>1205</v>
      </c>
      <c r="B1137" s="31"/>
      <c r="C1137" s="54"/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E1137" s="57" t="str">
        <f t="shared" si="60"/>
        <v/>
      </c>
      <c r="AF1137" s="18" t="str">
        <f t="shared" si="61"/>
        <v/>
      </c>
      <c r="AG1137" s="18" t="str">
        <f t="shared" si="62"/>
        <v/>
      </c>
      <c r="AH1137" s="18" t="str">
        <f t="shared" si="63"/>
        <v/>
      </c>
      <c r="AI1137" s="18" t="str">
        <f t="shared" si="64"/>
        <v/>
      </c>
      <c r="AJ1137" s="18" t="str">
        <f t="shared" si="65"/>
        <v/>
      </c>
      <c r="AK1137" s="18" t="str">
        <f t="shared" si="66"/>
        <v/>
      </c>
      <c r="AL1137" s="18" t="str">
        <f t="shared" si="67"/>
        <v/>
      </c>
      <c r="AM1137" s="18" t="str">
        <f t="shared" si="68"/>
        <v/>
      </c>
    </row>
    <row r="1138" spans="1:39" x14ac:dyDescent="0.35">
      <c r="A1138" s="56" t="s">
        <v>1206</v>
      </c>
      <c r="B1138" s="31"/>
      <c r="C1138" s="54"/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E1138" s="57" t="str">
        <f t="shared" si="60"/>
        <v/>
      </c>
      <c r="AF1138" s="18" t="str">
        <f t="shared" si="61"/>
        <v/>
      </c>
      <c r="AG1138" s="18" t="str">
        <f t="shared" si="62"/>
        <v/>
      </c>
      <c r="AH1138" s="18" t="str">
        <f t="shared" si="63"/>
        <v/>
      </c>
      <c r="AI1138" s="18" t="str">
        <f t="shared" si="64"/>
        <v/>
      </c>
      <c r="AJ1138" s="18" t="str">
        <f t="shared" si="65"/>
        <v/>
      </c>
      <c r="AK1138" s="18" t="str">
        <f t="shared" si="66"/>
        <v/>
      </c>
      <c r="AL1138" s="18" t="str">
        <f t="shared" si="67"/>
        <v/>
      </c>
      <c r="AM1138" s="18" t="str">
        <f t="shared" si="68"/>
        <v/>
      </c>
    </row>
    <row r="1139" spans="1:39" x14ac:dyDescent="0.35">
      <c r="A1139" s="56" t="s">
        <v>1207</v>
      </c>
      <c r="B1139" s="31"/>
      <c r="C1139" s="54"/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E1139" s="57" t="str">
        <f t="shared" si="60"/>
        <v/>
      </c>
      <c r="AF1139" s="18" t="str">
        <f t="shared" si="61"/>
        <v/>
      </c>
      <c r="AG1139" s="18" t="str">
        <f t="shared" si="62"/>
        <v/>
      </c>
      <c r="AH1139" s="18" t="str">
        <f t="shared" si="63"/>
        <v/>
      </c>
      <c r="AI1139" s="18" t="str">
        <f t="shared" si="64"/>
        <v/>
      </c>
      <c r="AJ1139" s="18" t="str">
        <f t="shared" si="65"/>
        <v/>
      </c>
      <c r="AK1139" s="18" t="str">
        <f t="shared" si="66"/>
        <v/>
      </c>
      <c r="AL1139" s="18" t="str">
        <f t="shared" si="67"/>
        <v/>
      </c>
      <c r="AM1139" s="18" t="str">
        <f t="shared" si="68"/>
        <v/>
      </c>
    </row>
    <row r="1140" spans="1:39" x14ac:dyDescent="0.35">
      <c r="A1140" s="56" t="s">
        <v>1208</v>
      </c>
      <c r="B1140" s="31"/>
      <c r="C1140" s="54"/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E1140" s="57" t="str">
        <f t="shared" si="60"/>
        <v/>
      </c>
      <c r="AF1140" s="18" t="str">
        <f t="shared" si="61"/>
        <v/>
      </c>
      <c r="AG1140" s="18" t="str">
        <f t="shared" si="62"/>
        <v/>
      </c>
      <c r="AH1140" s="18" t="str">
        <f t="shared" si="63"/>
        <v/>
      </c>
      <c r="AI1140" s="18" t="str">
        <f t="shared" si="64"/>
        <v/>
      </c>
      <c r="AJ1140" s="18" t="str">
        <f t="shared" si="65"/>
        <v/>
      </c>
      <c r="AK1140" s="18" t="str">
        <f t="shared" si="66"/>
        <v/>
      </c>
      <c r="AL1140" s="18" t="str">
        <f t="shared" si="67"/>
        <v/>
      </c>
      <c r="AM1140" s="18" t="str">
        <f t="shared" si="68"/>
        <v/>
      </c>
    </row>
    <row r="1141" spans="1:39" x14ac:dyDescent="0.35">
      <c r="A1141" s="56" t="s">
        <v>1209</v>
      </c>
      <c r="B1141" s="31"/>
      <c r="C1141" s="54"/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E1141" s="57" t="str">
        <f t="shared" si="60"/>
        <v/>
      </c>
      <c r="AF1141" s="18" t="str">
        <f t="shared" si="61"/>
        <v/>
      </c>
      <c r="AG1141" s="18" t="str">
        <f t="shared" si="62"/>
        <v/>
      </c>
      <c r="AH1141" s="18" t="str">
        <f t="shared" si="63"/>
        <v/>
      </c>
      <c r="AI1141" s="18" t="str">
        <f t="shared" si="64"/>
        <v/>
      </c>
      <c r="AJ1141" s="18" t="str">
        <f t="shared" si="65"/>
        <v/>
      </c>
      <c r="AK1141" s="18" t="str">
        <f t="shared" si="66"/>
        <v/>
      </c>
      <c r="AL1141" s="18" t="str">
        <f t="shared" si="67"/>
        <v/>
      </c>
      <c r="AM1141" s="18" t="str">
        <f t="shared" si="68"/>
        <v/>
      </c>
    </row>
    <row r="1142" spans="1:39" x14ac:dyDescent="0.35">
      <c r="A1142" s="56" t="s">
        <v>1210</v>
      </c>
      <c r="B1142" s="31"/>
      <c r="C1142" s="54"/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E1142" s="57" t="str">
        <f t="shared" si="60"/>
        <v/>
      </c>
      <c r="AF1142" s="18" t="str">
        <f t="shared" si="61"/>
        <v/>
      </c>
      <c r="AG1142" s="18" t="str">
        <f t="shared" si="62"/>
        <v/>
      </c>
      <c r="AH1142" s="18" t="str">
        <f t="shared" si="63"/>
        <v/>
      </c>
      <c r="AI1142" s="18" t="str">
        <f t="shared" si="64"/>
        <v/>
      </c>
      <c r="AJ1142" s="18" t="str">
        <f t="shared" si="65"/>
        <v/>
      </c>
      <c r="AK1142" s="18" t="str">
        <f t="shared" si="66"/>
        <v/>
      </c>
      <c r="AL1142" s="18" t="str">
        <f t="shared" si="67"/>
        <v/>
      </c>
      <c r="AM1142" s="18" t="str">
        <f t="shared" si="68"/>
        <v/>
      </c>
    </row>
    <row r="1143" spans="1:39" x14ac:dyDescent="0.35">
      <c r="A1143" s="56" t="s">
        <v>1211</v>
      </c>
      <c r="B1143" s="31"/>
      <c r="C1143" s="54"/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E1143" s="57" t="str">
        <f t="shared" si="60"/>
        <v/>
      </c>
      <c r="AF1143" s="18" t="str">
        <f t="shared" si="61"/>
        <v/>
      </c>
      <c r="AG1143" s="18" t="str">
        <f t="shared" si="62"/>
        <v/>
      </c>
      <c r="AH1143" s="18" t="str">
        <f t="shared" si="63"/>
        <v/>
      </c>
      <c r="AI1143" s="18" t="str">
        <f t="shared" si="64"/>
        <v/>
      </c>
      <c r="AJ1143" s="18" t="str">
        <f t="shared" si="65"/>
        <v/>
      </c>
      <c r="AK1143" s="18" t="str">
        <f t="shared" si="66"/>
        <v/>
      </c>
      <c r="AL1143" s="18" t="str">
        <f t="shared" si="67"/>
        <v/>
      </c>
      <c r="AM1143" s="18" t="str">
        <f t="shared" si="68"/>
        <v/>
      </c>
    </row>
    <row r="1144" spans="1:39" x14ac:dyDescent="0.35">
      <c r="A1144" s="56" t="s">
        <v>1212</v>
      </c>
      <c r="B1144" s="31"/>
      <c r="C1144" s="54"/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E1144" s="57" t="str">
        <f t="shared" si="60"/>
        <v/>
      </c>
      <c r="AF1144" s="18" t="str">
        <f t="shared" si="61"/>
        <v/>
      </c>
      <c r="AG1144" s="18" t="str">
        <f t="shared" si="62"/>
        <v/>
      </c>
      <c r="AH1144" s="18" t="str">
        <f t="shared" si="63"/>
        <v/>
      </c>
      <c r="AI1144" s="18" t="str">
        <f t="shared" si="64"/>
        <v/>
      </c>
      <c r="AJ1144" s="18" t="str">
        <f t="shared" si="65"/>
        <v/>
      </c>
      <c r="AK1144" s="18" t="str">
        <f t="shared" si="66"/>
        <v/>
      </c>
      <c r="AL1144" s="18" t="str">
        <f t="shared" si="67"/>
        <v/>
      </c>
      <c r="AM1144" s="18" t="str">
        <f t="shared" si="68"/>
        <v/>
      </c>
    </row>
    <row r="1145" spans="1:39" x14ac:dyDescent="0.35">
      <c r="A1145" s="56" t="s">
        <v>1213</v>
      </c>
      <c r="B1145" s="31"/>
      <c r="C1145" s="54"/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E1145" s="57" t="str">
        <f t="shared" si="60"/>
        <v/>
      </c>
      <c r="AF1145" s="18" t="str">
        <f t="shared" si="61"/>
        <v/>
      </c>
      <c r="AG1145" s="18" t="str">
        <f t="shared" si="62"/>
        <v/>
      </c>
      <c r="AH1145" s="18" t="str">
        <f t="shared" si="63"/>
        <v/>
      </c>
      <c r="AI1145" s="18" t="str">
        <f t="shared" si="64"/>
        <v/>
      </c>
      <c r="AJ1145" s="18" t="str">
        <f t="shared" si="65"/>
        <v/>
      </c>
      <c r="AK1145" s="18" t="str">
        <f t="shared" si="66"/>
        <v/>
      </c>
      <c r="AL1145" s="18" t="str">
        <f t="shared" si="67"/>
        <v/>
      </c>
      <c r="AM1145" s="18" t="str">
        <f t="shared" si="68"/>
        <v/>
      </c>
    </row>
    <row r="1146" spans="1:39" x14ac:dyDescent="0.35">
      <c r="A1146" s="56" t="s">
        <v>1214</v>
      </c>
      <c r="B1146" s="31"/>
      <c r="C1146" s="54"/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E1146" s="57" t="str">
        <f t="shared" si="60"/>
        <v/>
      </c>
      <c r="AF1146" s="18" t="str">
        <f t="shared" si="61"/>
        <v/>
      </c>
      <c r="AG1146" s="18" t="str">
        <f t="shared" si="62"/>
        <v/>
      </c>
      <c r="AH1146" s="18" t="str">
        <f t="shared" si="63"/>
        <v/>
      </c>
      <c r="AI1146" s="18" t="str">
        <f t="shared" si="64"/>
        <v/>
      </c>
      <c r="AJ1146" s="18" t="str">
        <f t="shared" si="65"/>
        <v/>
      </c>
      <c r="AK1146" s="18" t="str">
        <f t="shared" si="66"/>
        <v/>
      </c>
      <c r="AL1146" s="18" t="str">
        <f t="shared" si="67"/>
        <v/>
      </c>
      <c r="AM1146" s="18" t="str">
        <f t="shared" si="68"/>
        <v/>
      </c>
    </row>
    <row r="1147" spans="1:39" x14ac:dyDescent="0.35">
      <c r="A1147" s="56" t="s">
        <v>1215</v>
      </c>
      <c r="B1147" s="31"/>
      <c r="C1147" s="54"/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E1147" s="57" t="str">
        <f t="shared" si="60"/>
        <v/>
      </c>
      <c r="AF1147" s="18" t="str">
        <f t="shared" si="61"/>
        <v/>
      </c>
      <c r="AG1147" s="18" t="str">
        <f t="shared" si="62"/>
        <v/>
      </c>
      <c r="AH1147" s="18" t="str">
        <f t="shared" si="63"/>
        <v/>
      </c>
      <c r="AI1147" s="18" t="str">
        <f t="shared" si="64"/>
        <v/>
      </c>
      <c r="AJ1147" s="18" t="str">
        <f t="shared" si="65"/>
        <v/>
      </c>
      <c r="AK1147" s="18" t="str">
        <f t="shared" si="66"/>
        <v/>
      </c>
      <c r="AL1147" s="18" t="str">
        <f t="shared" si="67"/>
        <v/>
      </c>
      <c r="AM1147" s="18" t="str">
        <f t="shared" si="68"/>
        <v/>
      </c>
    </row>
    <row r="1148" spans="1:39" x14ac:dyDescent="0.35">
      <c r="A1148" s="56" t="s">
        <v>1216</v>
      </c>
      <c r="B1148" s="31"/>
      <c r="C1148" s="54"/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E1148" s="57" t="str">
        <f t="shared" si="60"/>
        <v/>
      </c>
      <c r="AF1148" s="18" t="str">
        <f t="shared" si="61"/>
        <v/>
      </c>
      <c r="AG1148" s="18" t="str">
        <f t="shared" si="62"/>
        <v/>
      </c>
      <c r="AH1148" s="18" t="str">
        <f t="shared" si="63"/>
        <v/>
      </c>
      <c r="AI1148" s="18" t="str">
        <f t="shared" si="64"/>
        <v/>
      </c>
      <c r="AJ1148" s="18" t="str">
        <f t="shared" si="65"/>
        <v/>
      </c>
      <c r="AK1148" s="18" t="str">
        <f t="shared" si="66"/>
        <v/>
      </c>
      <c r="AL1148" s="18" t="str">
        <f t="shared" si="67"/>
        <v/>
      </c>
      <c r="AM1148" s="18" t="str">
        <f t="shared" si="68"/>
        <v/>
      </c>
    </row>
    <row r="1149" spans="1:39" x14ac:dyDescent="0.35">
      <c r="A1149" s="56" t="s">
        <v>1217</v>
      </c>
      <c r="B1149" s="31"/>
      <c r="C1149" s="54"/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E1149" s="57" t="str">
        <f t="shared" si="60"/>
        <v/>
      </c>
      <c r="AF1149" s="18" t="str">
        <f t="shared" si="61"/>
        <v/>
      </c>
      <c r="AG1149" s="18" t="str">
        <f t="shared" si="62"/>
        <v/>
      </c>
      <c r="AH1149" s="18" t="str">
        <f t="shared" si="63"/>
        <v/>
      </c>
      <c r="AI1149" s="18" t="str">
        <f t="shared" si="64"/>
        <v/>
      </c>
      <c r="AJ1149" s="18" t="str">
        <f t="shared" si="65"/>
        <v/>
      </c>
      <c r="AK1149" s="18" t="str">
        <f t="shared" si="66"/>
        <v/>
      </c>
      <c r="AL1149" s="18" t="str">
        <f t="shared" si="67"/>
        <v/>
      </c>
      <c r="AM1149" s="18" t="str">
        <f t="shared" si="68"/>
        <v/>
      </c>
    </row>
    <row r="1150" spans="1:39" x14ac:dyDescent="0.35">
      <c r="A1150" s="56" t="s">
        <v>1218</v>
      </c>
      <c r="B1150" s="31"/>
      <c r="C1150" s="54"/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E1150" s="57" t="str">
        <f t="shared" si="60"/>
        <v/>
      </c>
      <c r="AF1150" s="18" t="str">
        <f t="shared" si="61"/>
        <v/>
      </c>
      <c r="AG1150" s="18" t="str">
        <f t="shared" si="62"/>
        <v/>
      </c>
      <c r="AH1150" s="18" t="str">
        <f t="shared" si="63"/>
        <v/>
      </c>
      <c r="AI1150" s="18" t="str">
        <f t="shared" si="64"/>
        <v/>
      </c>
      <c r="AJ1150" s="18" t="str">
        <f t="shared" si="65"/>
        <v/>
      </c>
      <c r="AK1150" s="18" t="str">
        <f t="shared" si="66"/>
        <v/>
      </c>
      <c r="AL1150" s="18" t="str">
        <f t="shared" si="67"/>
        <v/>
      </c>
      <c r="AM1150" s="18" t="str">
        <f t="shared" si="68"/>
        <v/>
      </c>
    </row>
    <row r="1151" spans="1:39" x14ac:dyDescent="0.35">
      <c r="A1151" s="56" t="s">
        <v>1219</v>
      </c>
      <c r="B1151" s="31"/>
      <c r="C1151" s="54"/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E1151" s="57" t="str">
        <f t="shared" si="60"/>
        <v/>
      </c>
      <c r="AF1151" s="18" t="str">
        <f t="shared" si="61"/>
        <v/>
      </c>
      <c r="AG1151" s="18" t="str">
        <f t="shared" si="62"/>
        <v/>
      </c>
      <c r="AH1151" s="18" t="str">
        <f t="shared" si="63"/>
        <v/>
      </c>
      <c r="AI1151" s="18" t="str">
        <f t="shared" si="64"/>
        <v/>
      </c>
      <c r="AJ1151" s="18" t="str">
        <f t="shared" si="65"/>
        <v/>
      </c>
      <c r="AK1151" s="18" t="str">
        <f t="shared" si="66"/>
        <v/>
      </c>
      <c r="AL1151" s="18" t="str">
        <f t="shared" si="67"/>
        <v/>
      </c>
      <c r="AM1151" s="18" t="str">
        <f t="shared" si="68"/>
        <v/>
      </c>
    </row>
    <row r="1152" spans="1:39" x14ac:dyDescent="0.35">
      <c r="A1152" s="56" t="s">
        <v>1220</v>
      </c>
      <c r="B1152" s="31"/>
      <c r="C1152" s="54"/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E1152" s="57" t="str">
        <f t="shared" si="60"/>
        <v/>
      </c>
      <c r="AF1152" s="18" t="str">
        <f t="shared" si="61"/>
        <v/>
      </c>
      <c r="AG1152" s="18" t="str">
        <f t="shared" si="62"/>
        <v/>
      </c>
      <c r="AH1152" s="18" t="str">
        <f t="shared" si="63"/>
        <v/>
      </c>
      <c r="AI1152" s="18" t="str">
        <f t="shared" si="64"/>
        <v/>
      </c>
      <c r="AJ1152" s="18" t="str">
        <f t="shared" si="65"/>
        <v/>
      </c>
      <c r="AK1152" s="18" t="str">
        <f t="shared" si="66"/>
        <v/>
      </c>
      <c r="AL1152" s="18" t="str">
        <f t="shared" si="67"/>
        <v/>
      </c>
      <c r="AM1152" s="18" t="str">
        <f t="shared" si="68"/>
        <v/>
      </c>
    </row>
    <row r="1153" spans="1:39" x14ac:dyDescent="0.35">
      <c r="A1153" s="56" t="s">
        <v>1221</v>
      </c>
      <c r="B1153" s="31"/>
      <c r="C1153" s="54"/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E1153" s="57" t="str">
        <f t="shared" si="60"/>
        <v/>
      </c>
      <c r="AF1153" s="18" t="str">
        <f t="shared" si="61"/>
        <v/>
      </c>
      <c r="AG1153" s="18" t="str">
        <f t="shared" si="62"/>
        <v/>
      </c>
      <c r="AH1153" s="18" t="str">
        <f t="shared" si="63"/>
        <v/>
      </c>
      <c r="AI1153" s="18" t="str">
        <f t="shared" si="64"/>
        <v/>
      </c>
      <c r="AJ1153" s="18" t="str">
        <f t="shared" si="65"/>
        <v/>
      </c>
      <c r="AK1153" s="18" t="str">
        <f t="shared" si="66"/>
        <v/>
      </c>
      <c r="AL1153" s="18" t="str">
        <f t="shared" si="67"/>
        <v/>
      </c>
      <c r="AM1153" s="18" t="str">
        <f t="shared" si="68"/>
        <v/>
      </c>
    </row>
    <row r="1154" spans="1:39" x14ac:dyDescent="0.35">
      <c r="A1154" s="56" t="s">
        <v>1222</v>
      </c>
      <c r="B1154" s="31"/>
      <c r="C1154" s="54"/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E1154" s="57" t="str">
        <f t="shared" si="60"/>
        <v/>
      </c>
      <c r="AF1154" s="18" t="str">
        <f t="shared" si="61"/>
        <v/>
      </c>
      <c r="AG1154" s="18" t="str">
        <f t="shared" si="62"/>
        <v/>
      </c>
      <c r="AH1154" s="18" t="str">
        <f t="shared" si="63"/>
        <v/>
      </c>
      <c r="AI1154" s="18" t="str">
        <f t="shared" si="64"/>
        <v/>
      </c>
      <c r="AJ1154" s="18" t="str">
        <f t="shared" si="65"/>
        <v/>
      </c>
      <c r="AK1154" s="18" t="str">
        <f t="shared" si="66"/>
        <v/>
      </c>
      <c r="AL1154" s="18" t="str">
        <f t="shared" si="67"/>
        <v/>
      </c>
      <c r="AM1154" s="18" t="str">
        <f t="shared" si="68"/>
        <v/>
      </c>
    </row>
    <row r="1155" spans="1:39" x14ac:dyDescent="0.35">
      <c r="A1155" s="56" t="s">
        <v>1223</v>
      </c>
      <c r="B1155" s="31"/>
      <c r="C1155" s="54"/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E1155" s="57" t="str">
        <f t="shared" ref="AE1155:AE1218" si="69">IFERROR(VLOOKUP(AD1155,$A$2:$AA$2000,2,0),"")</f>
        <v/>
      </c>
      <c r="AF1155" s="18" t="str">
        <f t="shared" ref="AF1155:AF1218" si="70">IFERROR(VLOOKUP(AD1155,$A$2:$AA$2000,22,0),"")</f>
        <v/>
      </c>
      <c r="AG1155" s="18" t="str">
        <f t="shared" ref="AG1155:AG1218" si="71">IFERROR(VLOOKUP(AD1155,$A$2:$AA$2000,18,0),"")</f>
        <v/>
      </c>
      <c r="AH1155" s="18" t="str">
        <f t="shared" ref="AH1155:AH1218" si="72">IFERROR(VLOOKUP(AD1155,$A$2:$AA$2000,17,0),"")</f>
        <v/>
      </c>
      <c r="AI1155" s="18" t="str">
        <f t="shared" ref="AI1155:AI1218" si="73">IFERROR(VLOOKUP(AD1155,$A$2:$AA$2000,20,0),"")</f>
        <v/>
      </c>
      <c r="AJ1155" s="18" t="str">
        <f t="shared" ref="AJ1155:AJ1218" si="74">IFERROR(VLOOKUP(AD1155,$A$2:$AA$2000,9,0),"")</f>
        <v/>
      </c>
      <c r="AK1155" s="18" t="str">
        <f t="shared" ref="AK1155:AK1218" si="75">IFERROR(VLOOKUP(AD1155,$A$2:$AA$2000,5,0),"")</f>
        <v/>
      </c>
      <c r="AL1155" s="18" t="str">
        <f t="shared" ref="AL1155:AL1218" si="76">IFERROR(VLOOKUP(AD1155,$A$2:$AA$2000,4,0),"")</f>
        <v/>
      </c>
      <c r="AM1155" s="18" t="str">
        <f t="shared" ref="AM1155:AM1218" si="77">IFERROR(VLOOKUP(AD1155,$A$2:$AA$2000,7,0),"")</f>
        <v/>
      </c>
    </row>
    <row r="1156" spans="1:39" x14ac:dyDescent="0.35">
      <c r="A1156" s="56" t="s">
        <v>1224</v>
      </c>
      <c r="B1156" s="31"/>
      <c r="C1156" s="54"/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E1156" s="57" t="str">
        <f t="shared" si="69"/>
        <v/>
      </c>
      <c r="AF1156" s="18" t="str">
        <f t="shared" si="70"/>
        <v/>
      </c>
      <c r="AG1156" s="18" t="str">
        <f t="shared" si="71"/>
        <v/>
      </c>
      <c r="AH1156" s="18" t="str">
        <f t="shared" si="72"/>
        <v/>
      </c>
      <c r="AI1156" s="18" t="str">
        <f t="shared" si="73"/>
        <v/>
      </c>
      <c r="AJ1156" s="18" t="str">
        <f t="shared" si="74"/>
        <v/>
      </c>
      <c r="AK1156" s="18" t="str">
        <f t="shared" si="75"/>
        <v/>
      </c>
      <c r="AL1156" s="18" t="str">
        <f t="shared" si="76"/>
        <v/>
      </c>
      <c r="AM1156" s="18" t="str">
        <f t="shared" si="77"/>
        <v/>
      </c>
    </row>
    <row r="1157" spans="1:39" x14ac:dyDescent="0.35">
      <c r="A1157" s="56" t="s">
        <v>1225</v>
      </c>
      <c r="B1157" s="31"/>
      <c r="C1157" s="54"/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E1157" s="57" t="str">
        <f t="shared" si="69"/>
        <v/>
      </c>
      <c r="AF1157" s="18" t="str">
        <f t="shared" si="70"/>
        <v/>
      </c>
      <c r="AG1157" s="18" t="str">
        <f t="shared" si="71"/>
        <v/>
      </c>
      <c r="AH1157" s="18" t="str">
        <f t="shared" si="72"/>
        <v/>
      </c>
      <c r="AI1157" s="18" t="str">
        <f t="shared" si="73"/>
        <v/>
      </c>
      <c r="AJ1157" s="18" t="str">
        <f t="shared" si="74"/>
        <v/>
      </c>
      <c r="AK1157" s="18" t="str">
        <f t="shared" si="75"/>
        <v/>
      </c>
      <c r="AL1157" s="18" t="str">
        <f t="shared" si="76"/>
        <v/>
      </c>
      <c r="AM1157" s="18" t="str">
        <f t="shared" si="77"/>
        <v/>
      </c>
    </row>
    <row r="1158" spans="1:39" x14ac:dyDescent="0.35">
      <c r="A1158" s="56" t="s">
        <v>1226</v>
      </c>
      <c r="B1158" s="31"/>
      <c r="C1158" s="54"/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E1158" s="57" t="str">
        <f t="shared" si="69"/>
        <v/>
      </c>
      <c r="AF1158" s="18" t="str">
        <f t="shared" si="70"/>
        <v/>
      </c>
      <c r="AG1158" s="18" t="str">
        <f t="shared" si="71"/>
        <v/>
      </c>
      <c r="AH1158" s="18" t="str">
        <f t="shared" si="72"/>
        <v/>
      </c>
      <c r="AI1158" s="18" t="str">
        <f t="shared" si="73"/>
        <v/>
      </c>
      <c r="AJ1158" s="18" t="str">
        <f t="shared" si="74"/>
        <v/>
      </c>
      <c r="AK1158" s="18" t="str">
        <f t="shared" si="75"/>
        <v/>
      </c>
      <c r="AL1158" s="18" t="str">
        <f t="shared" si="76"/>
        <v/>
      </c>
      <c r="AM1158" s="18" t="str">
        <f t="shared" si="77"/>
        <v/>
      </c>
    </row>
    <row r="1159" spans="1:39" x14ac:dyDescent="0.35">
      <c r="A1159" s="56" t="s">
        <v>1227</v>
      </c>
      <c r="B1159" s="31"/>
      <c r="C1159" s="54"/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E1159" s="57" t="str">
        <f t="shared" si="69"/>
        <v/>
      </c>
      <c r="AF1159" s="18" t="str">
        <f t="shared" si="70"/>
        <v/>
      </c>
      <c r="AG1159" s="18" t="str">
        <f t="shared" si="71"/>
        <v/>
      </c>
      <c r="AH1159" s="18" t="str">
        <f t="shared" si="72"/>
        <v/>
      </c>
      <c r="AI1159" s="18" t="str">
        <f t="shared" si="73"/>
        <v/>
      </c>
      <c r="AJ1159" s="18" t="str">
        <f t="shared" si="74"/>
        <v/>
      </c>
      <c r="AK1159" s="18" t="str">
        <f t="shared" si="75"/>
        <v/>
      </c>
      <c r="AL1159" s="18" t="str">
        <f t="shared" si="76"/>
        <v/>
      </c>
      <c r="AM1159" s="18" t="str">
        <f t="shared" si="77"/>
        <v/>
      </c>
    </row>
    <row r="1160" spans="1:39" x14ac:dyDescent="0.35">
      <c r="A1160" s="56" t="s">
        <v>1228</v>
      </c>
      <c r="B1160" s="31"/>
      <c r="C1160" s="54"/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E1160" s="57" t="str">
        <f t="shared" si="69"/>
        <v/>
      </c>
      <c r="AF1160" s="18" t="str">
        <f t="shared" si="70"/>
        <v/>
      </c>
      <c r="AG1160" s="18" t="str">
        <f t="shared" si="71"/>
        <v/>
      </c>
      <c r="AH1160" s="18" t="str">
        <f t="shared" si="72"/>
        <v/>
      </c>
      <c r="AI1160" s="18" t="str">
        <f t="shared" si="73"/>
        <v/>
      </c>
      <c r="AJ1160" s="18" t="str">
        <f t="shared" si="74"/>
        <v/>
      </c>
      <c r="AK1160" s="18" t="str">
        <f t="shared" si="75"/>
        <v/>
      </c>
      <c r="AL1160" s="18" t="str">
        <f t="shared" si="76"/>
        <v/>
      </c>
      <c r="AM1160" s="18" t="str">
        <f t="shared" si="77"/>
        <v/>
      </c>
    </row>
    <row r="1161" spans="1:39" x14ac:dyDescent="0.35">
      <c r="A1161" s="56" t="s">
        <v>1229</v>
      </c>
      <c r="B1161" s="31"/>
      <c r="C1161" s="54"/>
      <c r="D1161" s="31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E1161" s="57" t="str">
        <f t="shared" si="69"/>
        <v/>
      </c>
      <c r="AF1161" s="18" t="str">
        <f t="shared" si="70"/>
        <v/>
      </c>
      <c r="AG1161" s="18" t="str">
        <f t="shared" si="71"/>
        <v/>
      </c>
      <c r="AH1161" s="18" t="str">
        <f t="shared" si="72"/>
        <v/>
      </c>
      <c r="AI1161" s="18" t="str">
        <f t="shared" si="73"/>
        <v/>
      </c>
      <c r="AJ1161" s="18" t="str">
        <f t="shared" si="74"/>
        <v/>
      </c>
      <c r="AK1161" s="18" t="str">
        <f t="shared" si="75"/>
        <v/>
      </c>
      <c r="AL1161" s="18" t="str">
        <f t="shared" si="76"/>
        <v/>
      </c>
      <c r="AM1161" s="18" t="str">
        <f t="shared" si="77"/>
        <v/>
      </c>
    </row>
    <row r="1162" spans="1:39" x14ac:dyDescent="0.35">
      <c r="A1162" s="56" t="s">
        <v>1230</v>
      </c>
      <c r="B1162" s="31"/>
      <c r="C1162" s="54"/>
      <c r="D1162" s="31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E1162" s="57" t="str">
        <f t="shared" si="69"/>
        <v/>
      </c>
      <c r="AF1162" s="18" t="str">
        <f t="shared" si="70"/>
        <v/>
      </c>
      <c r="AG1162" s="18" t="str">
        <f t="shared" si="71"/>
        <v/>
      </c>
      <c r="AH1162" s="18" t="str">
        <f t="shared" si="72"/>
        <v/>
      </c>
      <c r="AI1162" s="18" t="str">
        <f t="shared" si="73"/>
        <v/>
      </c>
      <c r="AJ1162" s="18" t="str">
        <f t="shared" si="74"/>
        <v/>
      </c>
      <c r="AK1162" s="18" t="str">
        <f t="shared" si="75"/>
        <v/>
      </c>
      <c r="AL1162" s="18" t="str">
        <f t="shared" si="76"/>
        <v/>
      </c>
      <c r="AM1162" s="18" t="str">
        <f t="shared" si="77"/>
        <v/>
      </c>
    </row>
    <row r="1163" spans="1:39" x14ac:dyDescent="0.35">
      <c r="A1163" s="56" t="s">
        <v>1231</v>
      </c>
      <c r="B1163" s="31"/>
      <c r="C1163" s="54"/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E1163" s="57" t="str">
        <f t="shared" si="69"/>
        <v/>
      </c>
      <c r="AF1163" s="18" t="str">
        <f t="shared" si="70"/>
        <v/>
      </c>
      <c r="AG1163" s="18" t="str">
        <f t="shared" si="71"/>
        <v/>
      </c>
      <c r="AH1163" s="18" t="str">
        <f t="shared" si="72"/>
        <v/>
      </c>
      <c r="AI1163" s="18" t="str">
        <f t="shared" si="73"/>
        <v/>
      </c>
      <c r="AJ1163" s="18" t="str">
        <f t="shared" si="74"/>
        <v/>
      </c>
      <c r="AK1163" s="18" t="str">
        <f t="shared" si="75"/>
        <v/>
      </c>
      <c r="AL1163" s="18" t="str">
        <f t="shared" si="76"/>
        <v/>
      </c>
      <c r="AM1163" s="18" t="str">
        <f t="shared" si="77"/>
        <v/>
      </c>
    </row>
    <row r="1164" spans="1:39" x14ac:dyDescent="0.35">
      <c r="A1164" s="56" t="s">
        <v>1232</v>
      </c>
      <c r="B1164" s="31"/>
      <c r="C1164" s="54"/>
      <c r="D1164" s="31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E1164" s="57" t="str">
        <f t="shared" si="69"/>
        <v/>
      </c>
      <c r="AF1164" s="18" t="str">
        <f t="shared" si="70"/>
        <v/>
      </c>
      <c r="AG1164" s="18" t="str">
        <f t="shared" si="71"/>
        <v/>
      </c>
      <c r="AH1164" s="18" t="str">
        <f t="shared" si="72"/>
        <v/>
      </c>
      <c r="AI1164" s="18" t="str">
        <f t="shared" si="73"/>
        <v/>
      </c>
      <c r="AJ1164" s="18" t="str">
        <f t="shared" si="74"/>
        <v/>
      </c>
      <c r="AK1164" s="18" t="str">
        <f t="shared" si="75"/>
        <v/>
      </c>
      <c r="AL1164" s="18" t="str">
        <f t="shared" si="76"/>
        <v/>
      </c>
      <c r="AM1164" s="18" t="str">
        <f t="shared" si="77"/>
        <v/>
      </c>
    </row>
    <row r="1165" spans="1:39" x14ac:dyDescent="0.35">
      <c r="A1165" s="56" t="s">
        <v>1233</v>
      </c>
      <c r="B1165" s="31"/>
      <c r="C1165" s="54"/>
      <c r="D1165" s="31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E1165" s="57" t="str">
        <f t="shared" si="69"/>
        <v/>
      </c>
      <c r="AF1165" s="18" t="str">
        <f t="shared" si="70"/>
        <v/>
      </c>
      <c r="AG1165" s="18" t="str">
        <f t="shared" si="71"/>
        <v/>
      </c>
      <c r="AH1165" s="18" t="str">
        <f t="shared" si="72"/>
        <v/>
      </c>
      <c r="AI1165" s="18" t="str">
        <f t="shared" si="73"/>
        <v/>
      </c>
      <c r="AJ1165" s="18" t="str">
        <f t="shared" si="74"/>
        <v/>
      </c>
      <c r="AK1165" s="18" t="str">
        <f t="shared" si="75"/>
        <v/>
      </c>
      <c r="AL1165" s="18" t="str">
        <f t="shared" si="76"/>
        <v/>
      </c>
      <c r="AM1165" s="18" t="str">
        <f t="shared" si="77"/>
        <v/>
      </c>
    </row>
    <row r="1166" spans="1:39" x14ac:dyDescent="0.35">
      <c r="A1166" s="56" t="s">
        <v>1234</v>
      </c>
      <c r="B1166" s="31"/>
      <c r="C1166" s="54"/>
      <c r="D1166" s="31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E1166" s="57" t="str">
        <f t="shared" si="69"/>
        <v/>
      </c>
      <c r="AF1166" s="18" t="str">
        <f t="shared" si="70"/>
        <v/>
      </c>
      <c r="AG1166" s="18" t="str">
        <f t="shared" si="71"/>
        <v/>
      </c>
      <c r="AH1166" s="18" t="str">
        <f t="shared" si="72"/>
        <v/>
      </c>
      <c r="AI1166" s="18" t="str">
        <f t="shared" si="73"/>
        <v/>
      </c>
      <c r="AJ1166" s="18" t="str">
        <f t="shared" si="74"/>
        <v/>
      </c>
      <c r="AK1166" s="18" t="str">
        <f t="shared" si="75"/>
        <v/>
      </c>
      <c r="AL1166" s="18" t="str">
        <f t="shared" si="76"/>
        <v/>
      </c>
      <c r="AM1166" s="18" t="str">
        <f t="shared" si="77"/>
        <v/>
      </c>
    </row>
    <row r="1167" spans="1:39" x14ac:dyDescent="0.35">
      <c r="A1167" s="56" t="s">
        <v>1235</v>
      </c>
      <c r="B1167" s="31"/>
      <c r="C1167" s="54"/>
      <c r="D1167" s="31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E1167" s="57" t="str">
        <f t="shared" si="69"/>
        <v/>
      </c>
      <c r="AF1167" s="18" t="str">
        <f t="shared" si="70"/>
        <v/>
      </c>
      <c r="AG1167" s="18" t="str">
        <f t="shared" si="71"/>
        <v/>
      </c>
      <c r="AH1167" s="18" t="str">
        <f t="shared" si="72"/>
        <v/>
      </c>
      <c r="AI1167" s="18" t="str">
        <f t="shared" si="73"/>
        <v/>
      </c>
      <c r="AJ1167" s="18" t="str">
        <f t="shared" si="74"/>
        <v/>
      </c>
      <c r="AK1167" s="18" t="str">
        <f t="shared" si="75"/>
        <v/>
      </c>
      <c r="AL1167" s="18" t="str">
        <f t="shared" si="76"/>
        <v/>
      </c>
      <c r="AM1167" s="18" t="str">
        <f t="shared" si="77"/>
        <v/>
      </c>
    </row>
    <row r="1168" spans="1:39" x14ac:dyDescent="0.35">
      <c r="A1168" s="56" t="s">
        <v>1236</v>
      </c>
      <c r="B1168" s="31"/>
      <c r="C1168" s="54"/>
      <c r="D1168" s="31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E1168" s="57" t="str">
        <f t="shared" si="69"/>
        <v/>
      </c>
      <c r="AF1168" s="18" t="str">
        <f t="shared" si="70"/>
        <v/>
      </c>
      <c r="AG1168" s="18" t="str">
        <f t="shared" si="71"/>
        <v/>
      </c>
      <c r="AH1168" s="18" t="str">
        <f t="shared" si="72"/>
        <v/>
      </c>
      <c r="AI1168" s="18" t="str">
        <f t="shared" si="73"/>
        <v/>
      </c>
      <c r="AJ1168" s="18" t="str">
        <f t="shared" si="74"/>
        <v/>
      </c>
      <c r="AK1168" s="18" t="str">
        <f t="shared" si="75"/>
        <v/>
      </c>
      <c r="AL1168" s="18" t="str">
        <f t="shared" si="76"/>
        <v/>
      </c>
      <c r="AM1168" s="18" t="str">
        <f t="shared" si="77"/>
        <v/>
      </c>
    </row>
    <row r="1169" spans="1:39" x14ac:dyDescent="0.35">
      <c r="A1169" s="56" t="s">
        <v>1237</v>
      </c>
      <c r="B1169" s="31"/>
      <c r="C1169" s="54"/>
      <c r="D1169" s="31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E1169" s="57" t="str">
        <f t="shared" si="69"/>
        <v/>
      </c>
      <c r="AF1169" s="18" t="str">
        <f t="shared" si="70"/>
        <v/>
      </c>
      <c r="AG1169" s="18" t="str">
        <f t="shared" si="71"/>
        <v/>
      </c>
      <c r="AH1169" s="18" t="str">
        <f t="shared" si="72"/>
        <v/>
      </c>
      <c r="AI1169" s="18" t="str">
        <f t="shared" si="73"/>
        <v/>
      </c>
      <c r="AJ1169" s="18" t="str">
        <f t="shared" si="74"/>
        <v/>
      </c>
      <c r="AK1169" s="18" t="str">
        <f t="shared" si="75"/>
        <v/>
      </c>
      <c r="AL1169" s="18" t="str">
        <f t="shared" si="76"/>
        <v/>
      </c>
      <c r="AM1169" s="18" t="str">
        <f t="shared" si="77"/>
        <v/>
      </c>
    </row>
    <row r="1170" spans="1:39" x14ac:dyDescent="0.35">
      <c r="A1170" s="56" t="s">
        <v>1238</v>
      </c>
      <c r="B1170" s="31"/>
      <c r="C1170" s="54"/>
      <c r="D1170" s="31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E1170" s="57" t="str">
        <f t="shared" si="69"/>
        <v/>
      </c>
      <c r="AF1170" s="18" t="str">
        <f t="shared" si="70"/>
        <v/>
      </c>
      <c r="AG1170" s="18" t="str">
        <f t="shared" si="71"/>
        <v/>
      </c>
      <c r="AH1170" s="18" t="str">
        <f t="shared" si="72"/>
        <v/>
      </c>
      <c r="AI1170" s="18" t="str">
        <f t="shared" si="73"/>
        <v/>
      </c>
      <c r="AJ1170" s="18" t="str">
        <f t="shared" si="74"/>
        <v/>
      </c>
      <c r="AK1170" s="18" t="str">
        <f t="shared" si="75"/>
        <v/>
      </c>
      <c r="AL1170" s="18" t="str">
        <f t="shared" si="76"/>
        <v/>
      </c>
      <c r="AM1170" s="18" t="str">
        <f t="shared" si="77"/>
        <v/>
      </c>
    </row>
    <row r="1171" spans="1:39" x14ac:dyDescent="0.35">
      <c r="A1171" s="56" t="s">
        <v>1239</v>
      </c>
      <c r="B1171" s="31"/>
      <c r="C1171" s="54"/>
      <c r="D1171" s="31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E1171" s="57" t="str">
        <f t="shared" si="69"/>
        <v/>
      </c>
      <c r="AF1171" s="18" t="str">
        <f t="shared" si="70"/>
        <v/>
      </c>
      <c r="AG1171" s="18" t="str">
        <f t="shared" si="71"/>
        <v/>
      </c>
      <c r="AH1171" s="18" t="str">
        <f t="shared" si="72"/>
        <v/>
      </c>
      <c r="AI1171" s="18" t="str">
        <f t="shared" si="73"/>
        <v/>
      </c>
      <c r="AJ1171" s="18" t="str">
        <f t="shared" si="74"/>
        <v/>
      </c>
      <c r="AK1171" s="18" t="str">
        <f t="shared" si="75"/>
        <v/>
      </c>
      <c r="AL1171" s="18" t="str">
        <f t="shared" si="76"/>
        <v/>
      </c>
      <c r="AM1171" s="18" t="str">
        <f t="shared" si="77"/>
        <v/>
      </c>
    </row>
    <row r="1172" spans="1:39" x14ac:dyDescent="0.35">
      <c r="A1172" s="56" t="s">
        <v>1240</v>
      </c>
      <c r="B1172" s="31"/>
      <c r="C1172" s="54"/>
      <c r="D1172" s="31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E1172" s="57" t="str">
        <f t="shared" si="69"/>
        <v/>
      </c>
      <c r="AF1172" s="18" t="str">
        <f t="shared" si="70"/>
        <v/>
      </c>
      <c r="AG1172" s="18" t="str">
        <f t="shared" si="71"/>
        <v/>
      </c>
      <c r="AH1172" s="18" t="str">
        <f t="shared" si="72"/>
        <v/>
      </c>
      <c r="AI1172" s="18" t="str">
        <f t="shared" si="73"/>
        <v/>
      </c>
      <c r="AJ1172" s="18" t="str">
        <f t="shared" si="74"/>
        <v/>
      </c>
      <c r="AK1172" s="18" t="str">
        <f t="shared" si="75"/>
        <v/>
      </c>
      <c r="AL1172" s="18" t="str">
        <f t="shared" si="76"/>
        <v/>
      </c>
      <c r="AM1172" s="18" t="str">
        <f t="shared" si="77"/>
        <v/>
      </c>
    </row>
    <row r="1173" spans="1:39" x14ac:dyDescent="0.35">
      <c r="A1173" s="56" t="s">
        <v>1241</v>
      </c>
      <c r="B1173" s="31"/>
      <c r="C1173" s="54"/>
      <c r="D1173" s="31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E1173" s="57" t="str">
        <f t="shared" si="69"/>
        <v/>
      </c>
      <c r="AF1173" s="18" t="str">
        <f t="shared" si="70"/>
        <v/>
      </c>
      <c r="AG1173" s="18" t="str">
        <f t="shared" si="71"/>
        <v/>
      </c>
      <c r="AH1173" s="18" t="str">
        <f t="shared" si="72"/>
        <v/>
      </c>
      <c r="AI1173" s="18" t="str">
        <f t="shared" si="73"/>
        <v/>
      </c>
      <c r="AJ1173" s="18" t="str">
        <f t="shared" si="74"/>
        <v/>
      </c>
      <c r="AK1173" s="18" t="str">
        <f t="shared" si="75"/>
        <v/>
      </c>
      <c r="AL1173" s="18" t="str">
        <f t="shared" si="76"/>
        <v/>
      </c>
      <c r="AM1173" s="18" t="str">
        <f t="shared" si="77"/>
        <v/>
      </c>
    </row>
    <row r="1174" spans="1:39" x14ac:dyDescent="0.35">
      <c r="A1174" s="56" t="s">
        <v>1242</v>
      </c>
      <c r="B1174" s="31"/>
      <c r="C1174" s="54"/>
      <c r="D1174" s="31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E1174" s="57" t="str">
        <f t="shared" si="69"/>
        <v/>
      </c>
      <c r="AF1174" s="18" t="str">
        <f t="shared" si="70"/>
        <v/>
      </c>
      <c r="AG1174" s="18" t="str">
        <f t="shared" si="71"/>
        <v/>
      </c>
      <c r="AH1174" s="18" t="str">
        <f t="shared" si="72"/>
        <v/>
      </c>
      <c r="AI1174" s="18" t="str">
        <f t="shared" si="73"/>
        <v/>
      </c>
      <c r="AJ1174" s="18" t="str">
        <f t="shared" si="74"/>
        <v/>
      </c>
      <c r="AK1174" s="18" t="str">
        <f t="shared" si="75"/>
        <v/>
      </c>
      <c r="AL1174" s="18" t="str">
        <f t="shared" si="76"/>
        <v/>
      </c>
      <c r="AM1174" s="18" t="str">
        <f t="shared" si="77"/>
        <v/>
      </c>
    </row>
    <row r="1175" spans="1:39" x14ac:dyDescent="0.35">
      <c r="A1175" s="56" t="s">
        <v>1243</v>
      </c>
      <c r="B1175" s="31"/>
      <c r="C1175" s="54"/>
      <c r="D1175" s="31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E1175" s="57" t="str">
        <f t="shared" si="69"/>
        <v/>
      </c>
      <c r="AF1175" s="18" t="str">
        <f t="shared" si="70"/>
        <v/>
      </c>
      <c r="AG1175" s="18" t="str">
        <f t="shared" si="71"/>
        <v/>
      </c>
      <c r="AH1175" s="18" t="str">
        <f t="shared" si="72"/>
        <v/>
      </c>
      <c r="AI1175" s="18" t="str">
        <f t="shared" si="73"/>
        <v/>
      </c>
      <c r="AJ1175" s="18" t="str">
        <f t="shared" si="74"/>
        <v/>
      </c>
      <c r="AK1175" s="18" t="str">
        <f t="shared" si="75"/>
        <v/>
      </c>
      <c r="AL1175" s="18" t="str">
        <f t="shared" si="76"/>
        <v/>
      </c>
      <c r="AM1175" s="18" t="str">
        <f t="shared" si="77"/>
        <v/>
      </c>
    </row>
    <row r="1176" spans="1:39" x14ac:dyDescent="0.35">
      <c r="A1176" s="56" t="s">
        <v>1244</v>
      </c>
      <c r="B1176" s="31"/>
      <c r="C1176" s="54"/>
      <c r="D1176" s="31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E1176" s="57" t="str">
        <f t="shared" si="69"/>
        <v/>
      </c>
      <c r="AF1176" s="18" t="str">
        <f t="shared" si="70"/>
        <v/>
      </c>
      <c r="AG1176" s="18" t="str">
        <f t="shared" si="71"/>
        <v/>
      </c>
      <c r="AH1176" s="18" t="str">
        <f t="shared" si="72"/>
        <v/>
      </c>
      <c r="AI1176" s="18" t="str">
        <f t="shared" si="73"/>
        <v/>
      </c>
      <c r="AJ1176" s="18" t="str">
        <f t="shared" si="74"/>
        <v/>
      </c>
      <c r="AK1176" s="18" t="str">
        <f t="shared" si="75"/>
        <v/>
      </c>
      <c r="AL1176" s="18" t="str">
        <f t="shared" si="76"/>
        <v/>
      </c>
      <c r="AM1176" s="18" t="str">
        <f t="shared" si="77"/>
        <v/>
      </c>
    </row>
    <row r="1177" spans="1:39" x14ac:dyDescent="0.35">
      <c r="A1177" s="56" t="s">
        <v>1245</v>
      </c>
      <c r="B1177" s="31"/>
      <c r="C1177" s="54"/>
      <c r="D1177" s="31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E1177" s="57" t="str">
        <f t="shared" si="69"/>
        <v/>
      </c>
      <c r="AF1177" s="18" t="str">
        <f t="shared" si="70"/>
        <v/>
      </c>
      <c r="AG1177" s="18" t="str">
        <f t="shared" si="71"/>
        <v/>
      </c>
      <c r="AH1177" s="18" t="str">
        <f t="shared" si="72"/>
        <v/>
      </c>
      <c r="AI1177" s="18" t="str">
        <f t="shared" si="73"/>
        <v/>
      </c>
      <c r="AJ1177" s="18" t="str">
        <f t="shared" si="74"/>
        <v/>
      </c>
      <c r="AK1177" s="18" t="str">
        <f t="shared" si="75"/>
        <v/>
      </c>
      <c r="AL1177" s="18" t="str">
        <f t="shared" si="76"/>
        <v/>
      </c>
      <c r="AM1177" s="18" t="str">
        <f t="shared" si="77"/>
        <v/>
      </c>
    </row>
    <row r="1178" spans="1:39" x14ac:dyDescent="0.35">
      <c r="A1178" s="56" t="s">
        <v>1246</v>
      </c>
      <c r="B1178" s="31"/>
      <c r="C1178" s="54"/>
      <c r="D1178" s="31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E1178" s="57" t="str">
        <f t="shared" si="69"/>
        <v/>
      </c>
      <c r="AF1178" s="18" t="str">
        <f t="shared" si="70"/>
        <v/>
      </c>
      <c r="AG1178" s="18" t="str">
        <f t="shared" si="71"/>
        <v/>
      </c>
      <c r="AH1178" s="18" t="str">
        <f t="shared" si="72"/>
        <v/>
      </c>
      <c r="AI1178" s="18" t="str">
        <f t="shared" si="73"/>
        <v/>
      </c>
      <c r="AJ1178" s="18" t="str">
        <f t="shared" si="74"/>
        <v/>
      </c>
      <c r="AK1178" s="18" t="str">
        <f t="shared" si="75"/>
        <v/>
      </c>
      <c r="AL1178" s="18" t="str">
        <f t="shared" si="76"/>
        <v/>
      </c>
      <c r="AM1178" s="18" t="str">
        <f t="shared" si="77"/>
        <v/>
      </c>
    </row>
    <row r="1179" spans="1:39" x14ac:dyDescent="0.35">
      <c r="A1179" s="56" t="s">
        <v>1247</v>
      </c>
      <c r="B1179" s="31"/>
      <c r="C1179" s="54"/>
      <c r="D1179" s="31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E1179" s="57" t="str">
        <f t="shared" si="69"/>
        <v/>
      </c>
      <c r="AF1179" s="18" t="str">
        <f t="shared" si="70"/>
        <v/>
      </c>
      <c r="AG1179" s="18" t="str">
        <f t="shared" si="71"/>
        <v/>
      </c>
      <c r="AH1179" s="18" t="str">
        <f t="shared" si="72"/>
        <v/>
      </c>
      <c r="AI1179" s="18" t="str">
        <f t="shared" si="73"/>
        <v/>
      </c>
      <c r="AJ1179" s="18" t="str">
        <f t="shared" si="74"/>
        <v/>
      </c>
      <c r="AK1179" s="18" t="str">
        <f t="shared" si="75"/>
        <v/>
      </c>
      <c r="AL1179" s="18" t="str">
        <f t="shared" si="76"/>
        <v/>
      </c>
      <c r="AM1179" s="18" t="str">
        <f t="shared" si="77"/>
        <v/>
      </c>
    </row>
    <row r="1180" spans="1:39" x14ac:dyDescent="0.35">
      <c r="A1180" s="56" t="s">
        <v>1248</v>
      </c>
      <c r="B1180" s="31"/>
      <c r="C1180" s="54"/>
      <c r="D1180" s="31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E1180" s="57" t="str">
        <f t="shared" si="69"/>
        <v/>
      </c>
      <c r="AF1180" s="18" t="str">
        <f t="shared" si="70"/>
        <v/>
      </c>
      <c r="AG1180" s="18" t="str">
        <f t="shared" si="71"/>
        <v/>
      </c>
      <c r="AH1180" s="18" t="str">
        <f t="shared" si="72"/>
        <v/>
      </c>
      <c r="AI1180" s="18" t="str">
        <f t="shared" si="73"/>
        <v/>
      </c>
      <c r="AJ1180" s="18" t="str">
        <f t="shared" si="74"/>
        <v/>
      </c>
      <c r="AK1180" s="18" t="str">
        <f t="shared" si="75"/>
        <v/>
      </c>
      <c r="AL1180" s="18" t="str">
        <f t="shared" si="76"/>
        <v/>
      </c>
      <c r="AM1180" s="18" t="str">
        <f t="shared" si="77"/>
        <v/>
      </c>
    </row>
    <row r="1181" spans="1:39" x14ac:dyDescent="0.35">
      <c r="A1181" s="56" t="s">
        <v>1249</v>
      </c>
      <c r="B1181" s="31"/>
      <c r="C1181" s="54"/>
      <c r="D1181" s="31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E1181" s="57" t="str">
        <f t="shared" si="69"/>
        <v/>
      </c>
      <c r="AF1181" s="18" t="str">
        <f t="shared" si="70"/>
        <v/>
      </c>
      <c r="AG1181" s="18" t="str">
        <f t="shared" si="71"/>
        <v/>
      </c>
      <c r="AH1181" s="18" t="str">
        <f t="shared" si="72"/>
        <v/>
      </c>
      <c r="AI1181" s="18" t="str">
        <f t="shared" si="73"/>
        <v/>
      </c>
      <c r="AJ1181" s="18" t="str">
        <f t="shared" si="74"/>
        <v/>
      </c>
      <c r="AK1181" s="18" t="str">
        <f t="shared" si="75"/>
        <v/>
      </c>
      <c r="AL1181" s="18" t="str">
        <f t="shared" si="76"/>
        <v/>
      </c>
      <c r="AM1181" s="18" t="str">
        <f t="shared" si="77"/>
        <v/>
      </c>
    </row>
    <row r="1182" spans="1:39" x14ac:dyDescent="0.35">
      <c r="A1182" s="56" t="s">
        <v>1250</v>
      </c>
      <c r="B1182" s="31"/>
      <c r="C1182" s="54"/>
      <c r="D1182" s="31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E1182" s="57" t="str">
        <f t="shared" si="69"/>
        <v/>
      </c>
      <c r="AF1182" s="18" t="str">
        <f t="shared" si="70"/>
        <v/>
      </c>
      <c r="AG1182" s="18" t="str">
        <f t="shared" si="71"/>
        <v/>
      </c>
      <c r="AH1182" s="18" t="str">
        <f t="shared" si="72"/>
        <v/>
      </c>
      <c r="AI1182" s="18" t="str">
        <f t="shared" si="73"/>
        <v/>
      </c>
      <c r="AJ1182" s="18" t="str">
        <f t="shared" si="74"/>
        <v/>
      </c>
      <c r="AK1182" s="18" t="str">
        <f t="shared" si="75"/>
        <v/>
      </c>
      <c r="AL1182" s="18" t="str">
        <f t="shared" si="76"/>
        <v/>
      </c>
      <c r="AM1182" s="18" t="str">
        <f t="shared" si="77"/>
        <v/>
      </c>
    </row>
    <row r="1183" spans="1:39" x14ac:dyDescent="0.35">
      <c r="A1183" s="56" t="s">
        <v>1251</v>
      </c>
      <c r="B1183" s="31"/>
      <c r="C1183" s="54"/>
      <c r="D1183" s="31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E1183" s="57" t="str">
        <f t="shared" si="69"/>
        <v/>
      </c>
      <c r="AF1183" s="18" t="str">
        <f t="shared" si="70"/>
        <v/>
      </c>
      <c r="AG1183" s="18" t="str">
        <f t="shared" si="71"/>
        <v/>
      </c>
      <c r="AH1183" s="18" t="str">
        <f t="shared" si="72"/>
        <v/>
      </c>
      <c r="AI1183" s="18" t="str">
        <f t="shared" si="73"/>
        <v/>
      </c>
      <c r="AJ1183" s="18" t="str">
        <f t="shared" si="74"/>
        <v/>
      </c>
      <c r="AK1183" s="18" t="str">
        <f t="shared" si="75"/>
        <v/>
      </c>
      <c r="AL1183" s="18" t="str">
        <f t="shared" si="76"/>
        <v/>
      </c>
      <c r="AM1183" s="18" t="str">
        <f t="shared" si="77"/>
        <v/>
      </c>
    </row>
    <row r="1184" spans="1:39" x14ac:dyDescent="0.35">
      <c r="A1184" s="56" t="s">
        <v>1252</v>
      </c>
      <c r="B1184" s="31"/>
      <c r="C1184" s="54"/>
      <c r="D1184" s="31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E1184" s="57" t="str">
        <f t="shared" si="69"/>
        <v/>
      </c>
      <c r="AF1184" s="18" t="str">
        <f t="shared" si="70"/>
        <v/>
      </c>
      <c r="AG1184" s="18" t="str">
        <f t="shared" si="71"/>
        <v/>
      </c>
      <c r="AH1184" s="18" t="str">
        <f t="shared" si="72"/>
        <v/>
      </c>
      <c r="AI1184" s="18" t="str">
        <f t="shared" si="73"/>
        <v/>
      </c>
      <c r="AJ1184" s="18" t="str">
        <f t="shared" si="74"/>
        <v/>
      </c>
      <c r="AK1184" s="18" t="str">
        <f t="shared" si="75"/>
        <v/>
      </c>
      <c r="AL1184" s="18" t="str">
        <f t="shared" si="76"/>
        <v/>
      </c>
      <c r="AM1184" s="18" t="str">
        <f t="shared" si="77"/>
        <v/>
      </c>
    </row>
    <row r="1185" spans="1:39" x14ac:dyDescent="0.35">
      <c r="A1185" s="56" t="s">
        <v>1253</v>
      </c>
      <c r="B1185" s="31"/>
      <c r="C1185" s="54"/>
      <c r="D1185" s="31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E1185" s="57" t="str">
        <f t="shared" si="69"/>
        <v/>
      </c>
      <c r="AF1185" s="18" t="str">
        <f t="shared" si="70"/>
        <v/>
      </c>
      <c r="AG1185" s="18" t="str">
        <f t="shared" si="71"/>
        <v/>
      </c>
      <c r="AH1185" s="18" t="str">
        <f t="shared" si="72"/>
        <v/>
      </c>
      <c r="AI1185" s="18" t="str">
        <f t="shared" si="73"/>
        <v/>
      </c>
      <c r="AJ1185" s="18" t="str">
        <f t="shared" si="74"/>
        <v/>
      </c>
      <c r="AK1185" s="18" t="str">
        <f t="shared" si="75"/>
        <v/>
      </c>
      <c r="AL1185" s="18" t="str">
        <f t="shared" si="76"/>
        <v/>
      </c>
      <c r="AM1185" s="18" t="str">
        <f t="shared" si="77"/>
        <v/>
      </c>
    </row>
    <row r="1186" spans="1:39" x14ac:dyDescent="0.35">
      <c r="A1186" s="56" t="s">
        <v>1254</v>
      </c>
      <c r="B1186" s="31"/>
      <c r="C1186" s="54"/>
      <c r="D1186" s="31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E1186" s="57" t="str">
        <f t="shared" si="69"/>
        <v/>
      </c>
      <c r="AF1186" s="18" t="str">
        <f t="shared" si="70"/>
        <v/>
      </c>
      <c r="AG1186" s="18" t="str">
        <f t="shared" si="71"/>
        <v/>
      </c>
      <c r="AH1186" s="18" t="str">
        <f t="shared" si="72"/>
        <v/>
      </c>
      <c r="AI1186" s="18" t="str">
        <f t="shared" si="73"/>
        <v/>
      </c>
      <c r="AJ1186" s="18" t="str">
        <f t="shared" si="74"/>
        <v/>
      </c>
      <c r="AK1186" s="18" t="str">
        <f t="shared" si="75"/>
        <v/>
      </c>
      <c r="AL1186" s="18" t="str">
        <f t="shared" si="76"/>
        <v/>
      </c>
      <c r="AM1186" s="18" t="str">
        <f t="shared" si="77"/>
        <v/>
      </c>
    </row>
    <row r="1187" spans="1:39" x14ac:dyDescent="0.35">
      <c r="A1187" s="56" t="s">
        <v>1255</v>
      </c>
      <c r="B1187" s="31"/>
      <c r="C1187" s="54"/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E1187" s="57" t="str">
        <f t="shared" si="69"/>
        <v/>
      </c>
      <c r="AF1187" s="18" t="str">
        <f t="shared" si="70"/>
        <v/>
      </c>
      <c r="AG1187" s="18" t="str">
        <f t="shared" si="71"/>
        <v/>
      </c>
      <c r="AH1187" s="18" t="str">
        <f t="shared" si="72"/>
        <v/>
      </c>
      <c r="AI1187" s="18" t="str">
        <f t="shared" si="73"/>
        <v/>
      </c>
      <c r="AJ1187" s="18" t="str">
        <f t="shared" si="74"/>
        <v/>
      </c>
      <c r="AK1187" s="18" t="str">
        <f t="shared" si="75"/>
        <v/>
      </c>
      <c r="AL1187" s="18" t="str">
        <f t="shared" si="76"/>
        <v/>
      </c>
      <c r="AM1187" s="18" t="str">
        <f t="shared" si="77"/>
        <v/>
      </c>
    </row>
    <row r="1188" spans="1:39" x14ac:dyDescent="0.35">
      <c r="A1188" s="56" t="s">
        <v>1256</v>
      </c>
      <c r="B1188" s="31"/>
      <c r="C1188" s="54"/>
      <c r="D1188" s="31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E1188" s="57" t="str">
        <f t="shared" si="69"/>
        <v/>
      </c>
      <c r="AF1188" s="18" t="str">
        <f t="shared" si="70"/>
        <v/>
      </c>
      <c r="AG1188" s="18" t="str">
        <f t="shared" si="71"/>
        <v/>
      </c>
      <c r="AH1188" s="18" t="str">
        <f t="shared" si="72"/>
        <v/>
      </c>
      <c r="AI1188" s="18" t="str">
        <f t="shared" si="73"/>
        <v/>
      </c>
      <c r="AJ1188" s="18" t="str">
        <f t="shared" si="74"/>
        <v/>
      </c>
      <c r="AK1188" s="18" t="str">
        <f t="shared" si="75"/>
        <v/>
      </c>
      <c r="AL1188" s="18" t="str">
        <f t="shared" si="76"/>
        <v/>
      </c>
      <c r="AM1188" s="18" t="str">
        <f t="shared" si="77"/>
        <v/>
      </c>
    </row>
    <row r="1189" spans="1:39" x14ac:dyDescent="0.35">
      <c r="A1189" s="56" t="s">
        <v>1257</v>
      </c>
      <c r="B1189" s="31"/>
      <c r="C1189" s="54"/>
      <c r="D1189" s="31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E1189" s="57" t="str">
        <f t="shared" si="69"/>
        <v/>
      </c>
      <c r="AF1189" s="18" t="str">
        <f t="shared" si="70"/>
        <v/>
      </c>
      <c r="AG1189" s="18" t="str">
        <f t="shared" si="71"/>
        <v/>
      </c>
      <c r="AH1189" s="18" t="str">
        <f t="shared" si="72"/>
        <v/>
      </c>
      <c r="AI1189" s="18" t="str">
        <f t="shared" si="73"/>
        <v/>
      </c>
      <c r="AJ1189" s="18" t="str">
        <f t="shared" si="74"/>
        <v/>
      </c>
      <c r="AK1189" s="18" t="str">
        <f t="shared" si="75"/>
        <v/>
      </c>
      <c r="AL1189" s="18" t="str">
        <f t="shared" si="76"/>
        <v/>
      </c>
      <c r="AM1189" s="18" t="str">
        <f t="shared" si="77"/>
        <v/>
      </c>
    </row>
    <row r="1190" spans="1:39" x14ac:dyDescent="0.35">
      <c r="A1190" s="56" t="s">
        <v>1258</v>
      </c>
      <c r="B1190" s="31"/>
      <c r="C1190" s="54"/>
      <c r="D1190" s="31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E1190" s="57" t="str">
        <f t="shared" si="69"/>
        <v/>
      </c>
      <c r="AF1190" s="18" t="str">
        <f t="shared" si="70"/>
        <v/>
      </c>
      <c r="AG1190" s="18" t="str">
        <f t="shared" si="71"/>
        <v/>
      </c>
      <c r="AH1190" s="18" t="str">
        <f t="shared" si="72"/>
        <v/>
      </c>
      <c r="AI1190" s="18" t="str">
        <f t="shared" si="73"/>
        <v/>
      </c>
      <c r="AJ1190" s="18" t="str">
        <f t="shared" si="74"/>
        <v/>
      </c>
      <c r="AK1190" s="18" t="str">
        <f t="shared" si="75"/>
        <v/>
      </c>
      <c r="AL1190" s="18" t="str">
        <f t="shared" si="76"/>
        <v/>
      </c>
      <c r="AM1190" s="18" t="str">
        <f t="shared" si="77"/>
        <v/>
      </c>
    </row>
    <row r="1191" spans="1:39" x14ac:dyDescent="0.35">
      <c r="A1191" s="56" t="s">
        <v>1259</v>
      </c>
      <c r="B1191" s="31"/>
      <c r="C1191" s="54"/>
      <c r="D1191" s="31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E1191" s="57" t="str">
        <f t="shared" si="69"/>
        <v/>
      </c>
      <c r="AF1191" s="18" t="str">
        <f t="shared" si="70"/>
        <v/>
      </c>
      <c r="AG1191" s="18" t="str">
        <f t="shared" si="71"/>
        <v/>
      </c>
      <c r="AH1191" s="18" t="str">
        <f t="shared" si="72"/>
        <v/>
      </c>
      <c r="AI1191" s="18" t="str">
        <f t="shared" si="73"/>
        <v/>
      </c>
      <c r="AJ1191" s="18" t="str">
        <f t="shared" si="74"/>
        <v/>
      </c>
      <c r="AK1191" s="18" t="str">
        <f t="shared" si="75"/>
        <v/>
      </c>
      <c r="AL1191" s="18" t="str">
        <f t="shared" si="76"/>
        <v/>
      </c>
      <c r="AM1191" s="18" t="str">
        <f t="shared" si="77"/>
        <v/>
      </c>
    </row>
    <row r="1192" spans="1:39" x14ac:dyDescent="0.35">
      <c r="A1192" s="56" t="s">
        <v>1260</v>
      </c>
      <c r="B1192" s="31"/>
      <c r="C1192" s="54"/>
      <c r="D1192" s="31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E1192" s="57" t="str">
        <f t="shared" si="69"/>
        <v/>
      </c>
      <c r="AF1192" s="18" t="str">
        <f t="shared" si="70"/>
        <v/>
      </c>
      <c r="AG1192" s="18" t="str">
        <f t="shared" si="71"/>
        <v/>
      </c>
      <c r="AH1192" s="18" t="str">
        <f t="shared" si="72"/>
        <v/>
      </c>
      <c r="AI1192" s="18" t="str">
        <f t="shared" si="73"/>
        <v/>
      </c>
      <c r="AJ1192" s="18" t="str">
        <f t="shared" si="74"/>
        <v/>
      </c>
      <c r="AK1192" s="18" t="str">
        <f t="shared" si="75"/>
        <v/>
      </c>
      <c r="AL1192" s="18" t="str">
        <f t="shared" si="76"/>
        <v/>
      </c>
      <c r="AM1192" s="18" t="str">
        <f t="shared" si="77"/>
        <v/>
      </c>
    </row>
    <row r="1193" spans="1:39" x14ac:dyDescent="0.35">
      <c r="A1193" s="56" t="s">
        <v>1261</v>
      </c>
      <c r="B1193" s="31"/>
      <c r="C1193" s="54"/>
      <c r="D1193" s="31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E1193" s="57" t="str">
        <f t="shared" si="69"/>
        <v/>
      </c>
      <c r="AF1193" s="18" t="str">
        <f t="shared" si="70"/>
        <v/>
      </c>
      <c r="AG1193" s="18" t="str">
        <f t="shared" si="71"/>
        <v/>
      </c>
      <c r="AH1193" s="18" t="str">
        <f t="shared" si="72"/>
        <v/>
      </c>
      <c r="AI1193" s="18" t="str">
        <f t="shared" si="73"/>
        <v/>
      </c>
      <c r="AJ1193" s="18" t="str">
        <f t="shared" si="74"/>
        <v/>
      </c>
      <c r="AK1193" s="18" t="str">
        <f t="shared" si="75"/>
        <v/>
      </c>
      <c r="AL1193" s="18" t="str">
        <f t="shared" si="76"/>
        <v/>
      </c>
      <c r="AM1193" s="18" t="str">
        <f t="shared" si="77"/>
        <v/>
      </c>
    </row>
    <row r="1194" spans="1:39" x14ac:dyDescent="0.35">
      <c r="A1194" s="56" t="s">
        <v>1262</v>
      </c>
      <c r="B1194" s="31"/>
      <c r="C1194" s="54"/>
      <c r="D1194" s="31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E1194" s="57" t="str">
        <f t="shared" si="69"/>
        <v/>
      </c>
      <c r="AF1194" s="18" t="str">
        <f t="shared" si="70"/>
        <v/>
      </c>
      <c r="AG1194" s="18" t="str">
        <f t="shared" si="71"/>
        <v/>
      </c>
      <c r="AH1194" s="18" t="str">
        <f t="shared" si="72"/>
        <v/>
      </c>
      <c r="AI1194" s="18" t="str">
        <f t="shared" si="73"/>
        <v/>
      </c>
      <c r="AJ1194" s="18" t="str">
        <f t="shared" si="74"/>
        <v/>
      </c>
      <c r="AK1194" s="18" t="str">
        <f t="shared" si="75"/>
        <v/>
      </c>
      <c r="AL1194" s="18" t="str">
        <f t="shared" si="76"/>
        <v/>
      </c>
      <c r="AM1194" s="18" t="str">
        <f t="shared" si="77"/>
        <v/>
      </c>
    </row>
    <row r="1195" spans="1:39" x14ac:dyDescent="0.35">
      <c r="A1195" s="56" t="s">
        <v>1263</v>
      </c>
      <c r="B1195" s="31"/>
      <c r="C1195" s="54"/>
      <c r="D1195" s="31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E1195" s="57" t="str">
        <f t="shared" si="69"/>
        <v/>
      </c>
      <c r="AF1195" s="18" t="str">
        <f t="shared" si="70"/>
        <v/>
      </c>
      <c r="AG1195" s="18" t="str">
        <f t="shared" si="71"/>
        <v/>
      </c>
      <c r="AH1195" s="18" t="str">
        <f t="shared" si="72"/>
        <v/>
      </c>
      <c r="AI1195" s="18" t="str">
        <f t="shared" si="73"/>
        <v/>
      </c>
      <c r="AJ1195" s="18" t="str">
        <f t="shared" si="74"/>
        <v/>
      </c>
      <c r="AK1195" s="18" t="str">
        <f t="shared" si="75"/>
        <v/>
      </c>
      <c r="AL1195" s="18" t="str">
        <f t="shared" si="76"/>
        <v/>
      </c>
      <c r="AM1195" s="18" t="str">
        <f t="shared" si="77"/>
        <v/>
      </c>
    </row>
    <row r="1196" spans="1:39" x14ac:dyDescent="0.35">
      <c r="A1196" s="56" t="s">
        <v>1264</v>
      </c>
      <c r="B1196" s="31"/>
      <c r="C1196" s="54"/>
      <c r="D1196" s="31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E1196" s="57" t="str">
        <f t="shared" si="69"/>
        <v/>
      </c>
      <c r="AF1196" s="18" t="str">
        <f t="shared" si="70"/>
        <v/>
      </c>
      <c r="AG1196" s="18" t="str">
        <f t="shared" si="71"/>
        <v/>
      </c>
      <c r="AH1196" s="18" t="str">
        <f t="shared" si="72"/>
        <v/>
      </c>
      <c r="AI1196" s="18" t="str">
        <f t="shared" si="73"/>
        <v/>
      </c>
      <c r="AJ1196" s="18" t="str">
        <f t="shared" si="74"/>
        <v/>
      </c>
      <c r="AK1196" s="18" t="str">
        <f t="shared" si="75"/>
        <v/>
      </c>
      <c r="AL1196" s="18" t="str">
        <f t="shared" si="76"/>
        <v/>
      </c>
      <c r="AM1196" s="18" t="str">
        <f t="shared" si="77"/>
        <v/>
      </c>
    </row>
    <row r="1197" spans="1:39" x14ac:dyDescent="0.35">
      <c r="A1197" s="56" t="s">
        <v>1265</v>
      </c>
      <c r="B1197" s="31"/>
      <c r="C1197" s="54"/>
      <c r="D1197" s="31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E1197" s="57" t="str">
        <f t="shared" si="69"/>
        <v/>
      </c>
      <c r="AF1197" s="18" t="str">
        <f t="shared" si="70"/>
        <v/>
      </c>
      <c r="AG1197" s="18" t="str">
        <f t="shared" si="71"/>
        <v/>
      </c>
      <c r="AH1197" s="18" t="str">
        <f t="shared" si="72"/>
        <v/>
      </c>
      <c r="AI1197" s="18" t="str">
        <f t="shared" si="73"/>
        <v/>
      </c>
      <c r="AJ1197" s="18" t="str">
        <f t="shared" si="74"/>
        <v/>
      </c>
      <c r="AK1197" s="18" t="str">
        <f t="shared" si="75"/>
        <v/>
      </c>
      <c r="AL1197" s="18" t="str">
        <f t="shared" si="76"/>
        <v/>
      </c>
      <c r="AM1197" s="18" t="str">
        <f t="shared" si="77"/>
        <v/>
      </c>
    </row>
    <row r="1198" spans="1:39" x14ac:dyDescent="0.35">
      <c r="A1198" s="56" t="s">
        <v>1266</v>
      </c>
      <c r="B1198" s="31"/>
      <c r="C1198" s="54"/>
      <c r="D1198" s="31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E1198" s="57" t="str">
        <f t="shared" si="69"/>
        <v/>
      </c>
      <c r="AF1198" s="18" t="str">
        <f t="shared" si="70"/>
        <v/>
      </c>
      <c r="AG1198" s="18" t="str">
        <f t="shared" si="71"/>
        <v/>
      </c>
      <c r="AH1198" s="18" t="str">
        <f t="shared" si="72"/>
        <v/>
      </c>
      <c r="AI1198" s="18" t="str">
        <f t="shared" si="73"/>
        <v/>
      </c>
      <c r="AJ1198" s="18" t="str">
        <f t="shared" si="74"/>
        <v/>
      </c>
      <c r="AK1198" s="18" t="str">
        <f t="shared" si="75"/>
        <v/>
      </c>
      <c r="AL1198" s="18" t="str">
        <f t="shared" si="76"/>
        <v/>
      </c>
      <c r="AM1198" s="18" t="str">
        <f t="shared" si="77"/>
        <v/>
      </c>
    </row>
    <row r="1199" spans="1:39" x14ac:dyDescent="0.35">
      <c r="A1199" s="56" t="s">
        <v>1267</v>
      </c>
      <c r="B1199" s="31"/>
      <c r="C1199" s="54"/>
      <c r="D1199" s="31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E1199" s="57" t="str">
        <f t="shared" si="69"/>
        <v/>
      </c>
      <c r="AF1199" s="18" t="str">
        <f t="shared" si="70"/>
        <v/>
      </c>
      <c r="AG1199" s="18" t="str">
        <f t="shared" si="71"/>
        <v/>
      </c>
      <c r="AH1199" s="18" t="str">
        <f t="shared" si="72"/>
        <v/>
      </c>
      <c r="AI1199" s="18" t="str">
        <f t="shared" si="73"/>
        <v/>
      </c>
      <c r="AJ1199" s="18" t="str">
        <f t="shared" si="74"/>
        <v/>
      </c>
      <c r="AK1199" s="18" t="str">
        <f t="shared" si="75"/>
        <v/>
      </c>
      <c r="AL1199" s="18" t="str">
        <f t="shared" si="76"/>
        <v/>
      </c>
      <c r="AM1199" s="18" t="str">
        <f t="shared" si="77"/>
        <v/>
      </c>
    </row>
    <row r="1200" spans="1:39" x14ac:dyDescent="0.35">
      <c r="A1200" s="56" t="s">
        <v>1268</v>
      </c>
      <c r="B1200" s="31"/>
      <c r="C1200" s="54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E1200" s="57" t="str">
        <f t="shared" si="69"/>
        <v/>
      </c>
      <c r="AF1200" s="18" t="str">
        <f t="shared" si="70"/>
        <v/>
      </c>
      <c r="AG1200" s="18" t="str">
        <f t="shared" si="71"/>
        <v/>
      </c>
      <c r="AH1200" s="18" t="str">
        <f t="shared" si="72"/>
        <v/>
      </c>
      <c r="AI1200" s="18" t="str">
        <f t="shared" si="73"/>
        <v/>
      </c>
      <c r="AJ1200" s="18" t="str">
        <f t="shared" si="74"/>
        <v/>
      </c>
      <c r="AK1200" s="18" t="str">
        <f t="shared" si="75"/>
        <v/>
      </c>
      <c r="AL1200" s="18" t="str">
        <f t="shared" si="76"/>
        <v/>
      </c>
      <c r="AM1200" s="18" t="str">
        <f t="shared" si="77"/>
        <v/>
      </c>
    </row>
    <row r="1201" spans="1:39" x14ac:dyDescent="0.35">
      <c r="A1201" s="56" t="s">
        <v>1269</v>
      </c>
      <c r="B1201" s="31"/>
      <c r="C1201" s="54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E1201" s="57" t="str">
        <f t="shared" si="69"/>
        <v/>
      </c>
      <c r="AF1201" s="18" t="str">
        <f t="shared" si="70"/>
        <v/>
      </c>
      <c r="AG1201" s="18" t="str">
        <f t="shared" si="71"/>
        <v/>
      </c>
      <c r="AH1201" s="18" t="str">
        <f t="shared" si="72"/>
        <v/>
      </c>
      <c r="AI1201" s="18" t="str">
        <f t="shared" si="73"/>
        <v/>
      </c>
      <c r="AJ1201" s="18" t="str">
        <f t="shared" si="74"/>
        <v/>
      </c>
      <c r="AK1201" s="18" t="str">
        <f t="shared" si="75"/>
        <v/>
      </c>
      <c r="AL1201" s="18" t="str">
        <f t="shared" si="76"/>
        <v/>
      </c>
      <c r="AM1201" s="18" t="str">
        <f t="shared" si="77"/>
        <v/>
      </c>
    </row>
    <row r="1202" spans="1:39" x14ac:dyDescent="0.35">
      <c r="A1202" s="56" t="s">
        <v>1270</v>
      </c>
      <c r="B1202" s="31"/>
      <c r="C1202" s="54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E1202" s="57" t="str">
        <f t="shared" si="69"/>
        <v/>
      </c>
      <c r="AF1202" s="18" t="str">
        <f t="shared" si="70"/>
        <v/>
      </c>
      <c r="AG1202" s="18" t="str">
        <f t="shared" si="71"/>
        <v/>
      </c>
      <c r="AH1202" s="18" t="str">
        <f t="shared" si="72"/>
        <v/>
      </c>
      <c r="AI1202" s="18" t="str">
        <f t="shared" si="73"/>
        <v/>
      </c>
      <c r="AJ1202" s="18" t="str">
        <f t="shared" si="74"/>
        <v/>
      </c>
      <c r="AK1202" s="18" t="str">
        <f t="shared" si="75"/>
        <v/>
      </c>
      <c r="AL1202" s="18" t="str">
        <f t="shared" si="76"/>
        <v/>
      </c>
      <c r="AM1202" s="18" t="str">
        <f t="shared" si="77"/>
        <v/>
      </c>
    </row>
    <row r="1203" spans="1:39" x14ac:dyDescent="0.35">
      <c r="A1203" s="56" t="s">
        <v>1271</v>
      </c>
      <c r="B1203" s="31"/>
      <c r="C1203" s="54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E1203" s="57" t="str">
        <f t="shared" si="69"/>
        <v/>
      </c>
      <c r="AF1203" s="18" t="str">
        <f t="shared" si="70"/>
        <v/>
      </c>
      <c r="AG1203" s="18" t="str">
        <f t="shared" si="71"/>
        <v/>
      </c>
      <c r="AH1203" s="18" t="str">
        <f t="shared" si="72"/>
        <v/>
      </c>
      <c r="AI1203" s="18" t="str">
        <f t="shared" si="73"/>
        <v/>
      </c>
      <c r="AJ1203" s="18" t="str">
        <f t="shared" si="74"/>
        <v/>
      </c>
      <c r="AK1203" s="18" t="str">
        <f t="shared" si="75"/>
        <v/>
      </c>
      <c r="AL1203" s="18" t="str">
        <f t="shared" si="76"/>
        <v/>
      </c>
      <c r="AM1203" s="18" t="str">
        <f t="shared" si="77"/>
        <v/>
      </c>
    </row>
    <row r="1204" spans="1:39" x14ac:dyDescent="0.35">
      <c r="A1204" s="56" t="s">
        <v>1272</v>
      </c>
      <c r="B1204" s="31"/>
      <c r="C1204" s="54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E1204" s="57" t="str">
        <f t="shared" si="69"/>
        <v/>
      </c>
      <c r="AF1204" s="18" t="str">
        <f t="shared" si="70"/>
        <v/>
      </c>
      <c r="AG1204" s="18" t="str">
        <f t="shared" si="71"/>
        <v/>
      </c>
      <c r="AH1204" s="18" t="str">
        <f t="shared" si="72"/>
        <v/>
      </c>
      <c r="AI1204" s="18" t="str">
        <f t="shared" si="73"/>
        <v/>
      </c>
      <c r="AJ1204" s="18" t="str">
        <f t="shared" si="74"/>
        <v/>
      </c>
      <c r="AK1204" s="18" t="str">
        <f t="shared" si="75"/>
        <v/>
      </c>
      <c r="AL1204" s="18" t="str">
        <f t="shared" si="76"/>
        <v/>
      </c>
      <c r="AM1204" s="18" t="str">
        <f t="shared" si="77"/>
        <v/>
      </c>
    </row>
    <row r="1205" spans="1:39" x14ac:dyDescent="0.35">
      <c r="A1205" s="56" t="s">
        <v>1273</v>
      </c>
      <c r="B1205" s="31"/>
      <c r="C1205" s="54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E1205" s="57" t="str">
        <f t="shared" si="69"/>
        <v/>
      </c>
      <c r="AF1205" s="18" t="str">
        <f t="shared" si="70"/>
        <v/>
      </c>
      <c r="AG1205" s="18" t="str">
        <f t="shared" si="71"/>
        <v/>
      </c>
      <c r="AH1205" s="18" t="str">
        <f t="shared" si="72"/>
        <v/>
      </c>
      <c r="AI1205" s="18" t="str">
        <f t="shared" si="73"/>
        <v/>
      </c>
      <c r="AJ1205" s="18" t="str">
        <f t="shared" si="74"/>
        <v/>
      </c>
      <c r="AK1205" s="18" t="str">
        <f t="shared" si="75"/>
        <v/>
      </c>
      <c r="AL1205" s="18" t="str">
        <f t="shared" si="76"/>
        <v/>
      </c>
      <c r="AM1205" s="18" t="str">
        <f t="shared" si="77"/>
        <v/>
      </c>
    </row>
    <row r="1206" spans="1:39" x14ac:dyDescent="0.35">
      <c r="A1206" s="56" t="s">
        <v>1274</v>
      </c>
      <c r="B1206" s="31"/>
      <c r="C1206" s="54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E1206" s="57" t="str">
        <f t="shared" si="69"/>
        <v/>
      </c>
      <c r="AF1206" s="18" t="str">
        <f t="shared" si="70"/>
        <v/>
      </c>
      <c r="AG1206" s="18" t="str">
        <f t="shared" si="71"/>
        <v/>
      </c>
      <c r="AH1206" s="18" t="str">
        <f t="shared" si="72"/>
        <v/>
      </c>
      <c r="AI1206" s="18" t="str">
        <f t="shared" si="73"/>
        <v/>
      </c>
      <c r="AJ1206" s="18" t="str">
        <f t="shared" si="74"/>
        <v/>
      </c>
      <c r="AK1206" s="18" t="str">
        <f t="shared" si="75"/>
        <v/>
      </c>
      <c r="AL1206" s="18" t="str">
        <f t="shared" si="76"/>
        <v/>
      </c>
      <c r="AM1206" s="18" t="str">
        <f t="shared" si="77"/>
        <v/>
      </c>
    </row>
    <row r="1207" spans="1:39" x14ac:dyDescent="0.35">
      <c r="A1207" s="56" t="s">
        <v>1275</v>
      </c>
      <c r="B1207" s="31"/>
      <c r="C1207" s="54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E1207" s="57" t="str">
        <f t="shared" si="69"/>
        <v/>
      </c>
      <c r="AF1207" s="18" t="str">
        <f t="shared" si="70"/>
        <v/>
      </c>
      <c r="AG1207" s="18" t="str">
        <f t="shared" si="71"/>
        <v/>
      </c>
      <c r="AH1207" s="18" t="str">
        <f t="shared" si="72"/>
        <v/>
      </c>
      <c r="AI1207" s="18" t="str">
        <f t="shared" si="73"/>
        <v/>
      </c>
      <c r="AJ1207" s="18" t="str">
        <f t="shared" si="74"/>
        <v/>
      </c>
      <c r="AK1207" s="18" t="str">
        <f t="shared" si="75"/>
        <v/>
      </c>
      <c r="AL1207" s="18" t="str">
        <f t="shared" si="76"/>
        <v/>
      </c>
      <c r="AM1207" s="18" t="str">
        <f t="shared" si="77"/>
        <v/>
      </c>
    </row>
    <row r="1208" spans="1:39" x14ac:dyDescent="0.35">
      <c r="A1208" s="56" t="s">
        <v>1276</v>
      </c>
      <c r="B1208" s="31"/>
      <c r="C1208" s="54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E1208" s="57" t="str">
        <f t="shared" si="69"/>
        <v/>
      </c>
      <c r="AF1208" s="18" t="str">
        <f t="shared" si="70"/>
        <v/>
      </c>
      <c r="AG1208" s="18" t="str">
        <f t="shared" si="71"/>
        <v/>
      </c>
      <c r="AH1208" s="18" t="str">
        <f t="shared" si="72"/>
        <v/>
      </c>
      <c r="AI1208" s="18" t="str">
        <f t="shared" si="73"/>
        <v/>
      </c>
      <c r="AJ1208" s="18" t="str">
        <f t="shared" si="74"/>
        <v/>
      </c>
      <c r="AK1208" s="18" t="str">
        <f t="shared" si="75"/>
        <v/>
      </c>
      <c r="AL1208" s="18" t="str">
        <f t="shared" si="76"/>
        <v/>
      </c>
      <c r="AM1208" s="18" t="str">
        <f t="shared" si="77"/>
        <v/>
      </c>
    </row>
    <row r="1209" spans="1:39" x14ac:dyDescent="0.35">
      <c r="A1209" s="56" t="s">
        <v>1277</v>
      </c>
      <c r="B1209" s="31"/>
      <c r="C1209" s="54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E1209" s="57" t="str">
        <f t="shared" si="69"/>
        <v/>
      </c>
      <c r="AF1209" s="18" t="str">
        <f t="shared" si="70"/>
        <v/>
      </c>
      <c r="AG1209" s="18" t="str">
        <f t="shared" si="71"/>
        <v/>
      </c>
      <c r="AH1209" s="18" t="str">
        <f t="shared" si="72"/>
        <v/>
      </c>
      <c r="AI1209" s="18" t="str">
        <f t="shared" si="73"/>
        <v/>
      </c>
      <c r="AJ1209" s="18" t="str">
        <f t="shared" si="74"/>
        <v/>
      </c>
      <c r="AK1209" s="18" t="str">
        <f t="shared" si="75"/>
        <v/>
      </c>
      <c r="AL1209" s="18" t="str">
        <f t="shared" si="76"/>
        <v/>
      </c>
      <c r="AM1209" s="18" t="str">
        <f t="shared" si="77"/>
        <v/>
      </c>
    </row>
    <row r="1210" spans="1:39" x14ac:dyDescent="0.35">
      <c r="A1210" s="56" t="s">
        <v>1278</v>
      </c>
      <c r="B1210" s="31"/>
      <c r="C1210" s="54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E1210" s="57" t="str">
        <f t="shared" si="69"/>
        <v/>
      </c>
      <c r="AF1210" s="18" t="str">
        <f t="shared" si="70"/>
        <v/>
      </c>
      <c r="AG1210" s="18" t="str">
        <f t="shared" si="71"/>
        <v/>
      </c>
      <c r="AH1210" s="18" t="str">
        <f t="shared" si="72"/>
        <v/>
      </c>
      <c r="AI1210" s="18" t="str">
        <f t="shared" si="73"/>
        <v/>
      </c>
      <c r="AJ1210" s="18" t="str">
        <f t="shared" si="74"/>
        <v/>
      </c>
      <c r="AK1210" s="18" t="str">
        <f t="shared" si="75"/>
        <v/>
      </c>
      <c r="AL1210" s="18" t="str">
        <f t="shared" si="76"/>
        <v/>
      </c>
      <c r="AM1210" s="18" t="str">
        <f t="shared" si="77"/>
        <v/>
      </c>
    </row>
    <row r="1211" spans="1:39" x14ac:dyDescent="0.35">
      <c r="A1211" s="56" t="s">
        <v>1279</v>
      </c>
      <c r="B1211" s="31"/>
      <c r="C1211" s="54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E1211" s="57" t="str">
        <f t="shared" si="69"/>
        <v/>
      </c>
      <c r="AF1211" s="18" t="str">
        <f t="shared" si="70"/>
        <v/>
      </c>
      <c r="AG1211" s="18" t="str">
        <f t="shared" si="71"/>
        <v/>
      </c>
      <c r="AH1211" s="18" t="str">
        <f t="shared" si="72"/>
        <v/>
      </c>
      <c r="AI1211" s="18" t="str">
        <f t="shared" si="73"/>
        <v/>
      </c>
      <c r="AJ1211" s="18" t="str">
        <f t="shared" si="74"/>
        <v/>
      </c>
      <c r="AK1211" s="18" t="str">
        <f t="shared" si="75"/>
        <v/>
      </c>
      <c r="AL1211" s="18" t="str">
        <f t="shared" si="76"/>
        <v/>
      </c>
      <c r="AM1211" s="18" t="str">
        <f t="shared" si="77"/>
        <v/>
      </c>
    </row>
    <row r="1212" spans="1:39" x14ac:dyDescent="0.35">
      <c r="A1212" s="56" t="s">
        <v>1280</v>
      </c>
      <c r="B1212" s="31"/>
      <c r="C1212" s="54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E1212" s="57" t="str">
        <f t="shared" si="69"/>
        <v/>
      </c>
      <c r="AF1212" s="18" t="str">
        <f t="shared" si="70"/>
        <v/>
      </c>
      <c r="AG1212" s="18" t="str">
        <f t="shared" si="71"/>
        <v/>
      </c>
      <c r="AH1212" s="18" t="str">
        <f t="shared" si="72"/>
        <v/>
      </c>
      <c r="AI1212" s="18" t="str">
        <f t="shared" si="73"/>
        <v/>
      </c>
      <c r="AJ1212" s="18" t="str">
        <f t="shared" si="74"/>
        <v/>
      </c>
      <c r="AK1212" s="18" t="str">
        <f t="shared" si="75"/>
        <v/>
      </c>
      <c r="AL1212" s="18" t="str">
        <f t="shared" si="76"/>
        <v/>
      </c>
      <c r="AM1212" s="18" t="str">
        <f t="shared" si="77"/>
        <v/>
      </c>
    </row>
    <row r="1213" spans="1:39" x14ac:dyDescent="0.35">
      <c r="A1213" s="56" t="s">
        <v>1281</v>
      </c>
      <c r="B1213" s="31"/>
      <c r="C1213" s="54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E1213" s="57" t="str">
        <f t="shared" si="69"/>
        <v/>
      </c>
      <c r="AF1213" s="18" t="str">
        <f t="shared" si="70"/>
        <v/>
      </c>
      <c r="AG1213" s="18" t="str">
        <f t="shared" si="71"/>
        <v/>
      </c>
      <c r="AH1213" s="18" t="str">
        <f t="shared" si="72"/>
        <v/>
      </c>
      <c r="AI1213" s="18" t="str">
        <f t="shared" si="73"/>
        <v/>
      </c>
      <c r="AJ1213" s="18" t="str">
        <f t="shared" si="74"/>
        <v/>
      </c>
      <c r="AK1213" s="18" t="str">
        <f t="shared" si="75"/>
        <v/>
      </c>
      <c r="AL1213" s="18" t="str">
        <f t="shared" si="76"/>
        <v/>
      </c>
      <c r="AM1213" s="18" t="str">
        <f t="shared" si="77"/>
        <v/>
      </c>
    </row>
    <row r="1214" spans="1:39" x14ac:dyDescent="0.35">
      <c r="A1214" s="56" t="s">
        <v>1282</v>
      </c>
      <c r="B1214" s="31"/>
      <c r="C1214" s="54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E1214" s="57" t="str">
        <f t="shared" si="69"/>
        <v/>
      </c>
      <c r="AF1214" s="18" t="str">
        <f t="shared" si="70"/>
        <v/>
      </c>
      <c r="AG1214" s="18" t="str">
        <f t="shared" si="71"/>
        <v/>
      </c>
      <c r="AH1214" s="18" t="str">
        <f t="shared" si="72"/>
        <v/>
      </c>
      <c r="AI1214" s="18" t="str">
        <f t="shared" si="73"/>
        <v/>
      </c>
      <c r="AJ1214" s="18" t="str">
        <f t="shared" si="74"/>
        <v/>
      </c>
      <c r="AK1214" s="18" t="str">
        <f t="shared" si="75"/>
        <v/>
      </c>
      <c r="AL1214" s="18" t="str">
        <f t="shared" si="76"/>
        <v/>
      </c>
      <c r="AM1214" s="18" t="str">
        <f t="shared" si="77"/>
        <v/>
      </c>
    </row>
    <row r="1215" spans="1:39" x14ac:dyDescent="0.35">
      <c r="A1215" s="56" t="s">
        <v>1283</v>
      </c>
      <c r="B1215" s="31"/>
      <c r="C1215" s="54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E1215" s="57" t="str">
        <f t="shared" si="69"/>
        <v/>
      </c>
      <c r="AF1215" s="18" t="str">
        <f t="shared" si="70"/>
        <v/>
      </c>
      <c r="AG1215" s="18" t="str">
        <f t="shared" si="71"/>
        <v/>
      </c>
      <c r="AH1215" s="18" t="str">
        <f t="shared" si="72"/>
        <v/>
      </c>
      <c r="AI1215" s="18" t="str">
        <f t="shared" si="73"/>
        <v/>
      </c>
      <c r="AJ1215" s="18" t="str">
        <f t="shared" si="74"/>
        <v/>
      </c>
      <c r="AK1215" s="18" t="str">
        <f t="shared" si="75"/>
        <v/>
      </c>
      <c r="AL1215" s="18" t="str">
        <f t="shared" si="76"/>
        <v/>
      </c>
      <c r="AM1215" s="18" t="str">
        <f t="shared" si="77"/>
        <v/>
      </c>
    </row>
    <row r="1216" spans="1:39" x14ac:dyDescent="0.35">
      <c r="A1216" s="56" t="s">
        <v>1284</v>
      </c>
      <c r="B1216" s="31"/>
      <c r="C1216" s="54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E1216" s="57" t="str">
        <f t="shared" si="69"/>
        <v/>
      </c>
      <c r="AF1216" s="18" t="str">
        <f t="shared" si="70"/>
        <v/>
      </c>
      <c r="AG1216" s="18" t="str">
        <f t="shared" si="71"/>
        <v/>
      </c>
      <c r="AH1216" s="18" t="str">
        <f t="shared" si="72"/>
        <v/>
      </c>
      <c r="AI1216" s="18" t="str">
        <f t="shared" si="73"/>
        <v/>
      </c>
      <c r="AJ1216" s="18" t="str">
        <f t="shared" si="74"/>
        <v/>
      </c>
      <c r="AK1216" s="18" t="str">
        <f t="shared" si="75"/>
        <v/>
      </c>
      <c r="AL1216" s="18" t="str">
        <f t="shared" si="76"/>
        <v/>
      </c>
      <c r="AM1216" s="18" t="str">
        <f t="shared" si="77"/>
        <v/>
      </c>
    </row>
    <row r="1217" spans="1:39" x14ac:dyDescent="0.35">
      <c r="A1217" s="56" t="s">
        <v>1285</v>
      </c>
      <c r="B1217" s="31"/>
      <c r="C1217" s="54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E1217" s="57" t="str">
        <f t="shared" si="69"/>
        <v/>
      </c>
      <c r="AF1217" s="18" t="str">
        <f t="shared" si="70"/>
        <v/>
      </c>
      <c r="AG1217" s="18" t="str">
        <f t="shared" si="71"/>
        <v/>
      </c>
      <c r="AH1217" s="18" t="str">
        <f t="shared" si="72"/>
        <v/>
      </c>
      <c r="AI1217" s="18" t="str">
        <f t="shared" si="73"/>
        <v/>
      </c>
      <c r="AJ1217" s="18" t="str">
        <f t="shared" si="74"/>
        <v/>
      </c>
      <c r="AK1217" s="18" t="str">
        <f t="shared" si="75"/>
        <v/>
      </c>
      <c r="AL1217" s="18" t="str">
        <f t="shared" si="76"/>
        <v/>
      </c>
      <c r="AM1217" s="18" t="str">
        <f t="shared" si="77"/>
        <v/>
      </c>
    </row>
    <row r="1218" spans="1:39" x14ac:dyDescent="0.35">
      <c r="A1218" s="56" t="s">
        <v>1286</v>
      </c>
      <c r="B1218" s="31"/>
      <c r="C1218" s="54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E1218" s="57" t="str">
        <f t="shared" si="69"/>
        <v/>
      </c>
      <c r="AF1218" s="18" t="str">
        <f t="shared" si="70"/>
        <v/>
      </c>
      <c r="AG1218" s="18" t="str">
        <f t="shared" si="71"/>
        <v/>
      </c>
      <c r="AH1218" s="18" t="str">
        <f t="shared" si="72"/>
        <v/>
      </c>
      <c r="AI1218" s="18" t="str">
        <f t="shared" si="73"/>
        <v/>
      </c>
      <c r="AJ1218" s="18" t="str">
        <f t="shared" si="74"/>
        <v/>
      </c>
      <c r="AK1218" s="18" t="str">
        <f t="shared" si="75"/>
        <v/>
      </c>
      <c r="AL1218" s="18" t="str">
        <f t="shared" si="76"/>
        <v/>
      </c>
      <c r="AM1218" s="18" t="str">
        <f t="shared" si="77"/>
        <v/>
      </c>
    </row>
    <row r="1219" spans="1:39" x14ac:dyDescent="0.35">
      <c r="A1219" s="56" t="s">
        <v>1287</v>
      </c>
      <c r="B1219" s="31"/>
      <c r="C1219" s="54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E1219" s="57" t="str">
        <f t="shared" ref="AE1219:AE1282" si="78">IFERROR(VLOOKUP(AD1219,$A$2:$AA$2000,2,0),"")</f>
        <v/>
      </c>
      <c r="AF1219" s="18" t="str">
        <f t="shared" ref="AF1219:AF1282" si="79">IFERROR(VLOOKUP(AD1219,$A$2:$AA$2000,22,0),"")</f>
        <v/>
      </c>
      <c r="AG1219" s="18" t="str">
        <f t="shared" ref="AG1219:AG1282" si="80">IFERROR(VLOOKUP(AD1219,$A$2:$AA$2000,18,0),"")</f>
        <v/>
      </c>
      <c r="AH1219" s="18" t="str">
        <f t="shared" ref="AH1219:AH1282" si="81">IFERROR(VLOOKUP(AD1219,$A$2:$AA$2000,17,0),"")</f>
        <v/>
      </c>
      <c r="AI1219" s="18" t="str">
        <f t="shared" ref="AI1219:AI1282" si="82">IFERROR(VLOOKUP(AD1219,$A$2:$AA$2000,20,0),"")</f>
        <v/>
      </c>
      <c r="AJ1219" s="18" t="str">
        <f t="shared" ref="AJ1219:AJ1282" si="83">IFERROR(VLOOKUP(AD1219,$A$2:$AA$2000,9,0),"")</f>
        <v/>
      </c>
      <c r="AK1219" s="18" t="str">
        <f t="shared" ref="AK1219:AK1282" si="84">IFERROR(VLOOKUP(AD1219,$A$2:$AA$2000,5,0),"")</f>
        <v/>
      </c>
      <c r="AL1219" s="18" t="str">
        <f t="shared" ref="AL1219:AL1282" si="85">IFERROR(VLOOKUP(AD1219,$A$2:$AA$2000,4,0),"")</f>
        <v/>
      </c>
      <c r="AM1219" s="18" t="str">
        <f t="shared" ref="AM1219:AM1282" si="86">IFERROR(VLOOKUP(AD1219,$A$2:$AA$2000,7,0),"")</f>
        <v/>
      </c>
    </row>
    <row r="1220" spans="1:39" x14ac:dyDescent="0.35">
      <c r="A1220" s="56" t="s">
        <v>1288</v>
      </c>
      <c r="B1220" s="31"/>
      <c r="C1220" s="54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E1220" s="57" t="str">
        <f t="shared" si="78"/>
        <v/>
      </c>
      <c r="AF1220" s="18" t="str">
        <f t="shared" si="79"/>
        <v/>
      </c>
      <c r="AG1220" s="18" t="str">
        <f t="shared" si="80"/>
        <v/>
      </c>
      <c r="AH1220" s="18" t="str">
        <f t="shared" si="81"/>
        <v/>
      </c>
      <c r="AI1220" s="18" t="str">
        <f t="shared" si="82"/>
        <v/>
      </c>
      <c r="AJ1220" s="18" t="str">
        <f t="shared" si="83"/>
        <v/>
      </c>
      <c r="AK1220" s="18" t="str">
        <f t="shared" si="84"/>
        <v/>
      </c>
      <c r="AL1220" s="18" t="str">
        <f t="shared" si="85"/>
        <v/>
      </c>
      <c r="AM1220" s="18" t="str">
        <f t="shared" si="86"/>
        <v/>
      </c>
    </row>
    <row r="1221" spans="1:39" x14ac:dyDescent="0.35">
      <c r="A1221" s="56" t="s">
        <v>1289</v>
      </c>
      <c r="B1221" s="31"/>
      <c r="C1221" s="54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E1221" s="57" t="str">
        <f t="shared" si="78"/>
        <v/>
      </c>
      <c r="AF1221" s="18" t="str">
        <f t="shared" si="79"/>
        <v/>
      </c>
      <c r="AG1221" s="18" t="str">
        <f t="shared" si="80"/>
        <v/>
      </c>
      <c r="AH1221" s="18" t="str">
        <f t="shared" si="81"/>
        <v/>
      </c>
      <c r="AI1221" s="18" t="str">
        <f t="shared" si="82"/>
        <v/>
      </c>
      <c r="AJ1221" s="18" t="str">
        <f t="shared" si="83"/>
        <v/>
      </c>
      <c r="AK1221" s="18" t="str">
        <f t="shared" si="84"/>
        <v/>
      </c>
      <c r="AL1221" s="18" t="str">
        <f t="shared" si="85"/>
        <v/>
      </c>
      <c r="AM1221" s="18" t="str">
        <f t="shared" si="86"/>
        <v/>
      </c>
    </row>
    <row r="1222" spans="1:39" x14ac:dyDescent="0.35">
      <c r="A1222" s="56" t="s">
        <v>1290</v>
      </c>
      <c r="B1222" s="31"/>
      <c r="C1222" s="54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E1222" s="57" t="str">
        <f t="shared" si="78"/>
        <v/>
      </c>
      <c r="AF1222" s="18" t="str">
        <f t="shared" si="79"/>
        <v/>
      </c>
      <c r="AG1222" s="18" t="str">
        <f t="shared" si="80"/>
        <v/>
      </c>
      <c r="AH1222" s="18" t="str">
        <f t="shared" si="81"/>
        <v/>
      </c>
      <c r="AI1222" s="18" t="str">
        <f t="shared" si="82"/>
        <v/>
      </c>
      <c r="AJ1222" s="18" t="str">
        <f t="shared" si="83"/>
        <v/>
      </c>
      <c r="AK1222" s="18" t="str">
        <f t="shared" si="84"/>
        <v/>
      </c>
      <c r="AL1222" s="18" t="str">
        <f t="shared" si="85"/>
        <v/>
      </c>
      <c r="AM1222" s="18" t="str">
        <f t="shared" si="86"/>
        <v/>
      </c>
    </row>
    <row r="1223" spans="1:39" x14ac:dyDescent="0.35">
      <c r="A1223" s="56" t="s">
        <v>1291</v>
      </c>
      <c r="B1223" s="31"/>
      <c r="C1223" s="54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E1223" s="57" t="str">
        <f t="shared" si="78"/>
        <v/>
      </c>
      <c r="AF1223" s="18" t="str">
        <f t="shared" si="79"/>
        <v/>
      </c>
      <c r="AG1223" s="18" t="str">
        <f t="shared" si="80"/>
        <v/>
      </c>
      <c r="AH1223" s="18" t="str">
        <f t="shared" si="81"/>
        <v/>
      </c>
      <c r="AI1223" s="18" t="str">
        <f t="shared" si="82"/>
        <v/>
      </c>
      <c r="AJ1223" s="18" t="str">
        <f t="shared" si="83"/>
        <v/>
      </c>
      <c r="AK1223" s="18" t="str">
        <f t="shared" si="84"/>
        <v/>
      </c>
      <c r="AL1223" s="18" t="str">
        <f t="shared" si="85"/>
        <v/>
      </c>
      <c r="AM1223" s="18" t="str">
        <f t="shared" si="86"/>
        <v/>
      </c>
    </row>
    <row r="1224" spans="1:39" x14ac:dyDescent="0.35">
      <c r="A1224" s="56" t="s">
        <v>1292</v>
      </c>
      <c r="B1224" s="31"/>
      <c r="C1224" s="54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E1224" s="57" t="str">
        <f t="shared" si="78"/>
        <v/>
      </c>
      <c r="AF1224" s="18" t="str">
        <f t="shared" si="79"/>
        <v/>
      </c>
      <c r="AG1224" s="18" t="str">
        <f t="shared" si="80"/>
        <v/>
      </c>
      <c r="AH1224" s="18" t="str">
        <f t="shared" si="81"/>
        <v/>
      </c>
      <c r="AI1224" s="18" t="str">
        <f t="shared" si="82"/>
        <v/>
      </c>
      <c r="AJ1224" s="18" t="str">
        <f t="shared" si="83"/>
        <v/>
      </c>
      <c r="AK1224" s="18" t="str">
        <f t="shared" si="84"/>
        <v/>
      </c>
      <c r="AL1224" s="18" t="str">
        <f t="shared" si="85"/>
        <v/>
      </c>
      <c r="AM1224" s="18" t="str">
        <f t="shared" si="86"/>
        <v/>
      </c>
    </row>
    <row r="1225" spans="1:39" x14ac:dyDescent="0.35">
      <c r="A1225" s="56" t="s">
        <v>1293</v>
      </c>
      <c r="B1225" s="31"/>
      <c r="C1225" s="54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E1225" s="57" t="str">
        <f t="shared" si="78"/>
        <v/>
      </c>
      <c r="AF1225" s="18" t="str">
        <f t="shared" si="79"/>
        <v/>
      </c>
      <c r="AG1225" s="18" t="str">
        <f t="shared" si="80"/>
        <v/>
      </c>
      <c r="AH1225" s="18" t="str">
        <f t="shared" si="81"/>
        <v/>
      </c>
      <c r="AI1225" s="18" t="str">
        <f t="shared" si="82"/>
        <v/>
      </c>
      <c r="AJ1225" s="18" t="str">
        <f t="shared" si="83"/>
        <v/>
      </c>
      <c r="AK1225" s="18" t="str">
        <f t="shared" si="84"/>
        <v/>
      </c>
      <c r="AL1225" s="18" t="str">
        <f t="shared" si="85"/>
        <v/>
      </c>
      <c r="AM1225" s="18" t="str">
        <f t="shared" si="86"/>
        <v/>
      </c>
    </row>
    <row r="1226" spans="1:39" x14ac:dyDescent="0.35">
      <c r="A1226" s="56" t="s">
        <v>1294</v>
      </c>
      <c r="B1226" s="31"/>
      <c r="C1226" s="54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E1226" s="57" t="str">
        <f t="shared" si="78"/>
        <v/>
      </c>
      <c r="AF1226" s="18" t="str">
        <f t="shared" si="79"/>
        <v/>
      </c>
      <c r="AG1226" s="18" t="str">
        <f t="shared" si="80"/>
        <v/>
      </c>
      <c r="AH1226" s="18" t="str">
        <f t="shared" si="81"/>
        <v/>
      </c>
      <c r="AI1226" s="18" t="str">
        <f t="shared" si="82"/>
        <v/>
      </c>
      <c r="AJ1226" s="18" t="str">
        <f t="shared" si="83"/>
        <v/>
      </c>
      <c r="AK1226" s="18" t="str">
        <f t="shared" si="84"/>
        <v/>
      </c>
      <c r="AL1226" s="18" t="str">
        <f t="shared" si="85"/>
        <v/>
      </c>
      <c r="AM1226" s="18" t="str">
        <f t="shared" si="86"/>
        <v/>
      </c>
    </row>
    <row r="1227" spans="1:39" x14ac:dyDescent="0.35">
      <c r="A1227" s="56" t="s">
        <v>1295</v>
      </c>
      <c r="B1227" s="31"/>
      <c r="C1227" s="54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E1227" s="57" t="str">
        <f t="shared" si="78"/>
        <v/>
      </c>
      <c r="AF1227" s="18" t="str">
        <f t="shared" si="79"/>
        <v/>
      </c>
      <c r="AG1227" s="18" t="str">
        <f t="shared" si="80"/>
        <v/>
      </c>
      <c r="AH1227" s="18" t="str">
        <f t="shared" si="81"/>
        <v/>
      </c>
      <c r="AI1227" s="18" t="str">
        <f t="shared" si="82"/>
        <v/>
      </c>
      <c r="AJ1227" s="18" t="str">
        <f t="shared" si="83"/>
        <v/>
      </c>
      <c r="AK1227" s="18" t="str">
        <f t="shared" si="84"/>
        <v/>
      </c>
      <c r="AL1227" s="18" t="str">
        <f t="shared" si="85"/>
        <v/>
      </c>
      <c r="AM1227" s="18" t="str">
        <f t="shared" si="86"/>
        <v/>
      </c>
    </row>
    <row r="1228" spans="1:39" x14ac:dyDescent="0.35">
      <c r="A1228" s="56" t="s">
        <v>1296</v>
      </c>
      <c r="B1228" s="31"/>
      <c r="C1228" s="54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E1228" s="57" t="str">
        <f t="shared" si="78"/>
        <v/>
      </c>
      <c r="AF1228" s="18" t="str">
        <f t="shared" si="79"/>
        <v/>
      </c>
      <c r="AG1228" s="18" t="str">
        <f t="shared" si="80"/>
        <v/>
      </c>
      <c r="AH1228" s="18" t="str">
        <f t="shared" si="81"/>
        <v/>
      </c>
      <c r="AI1228" s="18" t="str">
        <f t="shared" si="82"/>
        <v/>
      </c>
      <c r="AJ1228" s="18" t="str">
        <f t="shared" si="83"/>
        <v/>
      </c>
      <c r="AK1228" s="18" t="str">
        <f t="shared" si="84"/>
        <v/>
      </c>
      <c r="AL1228" s="18" t="str">
        <f t="shared" si="85"/>
        <v/>
      </c>
      <c r="AM1228" s="18" t="str">
        <f t="shared" si="86"/>
        <v/>
      </c>
    </row>
    <row r="1229" spans="1:39" x14ac:dyDescent="0.35">
      <c r="A1229" s="56" t="s">
        <v>1297</v>
      </c>
      <c r="B1229" s="31"/>
      <c r="C1229" s="54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E1229" s="57" t="str">
        <f t="shared" si="78"/>
        <v/>
      </c>
      <c r="AF1229" s="18" t="str">
        <f t="shared" si="79"/>
        <v/>
      </c>
      <c r="AG1229" s="18" t="str">
        <f t="shared" si="80"/>
        <v/>
      </c>
      <c r="AH1229" s="18" t="str">
        <f t="shared" si="81"/>
        <v/>
      </c>
      <c r="AI1229" s="18" t="str">
        <f t="shared" si="82"/>
        <v/>
      </c>
      <c r="AJ1229" s="18" t="str">
        <f t="shared" si="83"/>
        <v/>
      </c>
      <c r="AK1229" s="18" t="str">
        <f t="shared" si="84"/>
        <v/>
      </c>
      <c r="AL1229" s="18" t="str">
        <f t="shared" si="85"/>
        <v/>
      </c>
      <c r="AM1229" s="18" t="str">
        <f t="shared" si="86"/>
        <v/>
      </c>
    </row>
    <row r="1230" spans="1:39" x14ac:dyDescent="0.35">
      <c r="A1230" s="56" t="s">
        <v>1298</v>
      </c>
      <c r="B1230" s="31"/>
      <c r="C1230" s="54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E1230" s="57" t="str">
        <f t="shared" si="78"/>
        <v/>
      </c>
      <c r="AF1230" s="18" t="str">
        <f t="shared" si="79"/>
        <v/>
      </c>
      <c r="AG1230" s="18" t="str">
        <f t="shared" si="80"/>
        <v/>
      </c>
      <c r="AH1230" s="18" t="str">
        <f t="shared" si="81"/>
        <v/>
      </c>
      <c r="AI1230" s="18" t="str">
        <f t="shared" si="82"/>
        <v/>
      </c>
      <c r="AJ1230" s="18" t="str">
        <f t="shared" si="83"/>
        <v/>
      </c>
      <c r="AK1230" s="18" t="str">
        <f t="shared" si="84"/>
        <v/>
      </c>
      <c r="AL1230" s="18" t="str">
        <f t="shared" si="85"/>
        <v/>
      </c>
      <c r="AM1230" s="18" t="str">
        <f t="shared" si="86"/>
        <v/>
      </c>
    </row>
    <row r="1231" spans="1:39" x14ac:dyDescent="0.35">
      <c r="A1231" s="56" t="s">
        <v>1299</v>
      </c>
      <c r="B1231" s="31"/>
      <c r="C1231" s="54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E1231" s="57" t="str">
        <f t="shared" si="78"/>
        <v/>
      </c>
      <c r="AF1231" s="18" t="str">
        <f t="shared" si="79"/>
        <v/>
      </c>
      <c r="AG1231" s="18" t="str">
        <f t="shared" si="80"/>
        <v/>
      </c>
      <c r="AH1231" s="18" t="str">
        <f t="shared" si="81"/>
        <v/>
      </c>
      <c r="AI1231" s="18" t="str">
        <f t="shared" si="82"/>
        <v/>
      </c>
      <c r="AJ1231" s="18" t="str">
        <f t="shared" si="83"/>
        <v/>
      </c>
      <c r="AK1231" s="18" t="str">
        <f t="shared" si="84"/>
        <v/>
      </c>
      <c r="AL1231" s="18" t="str">
        <f t="shared" si="85"/>
        <v/>
      </c>
      <c r="AM1231" s="18" t="str">
        <f t="shared" si="86"/>
        <v/>
      </c>
    </row>
    <row r="1232" spans="1:39" x14ac:dyDescent="0.35">
      <c r="A1232" s="56" t="s">
        <v>1300</v>
      </c>
      <c r="B1232" s="31"/>
      <c r="C1232" s="54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E1232" s="57" t="str">
        <f t="shared" si="78"/>
        <v/>
      </c>
      <c r="AF1232" s="18" t="str">
        <f t="shared" si="79"/>
        <v/>
      </c>
      <c r="AG1232" s="18" t="str">
        <f t="shared" si="80"/>
        <v/>
      </c>
      <c r="AH1232" s="18" t="str">
        <f t="shared" si="81"/>
        <v/>
      </c>
      <c r="AI1232" s="18" t="str">
        <f t="shared" si="82"/>
        <v/>
      </c>
      <c r="AJ1232" s="18" t="str">
        <f t="shared" si="83"/>
        <v/>
      </c>
      <c r="AK1232" s="18" t="str">
        <f t="shared" si="84"/>
        <v/>
      </c>
      <c r="AL1232" s="18" t="str">
        <f t="shared" si="85"/>
        <v/>
      </c>
      <c r="AM1232" s="18" t="str">
        <f t="shared" si="86"/>
        <v/>
      </c>
    </row>
    <row r="1233" spans="1:39" x14ac:dyDescent="0.35">
      <c r="A1233" s="56" t="s">
        <v>1301</v>
      </c>
      <c r="B1233" s="31"/>
      <c r="C1233" s="54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E1233" s="57" t="str">
        <f t="shared" si="78"/>
        <v/>
      </c>
      <c r="AF1233" s="18" t="str">
        <f t="shared" si="79"/>
        <v/>
      </c>
      <c r="AG1233" s="18" t="str">
        <f t="shared" si="80"/>
        <v/>
      </c>
      <c r="AH1233" s="18" t="str">
        <f t="shared" si="81"/>
        <v/>
      </c>
      <c r="AI1233" s="18" t="str">
        <f t="shared" si="82"/>
        <v/>
      </c>
      <c r="AJ1233" s="18" t="str">
        <f t="shared" si="83"/>
        <v/>
      </c>
      <c r="AK1233" s="18" t="str">
        <f t="shared" si="84"/>
        <v/>
      </c>
      <c r="AL1233" s="18" t="str">
        <f t="shared" si="85"/>
        <v/>
      </c>
      <c r="AM1233" s="18" t="str">
        <f t="shared" si="86"/>
        <v/>
      </c>
    </row>
    <row r="1234" spans="1:39" x14ac:dyDescent="0.35">
      <c r="A1234" s="56" t="s">
        <v>1302</v>
      </c>
      <c r="B1234" s="31"/>
      <c r="C1234" s="54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E1234" s="57" t="str">
        <f t="shared" si="78"/>
        <v/>
      </c>
      <c r="AF1234" s="18" t="str">
        <f t="shared" si="79"/>
        <v/>
      </c>
      <c r="AG1234" s="18" t="str">
        <f t="shared" si="80"/>
        <v/>
      </c>
      <c r="AH1234" s="18" t="str">
        <f t="shared" si="81"/>
        <v/>
      </c>
      <c r="AI1234" s="18" t="str">
        <f t="shared" si="82"/>
        <v/>
      </c>
      <c r="AJ1234" s="18" t="str">
        <f t="shared" si="83"/>
        <v/>
      </c>
      <c r="AK1234" s="18" t="str">
        <f t="shared" si="84"/>
        <v/>
      </c>
      <c r="AL1234" s="18" t="str">
        <f t="shared" si="85"/>
        <v/>
      </c>
      <c r="AM1234" s="18" t="str">
        <f t="shared" si="86"/>
        <v/>
      </c>
    </row>
    <row r="1235" spans="1:39" x14ac:dyDescent="0.35">
      <c r="A1235" s="56" t="s">
        <v>1303</v>
      </c>
      <c r="B1235" s="31"/>
      <c r="C1235" s="54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E1235" s="57" t="str">
        <f t="shared" si="78"/>
        <v/>
      </c>
      <c r="AF1235" s="18" t="str">
        <f t="shared" si="79"/>
        <v/>
      </c>
      <c r="AG1235" s="18" t="str">
        <f t="shared" si="80"/>
        <v/>
      </c>
      <c r="AH1235" s="18" t="str">
        <f t="shared" si="81"/>
        <v/>
      </c>
      <c r="AI1235" s="18" t="str">
        <f t="shared" si="82"/>
        <v/>
      </c>
      <c r="AJ1235" s="18" t="str">
        <f t="shared" si="83"/>
        <v/>
      </c>
      <c r="AK1235" s="18" t="str">
        <f t="shared" si="84"/>
        <v/>
      </c>
      <c r="AL1235" s="18" t="str">
        <f t="shared" si="85"/>
        <v/>
      </c>
      <c r="AM1235" s="18" t="str">
        <f t="shared" si="86"/>
        <v/>
      </c>
    </row>
    <row r="1236" spans="1:39" x14ac:dyDescent="0.35">
      <c r="A1236" s="56" t="s">
        <v>1304</v>
      </c>
      <c r="B1236" s="31"/>
      <c r="C1236" s="54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E1236" s="57" t="str">
        <f t="shared" si="78"/>
        <v/>
      </c>
      <c r="AF1236" s="18" t="str">
        <f t="shared" si="79"/>
        <v/>
      </c>
      <c r="AG1236" s="18" t="str">
        <f t="shared" si="80"/>
        <v/>
      </c>
      <c r="AH1236" s="18" t="str">
        <f t="shared" si="81"/>
        <v/>
      </c>
      <c r="AI1236" s="18" t="str">
        <f t="shared" si="82"/>
        <v/>
      </c>
      <c r="AJ1236" s="18" t="str">
        <f t="shared" si="83"/>
        <v/>
      </c>
      <c r="AK1236" s="18" t="str">
        <f t="shared" si="84"/>
        <v/>
      </c>
      <c r="AL1236" s="18" t="str">
        <f t="shared" si="85"/>
        <v/>
      </c>
      <c r="AM1236" s="18" t="str">
        <f t="shared" si="86"/>
        <v/>
      </c>
    </row>
    <row r="1237" spans="1:39" x14ac:dyDescent="0.35">
      <c r="A1237" s="56" t="s">
        <v>1305</v>
      </c>
      <c r="B1237" s="31"/>
      <c r="C1237" s="54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E1237" s="57" t="str">
        <f t="shared" si="78"/>
        <v/>
      </c>
      <c r="AF1237" s="18" t="str">
        <f t="shared" si="79"/>
        <v/>
      </c>
      <c r="AG1237" s="18" t="str">
        <f t="shared" si="80"/>
        <v/>
      </c>
      <c r="AH1237" s="18" t="str">
        <f t="shared" si="81"/>
        <v/>
      </c>
      <c r="AI1237" s="18" t="str">
        <f t="shared" si="82"/>
        <v/>
      </c>
      <c r="AJ1237" s="18" t="str">
        <f t="shared" si="83"/>
        <v/>
      </c>
      <c r="AK1237" s="18" t="str">
        <f t="shared" si="84"/>
        <v/>
      </c>
      <c r="AL1237" s="18" t="str">
        <f t="shared" si="85"/>
        <v/>
      </c>
      <c r="AM1237" s="18" t="str">
        <f t="shared" si="86"/>
        <v/>
      </c>
    </row>
    <row r="1238" spans="1:39" x14ac:dyDescent="0.35">
      <c r="A1238" s="56" t="s">
        <v>1306</v>
      </c>
      <c r="B1238" s="31"/>
      <c r="C1238" s="54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E1238" s="57" t="str">
        <f t="shared" si="78"/>
        <v/>
      </c>
      <c r="AF1238" s="18" t="str">
        <f t="shared" si="79"/>
        <v/>
      </c>
      <c r="AG1238" s="18" t="str">
        <f t="shared" si="80"/>
        <v/>
      </c>
      <c r="AH1238" s="18" t="str">
        <f t="shared" si="81"/>
        <v/>
      </c>
      <c r="AI1238" s="18" t="str">
        <f t="shared" si="82"/>
        <v/>
      </c>
      <c r="AJ1238" s="18" t="str">
        <f t="shared" si="83"/>
        <v/>
      </c>
      <c r="AK1238" s="18" t="str">
        <f t="shared" si="84"/>
        <v/>
      </c>
      <c r="AL1238" s="18" t="str">
        <f t="shared" si="85"/>
        <v/>
      </c>
      <c r="AM1238" s="18" t="str">
        <f t="shared" si="86"/>
        <v/>
      </c>
    </row>
    <row r="1239" spans="1:39" x14ac:dyDescent="0.35">
      <c r="A1239" s="56" t="s">
        <v>1307</v>
      </c>
      <c r="B1239" s="31"/>
      <c r="C1239" s="54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E1239" s="57" t="str">
        <f t="shared" si="78"/>
        <v/>
      </c>
      <c r="AF1239" s="18" t="str">
        <f t="shared" si="79"/>
        <v/>
      </c>
      <c r="AG1239" s="18" t="str">
        <f t="shared" si="80"/>
        <v/>
      </c>
      <c r="AH1239" s="18" t="str">
        <f t="shared" si="81"/>
        <v/>
      </c>
      <c r="AI1239" s="18" t="str">
        <f t="shared" si="82"/>
        <v/>
      </c>
      <c r="AJ1239" s="18" t="str">
        <f t="shared" si="83"/>
        <v/>
      </c>
      <c r="AK1239" s="18" t="str">
        <f t="shared" si="84"/>
        <v/>
      </c>
      <c r="AL1239" s="18" t="str">
        <f t="shared" si="85"/>
        <v/>
      </c>
      <c r="AM1239" s="18" t="str">
        <f t="shared" si="86"/>
        <v/>
      </c>
    </row>
    <row r="1240" spans="1:39" x14ac:dyDescent="0.35">
      <c r="A1240" s="56" t="s">
        <v>1308</v>
      </c>
      <c r="B1240" s="31"/>
      <c r="C1240" s="54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E1240" s="57" t="str">
        <f t="shared" si="78"/>
        <v/>
      </c>
      <c r="AF1240" s="18" t="str">
        <f t="shared" si="79"/>
        <v/>
      </c>
      <c r="AG1240" s="18" t="str">
        <f t="shared" si="80"/>
        <v/>
      </c>
      <c r="AH1240" s="18" t="str">
        <f t="shared" si="81"/>
        <v/>
      </c>
      <c r="AI1240" s="18" t="str">
        <f t="shared" si="82"/>
        <v/>
      </c>
      <c r="AJ1240" s="18" t="str">
        <f t="shared" si="83"/>
        <v/>
      </c>
      <c r="AK1240" s="18" t="str">
        <f t="shared" si="84"/>
        <v/>
      </c>
      <c r="AL1240" s="18" t="str">
        <f t="shared" si="85"/>
        <v/>
      </c>
      <c r="AM1240" s="18" t="str">
        <f t="shared" si="86"/>
        <v/>
      </c>
    </row>
    <row r="1241" spans="1:39" x14ac:dyDescent="0.35">
      <c r="A1241" s="56" t="s">
        <v>1309</v>
      </c>
      <c r="B1241" s="31"/>
      <c r="C1241" s="54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E1241" s="57" t="str">
        <f t="shared" si="78"/>
        <v/>
      </c>
      <c r="AF1241" s="18" t="str">
        <f t="shared" si="79"/>
        <v/>
      </c>
      <c r="AG1241" s="18" t="str">
        <f t="shared" si="80"/>
        <v/>
      </c>
      <c r="AH1241" s="18" t="str">
        <f t="shared" si="81"/>
        <v/>
      </c>
      <c r="AI1241" s="18" t="str">
        <f t="shared" si="82"/>
        <v/>
      </c>
      <c r="AJ1241" s="18" t="str">
        <f t="shared" si="83"/>
        <v/>
      </c>
      <c r="AK1241" s="18" t="str">
        <f t="shared" si="84"/>
        <v/>
      </c>
      <c r="AL1241" s="18" t="str">
        <f t="shared" si="85"/>
        <v/>
      </c>
      <c r="AM1241" s="18" t="str">
        <f t="shared" si="86"/>
        <v/>
      </c>
    </row>
    <row r="1242" spans="1:39" x14ac:dyDescent="0.35">
      <c r="A1242" s="56" t="s">
        <v>1310</v>
      </c>
      <c r="B1242" s="31"/>
      <c r="C1242" s="54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E1242" s="57" t="str">
        <f t="shared" si="78"/>
        <v/>
      </c>
      <c r="AF1242" s="18" t="str">
        <f t="shared" si="79"/>
        <v/>
      </c>
      <c r="AG1242" s="18" t="str">
        <f t="shared" si="80"/>
        <v/>
      </c>
      <c r="AH1242" s="18" t="str">
        <f t="shared" si="81"/>
        <v/>
      </c>
      <c r="AI1242" s="18" t="str">
        <f t="shared" si="82"/>
        <v/>
      </c>
      <c r="AJ1242" s="18" t="str">
        <f t="shared" si="83"/>
        <v/>
      </c>
      <c r="AK1242" s="18" t="str">
        <f t="shared" si="84"/>
        <v/>
      </c>
      <c r="AL1242" s="18" t="str">
        <f t="shared" si="85"/>
        <v/>
      </c>
      <c r="AM1242" s="18" t="str">
        <f t="shared" si="86"/>
        <v/>
      </c>
    </row>
    <row r="1243" spans="1:39" x14ac:dyDescent="0.35">
      <c r="A1243" s="56" t="s">
        <v>1311</v>
      </c>
      <c r="B1243" s="31"/>
      <c r="C1243" s="54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E1243" s="57" t="str">
        <f t="shared" si="78"/>
        <v/>
      </c>
      <c r="AF1243" s="18" t="str">
        <f t="shared" si="79"/>
        <v/>
      </c>
      <c r="AG1243" s="18" t="str">
        <f t="shared" si="80"/>
        <v/>
      </c>
      <c r="AH1243" s="18" t="str">
        <f t="shared" si="81"/>
        <v/>
      </c>
      <c r="AI1243" s="18" t="str">
        <f t="shared" si="82"/>
        <v/>
      </c>
      <c r="AJ1243" s="18" t="str">
        <f t="shared" si="83"/>
        <v/>
      </c>
      <c r="AK1243" s="18" t="str">
        <f t="shared" si="84"/>
        <v/>
      </c>
      <c r="AL1243" s="18" t="str">
        <f t="shared" si="85"/>
        <v/>
      </c>
      <c r="AM1243" s="18" t="str">
        <f t="shared" si="86"/>
        <v/>
      </c>
    </row>
    <row r="1244" spans="1:39" x14ac:dyDescent="0.35">
      <c r="A1244" s="56" t="s">
        <v>1312</v>
      </c>
      <c r="B1244" s="31"/>
      <c r="C1244" s="54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E1244" s="57" t="str">
        <f t="shared" si="78"/>
        <v/>
      </c>
      <c r="AF1244" s="18" t="str">
        <f t="shared" si="79"/>
        <v/>
      </c>
      <c r="AG1244" s="18" t="str">
        <f t="shared" si="80"/>
        <v/>
      </c>
      <c r="AH1244" s="18" t="str">
        <f t="shared" si="81"/>
        <v/>
      </c>
      <c r="AI1244" s="18" t="str">
        <f t="shared" si="82"/>
        <v/>
      </c>
      <c r="AJ1244" s="18" t="str">
        <f t="shared" si="83"/>
        <v/>
      </c>
      <c r="AK1244" s="18" t="str">
        <f t="shared" si="84"/>
        <v/>
      </c>
      <c r="AL1244" s="18" t="str">
        <f t="shared" si="85"/>
        <v/>
      </c>
      <c r="AM1244" s="18" t="str">
        <f t="shared" si="86"/>
        <v/>
      </c>
    </row>
    <row r="1245" spans="1:39" x14ac:dyDescent="0.35">
      <c r="A1245" s="56" t="s">
        <v>1313</v>
      </c>
      <c r="B1245" s="31"/>
      <c r="C1245" s="54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E1245" s="57" t="str">
        <f t="shared" si="78"/>
        <v/>
      </c>
      <c r="AF1245" s="18" t="str">
        <f t="shared" si="79"/>
        <v/>
      </c>
      <c r="AG1245" s="18" t="str">
        <f t="shared" si="80"/>
        <v/>
      </c>
      <c r="AH1245" s="18" t="str">
        <f t="shared" si="81"/>
        <v/>
      </c>
      <c r="AI1245" s="18" t="str">
        <f t="shared" si="82"/>
        <v/>
      </c>
      <c r="AJ1245" s="18" t="str">
        <f t="shared" si="83"/>
        <v/>
      </c>
      <c r="AK1245" s="18" t="str">
        <f t="shared" si="84"/>
        <v/>
      </c>
      <c r="AL1245" s="18" t="str">
        <f t="shared" si="85"/>
        <v/>
      </c>
      <c r="AM1245" s="18" t="str">
        <f t="shared" si="86"/>
        <v/>
      </c>
    </row>
    <row r="1246" spans="1:39" x14ac:dyDescent="0.35">
      <c r="A1246" s="56" t="s">
        <v>1314</v>
      </c>
      <c r="B1246" s="31"/>
      <c r="C1246" s="54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E1246" s="57" t="str">
        <f t="shared" si="78"/>
        <v/>
      </c>
      <c r="AF1246" s="18" t="str">
        <f t="shared" si="79"/>
        <v/>
      </c>
      <c r="AG1246" s="18" t="str">
        <f t="shared" si="80"/>
        <v/>
      </c>
      <c r="AH1246" s="18" t="str">
        <f t="shared" si="81"/>
        <v/>
      </c>
      <c r="AI1246" s="18" t="str">
        <f t="shared" si="82"/>
        <v/>
      </c>
      <c r="AJ1246" s="18" t="str">
        <f t="shared" si="83"/>
        <v/>
      </c>
      <c r="AK1246" s="18" t="str">
        <f t="shared" si="84"/>
        <v/>
      </c>
      <c r="AL1246" s="18" t="str">
        <f t="shared" si="85"/>
        <v/>
      </c>
      <c r="AM1246" s="18" t="str">
        <f t="shared" si="86"/>
        <v/>
      </c>
    </row>
    <row r="1247" spans="1:39" x14ac:dyDescent="0.35">
      <c r="A1247" s="56" t="s">
        <v>1315</v>
      </c>
      <c r="B1247" s="31"/>
      <c r="C1247" s="54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E1247" s="57" t="str">
        <f t="shared" si="78"/>
        <v/>
      </c>
      <c r="AF1247" s="18" t="str">
        <f t="shared" si="79"/>
        <v/>
      </c>
      <c r="AG1247" s="18" t="str">
        <f t="shared" si="80"/>
        <v/>
      </c>
      <c r="AH1247" s="18" t="str">
        <f t="shared" si="81"/>
        <v/>
      </c>
      <c r="AI1247" s="18" t="str">
        <f t="shared" si="82"/>
        <v/>
      </c>
      <c r="AJ1247" s="18" t="str">
        <f t="shared" si="83"/>
        <v/>
      </c>
      <c r="AK1247" s="18" t="str">
        <f t="shared" si="84"/>
        <v/>
      </c>
      <c r="AL1247" s="18" t="str">
        <f t="shared" si="85"/>
        <v/>
      </c>
      <c r="AM1247" s="18" t="str">
        <f t="shared" si="86"/>
        <v/>
      </c>
    </row>
    <row r="1248" spans="1:39" x14ac:dyDescent="0.35">
      <c r="A1248" s="56" t="s">
        <v>1316</v>
      </c>
      <c r="B1248" s="31"/>
      <c r="C1248" s="54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E1248" s="57" t="str">
        <f t="shared" si="78"/>
        <v/>
      </c>
      <c r="AF1248" s="18" t="str">
        <f t="shared" si="79"/>
        <v/>
      </c>
      <c r="AG1248" s="18" t="str">
        <f t="shared" si="80"/>
        <v/>
      </c>
      <c r="AH1248" s="18" t="str">
        <f t="shared" si="81"/>
        <v/>
      </c>
      <c r="AI1248" s="18" t="str">
        <f t="shared" si="82"/>
        <v/>
      </c>
      <c r="AJ1248" s="18" t="str">
        <f t="shared" si="83"/>
        <v/>
      </c>
      <c r="AK1248" s="18" t="str">
        <f t="shared" si="84"/>
        <v/>
      </c>
      <c r="AL1248" s="18" t="str">
        <f t="shared" si="85"/>
        <v/>
      </c>
      <c r="AM1248" s="18" t="str">
        <f t="shared" si="86"/>
        <v/>
      </c>
    </row>
    <row r="1249" spans="1:39" x14ac:dyDescent="0.35">
      <c r="A1249" s="56" t="s">
        <v>1317</v>
      </c>
      <c r="B1249" s="31"/>
      <c r="C1249" s="54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E1249" s="57" t="str">
        <f t="shared" si="78"/>
        <v/>
      </c>
      <c r="AF1249" s="18" t="str">
        <f t="shared" si="79"/>
        <v/>
      </c>
      <c r="AG1249" s="18" t="str">
        <f t="shared" si="80"/>
        <v/>
      </c>
      <c r="AH1249" s="18" t="str">
        <f t="shared" si="81"/>
        <v/>
      </c>
      <c r="AI1249" s="18" t="str">
        <f t="shared" si="82"/>
        <v/>
      </c>
      <c r="AJ1249" s="18" t="str">
        <f t="shared" si="83"/>
        <v/>
      </c>
      <c r="AK1249" s="18" t="str">
        <f t="shared" si="84"/>
        <v/>
      </c>
      <c r="AL1249" s="18" t="str">
        <f t="shared" si="85"/>
        <v/>
      </c>
      <c r="AM1249" s="18" t="str">
        <f t="shared" si="86"/>
        <v/>
      </c>
    </row>
    <row r="1250" spans="1:39" x14ac:dyDescent="0.35">
      <c r="A1250" s="56" t="s">
        <v>1318</v>
      </c>
      <c r="B1250" s="31"/>
      <c r="C1250" s="54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E1250" s="57" t="str">
        <f t="shared" si="78"/>
        <v/>
      </c>
      <c r="AF1250" s="18" t="str">
        <f t="shared" si="79"/>
        <v/>
      </c>
      <c r="AG1250" s="18" t="str">
        <f t="shared" si="80"/>
        <v/>
      </c>
      <c r="AH1250" s="18" t="str">
        <f t="shared" si="81"/>
        <v/>
      </c>
      <c r="AI1250" s="18" t="str">
        <f t="shared" si="82"/>
        <v/>
      </c>
      <c r="AJ1250" s="18" t="str">
        <f t="shared" si="83"/>
        <v/>
      </c>
      <c r="AK1250" s="18" t="str">
        <f t="shared" si="84"/>
        <v/>
      </c>
      <c r="AL1250" s="18" t="str">
        <f t="shared" si="85"/>
        <v/>
      </c>
      <c r="AM1250" s="18" t="str">
        <f t="shared" si="86"/>
        <v/>
      </c>
    </row>
    <row r="1251" spans="1:39" x14ac:dyDescent="0.35">
      <c r="A1251" s="56" t="s">
        <v>1319</v>
      </c>
      <c r="B1251" s="31"/>
      <c r="C1251" s="54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E1251" s="57" t="str">
        <f t="shared" si="78"/>
        <v/>
      </c>
      <c r="AF1251" s="18" t="str">
        <f t="shared" si="79"/>
        <v/>
      </c>
      <c r="AG1251" s="18" t="str">
        <f t="shared" si="80"/>
        <v/>
      </c>
      <c r="AH1251" s="18" t="str">
        <f t="shared" si="81"/>
        <v/>
      </c>
      <c r="AI1251" s="18" t="str">
        <f t="shared" si="82"/>
        <v/>
      </c>
      <c r="AJ1251" s="18" t="str">
        <f t="shared" si="83"/>
        <v/>
      </c>
      <c r="AK1251" s="18" t="str">
        <f t="shared" si="84"/>
        <v/>
      </c>
      <c r="AL1251" s="18" t="str">
        <f t="shared" si="85"/>
        <v/>
      </c>
      <c r="AM1251" s="18" t="str">
        <f t="shared" si="86"/>
        <v/>
      </c>
    </row>
    <row r="1252" spans="1:39" x14ac:dyDescent="0.35">
      <c r="A1252" s="56" t="s">
        <v>1320</v>
      </c>
      <c r="B1252" s="31"/>
      <c r="C1252" s="54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E1252" s="57" t="str">
        <f t="shared" si="78"/>
        <v/>
      </c>
      <c r="AF1252" s="18" t="str">
        <f t="shared" si="79"/>
        <v/>
      </c>
      <c r="AG1252" s="18" t="str">
        <f t="shared" si="80"/>
        <v/>
      </c>
      <c r="AH1252" s="18" t="str">
        <f t="shared" si="81"/>
        <v/>
      </c>
      <c r="AI1252" s="18" t="str">
        <f t="shared" si="82"/>
        <v/>
      </c>
      <c r="AJ1252" s="18" t="str">
        <f t="shared" si="83"/>
        <v/>
      </c>
      <c r="AK1252" s="18" t="str">
        <f t="shared" si="84"/>
        <v/>
      </c>
      <c r="AL1252" s="18" t="str">
        <f t="shared" si="85"/>
        <v/>
      </c>
      <c r="AM1252" s="18" t="str">
        <f t="shared" si="86"/>
        <v/>
      </c>
    </row>
    <row r="1253" spans="1:39" x14ac:dyDescent="0.35">
      <c r="A1253" s="56" t="s">
        <v>1321</v>
      </c>
      <c r="B1253" s="31"/>
      <c r="C1253" s="54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E1253" s="57" t="str">
        <f t="shared" si="78"/>
        <v/>
      </c>
      <c r="AF1253" s="18" t="str">
        <f t="shared" si="79"/>
        <v/>
      </c>
      <c r="AG1253" s="18" t="str">
        <f t="shared" si="80"/>
        <v/>
      </c>
      <c r="AH1253" s="18" t="str">
        <f t="shared" si="81"/>
        <v/>
      </c>
      <c r="AI1253" s="18" t="str">
        <f t="shared" si="82"/>
        <v/>
      </c>
      <c r="AJ1253" s="18" t="str">
        <f t="shared" si="83"/>
        <v/>
      </c>
      <c r="AK1253" s="18" t="str">
        <f t="shared" si="84"/>
        <v/>
      </c>
      <c r="AL1253" s="18" t="str">
        <f t="shared" si="85"/>
        <v/>
      </c>
      <c r="AM1253" s="18" t="str">
        <f t="shared" si="86"/>
        <v/>
      </c>
    </row>
    <row r="1254" spans="1:39" x14ac:dyDescent="0.35">
      <c r="A1254" s="56" t="s">
        <v>1322</v>
      </c>
      <c r="B1254" s="31"/>
      <c r="C1254" s="54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E1254" s="57" t="str">
        <f t="shared" si="78"/>
        <v/>
      </c>
      <c r="AF1254" s="18" t="str">
        <f t="shared" si="79"/>
        <v/>
      </c>
      <c r="AG1254" s="18" t="str">
        <f t="shared" si="80"/>
        <v/>
      </c>
      <c r="AH1254" s="18" t="str">
        <f t="shared" si="81"/>
        <v/>
      </c>
      <c r="AI1254" s="18" t="str">
        <f t="shared" si="82"/>
        <v/>
      </c>
      <c r="AJ1254" s="18" t="str">
        <f t="shared" si="83"/>
        <v/>
      </c>
      <c r="AK1254" s="18" t="str">
        <f t="shared" si="84"/>
        <v/>
      </c>
      <c r="AL1254" s="18" t="str">
        <f t="shared" si="85"/>
        <v/>
      </c>
      <c r="AM1254" s="18" t="str">
        <f t="shared" si="86"/>
        <v/>
      </c>
    </row>
    <row r="1255" spans="1:39" x14ac:dyDescent="0.35">
      <c r="A1255" s="56" t="s">
        <v>1323</v>
      </c>
      <c r="B1255" s="31"/>
      <c r="C1255" s="54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E1255" s="57" t="str">
        <f t="shared" si="78"/>
        <v/>
      </c>
      <c r="AF1255" s="18" t="str">
        <f t="shared" si="79"/>
        <v/>
      </c>
      <c r="AG1255" s="18" t="str">
        <f t="shared" si="80"/>
        <v/>
      </c>
      <c r="AH1255" s="18" t="str">
        <f t="shared" si="81"/>
        <v/>
      </c>
      <c r="AI1255" s="18" t="str">
        <f t="shared" si="82"/>
        <v/>
      </c>
      <c r="AJ1255" s="18" t="str">
        <f t="shared" si="83"/>
        <v/>
      </c>
      <c r="AK1255" s="18" t="str">
        <f t="shared" si="84"/>
        <v/>
      </c>
      <c r="AL1255" s="18" t="str">
        <f t="shared" si="85"/>
        <v/>
      </c>
      <c r="AM1255" s="18" t="str">
        <f t="shared" si="86"/>
        <v/>
      </c>
    </row>
    <row r="1256" spans="1:39" x14ac:dyDescent="0.35">
      <c r="A1256" s="56" t="s">
        <v>1324</v>
      </c>
      <c r="B1256" s="31"/>
      <c r="C1256" s="54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E1256" s="57" t="str">
        <f t="shared" si="78"/>
        <v/>
      </c>
      <c r="AF1256" s="18" t="str">
        <f t="shared" si="79"/>
        <v/>
      </c>
      <c r="AG1256" s="18" t="str">
        <f t="shared" si="80"/>
        <v/>
      </c>
      <c r="AH1256" s="18" t="str">
        <f t="shared" si="81"/>
        <v/>
      </c>
      <c r="AI1256" s="18" t="str">
        <f t="shared" si="82"/>
        <v/>
      </c>
      <c r="AJ1256" s="18" t="str">
        <f t="shared" si="83"/>
        <v/>
      </c>
      <c r="AK1256" s="18" t="str">
        <f t="shared" si="84"/>
        <v/>
      </c>
      <c r="AL1256" s="18" t="str">
        <f t="shared" si="85"/>
        <v/>
      </c>
      <c r="AM1256" s="18" t="str">
        <f t="shared" si="86"/>
        <v/>
      </c>
    </row>
    <row r="1257" spans="1:39" x14ac:dyDescent="0.35">
      <c r="A1257" s="56" t="s">
        <v>1325</v>
      </c>
      <c r="B1257" s="31"/>
      <c r="C1257" s="54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E1257" s="57" t="str">
        <f t="shared" si="78"/>
        <v/>
      </c>
      <c r="AF1257" s="18" t="str">
        <f t="shared" si="79"/>
        <v/>
      </c>
      <c r="AG1257" s="18" t="str">
        <f t="shared" si="80"/>
        <v/>
      </c>
      <c r="AH1257" s="18" t="str">
        <f t="shared" si="81"/>
        <v/>
      </c>
      <c r="AI1257" s="18" t="str">
        <f t="shared" si="82"/>
        <v/>
      </c>
      <c r="AJ1257" s="18" t="str">
        <f t="shared" si="83"/>
        <v/>
      </c>
      <c r="AK1257" s="18" t="str">
        <f t="shared" si="84"/>
        <v/>
      </c>
      <c r="AL1257" s="18" t="str">
        <f t="shared" si="85"/>
        <v/>
      </c>
      <c r="AM1257" s="18" t="str">
        <f t="shared" si="86"/>
        <v/>
      </c>
    </row>
    <row r="1258" spans="1:39" x14ac:dyDescent="0.35">
      <c r="A1258" s="56" t="s">
        <v>1326</v>
      </c>
      <c r="B1258" s="31"/>
      <c r="C1258" s="54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E1258" s="57" t="str">
        <f t="shared" si="78"/>
        <v/>
      </c>
      <c r="AF1258" s="18" t="str">
        <f t="shared" si="79"/>
        <v/>
      </c>
      <c r="AG1258" s="18" t="str">
        <f t="shared" si="80"/>
        <v/>
      </c>
      <c r="AH1258" s="18" t="str">
        <f t="shared" si="81"/>
        <v/>
      </c>
      <c r="AI1258" s="18" t="str">
        <f t="shared" si="82"/>
        <v/>
      </c>
      <c r="AJ1258" s="18" t="str">
        <f t="shared" si="83"/>
        <v/>
      </c>
      <c r="AK1258" s="18" t="str">
        <f t="shared" si="84"/>
        <v/>
      </c>
      <c r="AL1258" s="18" t="str">
        <f t="shared" si="85"/>
        <v/>
      </c>
      <c r="AM1258" s="18" t="str">
        <f t="shared" si="86"/>
        <v/>
      </c>
    </row>
    <row r="1259" spans="1:39" x14ac:dyDescent="0.35">
      <c r="A1259" s="56" t="s">
        <v>1327</v>
      </c>
      <c r="B1259" s="31"/>
      <c r="C1259" s="54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E1259" s="57" t="str">
        <f t="shared" si="78"/>
        <v/>
      </c>
      <c r="AF1259" s="18" t="str">
        <f t="shared" si="79"/>
        <v/>
      </c>
      <c r="AG1259" s="18" t="str">
        <f t="shared" si="80"/>
        <v/>
      </c>
      <c r="AH1259" s="18" t="str">
        <f t="shared" si="81"/>
        <v/>
      </c>
      <c r="AI1259" s="18" t="str">
        <f t="shared" si="82"/>
        <v/>
      </c>
      <c r="AJ1259" s="18" t="str">
        <f t="shared" si="83"/>
        <v/>
      </c>
      <c r="AK1259" s="18" t="str">
        <f t="shared" si="84"/>
        <v/>
      </c>
      <c r="AL1259" s="18" t="str">
        <f t="shared" si="85"/>
        <v/>
      </c>
      <c r="AM1259" s="18" t="str">
        <f t="shared" si="86"/>
        <v/>
      </c>
    </row>
    <row r="1260" spans="1:39" x14ac:dyDescent="0.35">
      <c r="A1260" s="56" t="s">
        <v>1328</v>
      </c>
      <c r="B1260" s="31"/>
      <c r="C1260" s="54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E1260" s="57" t="str">
        <f t="shared" si="78"/>
        <v/>
      </c>
      <c r="AF1260" s="18" t="str">
        <f t="shared" si="79"/>
        <v/>
      </c>
      <c r="AG1260" s="18" t="str">
        <f t="shared" si="80"/>
        <v/>
      </c>
      <c r="AH1260" s="18" t="str">
        <f t="shared" si="81"/>
        <v/>
      </c>
      <c r="AI1260" s="18" t="str">
        <f t="shared" si="82"/>
        <v/>
      </c>
      <c r="AJ1260" s="18" t="str">
        <f t="shared" si="83"/>
        <v/>
      </c>
      <c r="AK1260" s="18" t="str">
        <f t="shared" si="84"/>
        <v/>
      </c>
      <c r="AL1260" s="18" t="str">
        <f t="shared" si="85"/>
        <v/>
      </c>
      <c r="AM1260" s="18" t="str">
        <f t="shared" si="86"/>
        <v/>
      </c>
    </row>
    <row r="1261" spans="1:39" x14ac:dyDescent="0.35">
      <c r="A1261" s="56" t="s">
        <v>1329</v>
      </c>
      <c r="B1261" s="31"/>
      <c r="C1261" s="54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E1261" s="57" t="str">
        <f t="shared" si="78"/>
        <v/>
      </c>
      <c r="AF1261" s="18" t="str">
        <f t="shared" si="79"/>
        <v/>
      </c>
      <c r="AG1261" s="18" t="str">
        <f t="shared" si="80"/>
        <v/>
      </c>
      <c r="AH1261" s="18" t="str">
        <f t="shared" si="81"/>
        <v/>
      </c>
      <c r="AI1261" s="18" t="str">
        <f t="shared" si="82"/>
        <v/>
      </c>
      <c r="AJ1261" s="18" t="str">
        <f t="shared" si="83"/>
        <v/>
      </c>
      <c r="AK1261" s="18" t="str">
        <f t="shared" si="84"/>
        <v/>
      </c>
      <c r="AL1261" s="18" t="str">
        <f t="shared" si="85"/>
        <v/>
      </c>
      <c r="AM1261" s="18" t="str">
        <f t="shared" si="86"/>
        <v/>
      </c>
    </row>
    <row r="1262" spans="1:39" x14ac:dyDescent="0.35">
      <c r="A1262" s="56" t="s">
        <v>1330</v>
      </c>
      <c r="B1262" s="31"/>
      <c r="C1262" s="54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E1262" s="57" t="str">
        <f t="shared" si="78"/>
        <v/>
      </c>
      <c r="AF1262" s="18" t="str">
        <f t="shared" si="79"/>
        <v/>
      </c>
      <c r="AG1262" s="18" t="str">
        <f t="shared" si="80"/>
        <v/>
      </c>
      <c r="AH1262" s="18" t="str">
        <f t="shared" si="81"/>
        <v/>
      </c>
      <c r="AI1262" s="18" t="str">
        <f t="shared" si="82"/>
        <v/>
      </c>
      <c r="AJ1262" s="18" t="str">
        <f t="shared" si="83"/>
        <v/>
      </c>
      <c r="AK1262" s="18" t="str">
        <f t="shared" si="84"/>
        <v/>
      </c>
      <c r="AL1262" s="18" t="str">
        <f t="shared" si="85"/>
        <v/>
      </c>
      <c r="AM1262" s="18" t="str">
        <f t="shared" si="86"/>
        <v/>
      </c>
    </row>
    <row r="1263" spans="1:39" x14ac:dyDescent="0.35">
      <c r="A1263" s="56" t="s">
        <v>1331</v>
      </c>
      <c r="B1263" s="31"/>
      <c r="C1263" s="54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E1263" s="57" t="str">
        <f t="shared" si="78"/>
        <v/>
      </c>
      <c r="AF1263" s="18" t="str">
        <f t="shared" si="79"/>
        <v/>
      </c>
      <c r="AG1263" s="18" t="str">
        <f t="shared" si="80"/>
        <v/>
      </c>
      <c r="AH1263" s="18" t="str">
        <f t="shared" si="81"/>
        <v/>
      </c>
      <c r="AI1263" s="18" t="str">
        <f t="shared" si="82"/>
        <v/>
      </c>
      <c r="AJ1263" s="18" t="str">
        <f t="shared" si="83"/>
        <v/>
      </c>
      <c r="AK1263" s="18" t="str">
        <f t="shared" si="84"/>
        <v/>
      </c>
      <c r="AL1263" s="18" t="str">
        <f t="shared" si="85"/>
        <v/>
      </c>
      <c r="AM1263" s="18" t="str">
        <f t="shared" si="86"/>
        <v/>
      </c>
    </row>
    <row r="1264" spans="1:39" x14ac:dyDescent="0.35">
      <c r="A1264" s="56" t="s">
        <v>1332</v>
      </c>
      <c r="B1264" s="31"/>
      <c r="C1264" s="54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E1264" s="57" t="str">
        <f t="shared" si="78"/>
        <v/>
      </c>
      <c r="AF1264" s="18" t="str">
        <f t="shared" si="79"/>
        <v/>
      </c>
      <c r="AG1264" s="18" t="str">
        <f t="shared" si="80"/>
        <v/>
      </c>
      <c r="AH1264" s="18" t="str">
        <f t="shared" si="81"/>
        <v/>
      </c>
      <c r="AI1264" s="18" t="str">
        <f t="shared" si="82"/>
        <v/>
      </c>
      <c r="AJ1264" s="18" t="str">
        <f t="shared" si="83"/>
        <v/>
      </c>
      <c r="AK1264" s="18" t="str">
        <f t="shared" si="84"/>
        <v/>
      </c>
      <c r="AL1264" s="18" t="str">
        <f t="shared" si="85"/>
        <v/>
      </c>
      <c r="AM1264" s="18" t="str">
        <f t="shared" si="86"/>
        <v/>
      </c>
    </row>
    <row r="1265" spans="1:39" x14ac:dyDescent="0.35">
      <c r="A1265" s="56" t="s">
        <v>1333</v>
      </c>
      <c r="B1265" s="31"/>
      <c r="C1265" s="54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E1265" s="57" t="str">
        <f t="shared" si="78"/>
        <v/>
      </c>
      <c r="AF1265" s="18" t="str">
        <f t="shared" si="79"/>
        <v/>
      </c>
      <c r="AG1265" s="18" t="str">
        <f t="shared" si="80"/>
        <v/>
      </c>
      <c r="AH1265" s="18" t="str">
        <f t="shared" si="81"/>
        <v/>
      </c>
      <c r="AI1265" s="18" t="str">
        <f t="shared" si="82"/>
        <v/>
      </c>
      <c r="AJ1265" s="18" t="str">
        <f t="shared" si="83"/>
        <v/>
      </c>
      <c r="AK1265" s="18" t="str">
        <f t="shared" si="84"/>
        <v/>
      </c>
      <c r="AL1265" s="18" t="str">
        <f t="shared" si="85"/>
        <v/>
      </c>
      <c r="AM1265" s="18" t="str">
        <f t="shared" si="86"/>
        <v/>
      </c>
    </row>
    <row r="1266" spans="1:39" x14ac:dyDescent="0.35">
      <c r="A1266" s="56" t="s">
        <v>1334</v>
      </c>
      <c r="B1266" s="31"/>
      <c r="C1266" s="54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E1266" s="57" t="str">
        <f t="shared" si="78"/>
        <v/>
      </c>
      <c r="AF1266" s="18" t="str">
        <f t="shared" si="79"/>
        <v/>
      </c>
      <c r="AG1266" s="18" t="str">
        <f t="shared" si="80"/>
        <v/>
      </c>
      <c r="AH1266" s="18" t="str">
        <f t="shared" si="81"/>
        <v/>
      </c>
      <c r="AI1266" s="18" t="str">
        <f t="shared" si="82"/>
        <v/>
      </c>
      <c r="AJ1266" s="18" t="str">
        <f t="shared" si="83"/>
        <v/>
      </c>
      <c r="AK1266" s="18" t="str">
        <f t="shared" si="84"/>
        <v/>
      </c>
      <c r="AL1266" s="18" t="str">
        <f t="shared" si="85"/>
        <v/>
      </c>
      <c r="AM1266" s="18" t="str">
        <f t="shared" si="86"/>
        <v/>
      </c>
    </row>
    <row r="1267" spans="1:39" x14ac:dyDescent="0.35">
      <c r="A1267" s="56" t="s">
        <v>1335</v>
      </c>
      <c r="B1267" s="31"/>
      <c r="C1267" s="54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E1267" s="57" t="str">
        <f t="shared" si="78"/>
        <v/>
      </c>
      <c r="AF1267" s="18" t="str">
        <f t="shared" si="79"/>
        <v/>
      </c>
      <c r="AG1267" s="18" t="str">
        <f t="shared" si="80"/>
        <v/>
      </c>
      <c r="AH1267" s="18" t="str">
        <f t="shared" si="81"/>
        <v/>
      </c>
      <c r="AI1267" s="18" t="str">
        <f t="shared" si="82"/>
        <v/>
      </c>
      <c r="AJ1267" s="18" t="str">
        <f t="shared" si="83"/>
        <v/>
      </c>
      <c r="AK1267" s="18" t="str">
        <f t="shared" si="84"/>
        <v/>
      </c>
      <c r="AL1267" s="18" t="str">
        <f t="shared" si="85"/>
        <v/>
      </c>
      <c r="AM1267" s="18" t="str">
        <f t="shared" si="86"/>
        <v/>
      </c>
    </row>
    <row r="1268" spans="1:39" x14ac:dyDescent="0.35">
      <c r="A1268" s="56" t="s">
        <v>1336</v>
      </c>
      <c r="B1268" s="31"/>
      <c r="C1268" s="54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E1268" s="57" t="str">
        <f t="shared" si="78"/>
        <v/>
      </c>
      <c r="AF1268" s="18" t="str">
        <f t="shared" si="79"/>
        <v/>
      </c>
      <c r="AG1268" s="18" t="str">
        <f t="shared" si="80"/>
        <v/>
      </c>
      <c r="AH1268" s="18" t="str">
        <f t="shared" si="81"/>
        <v/>
      </c>
      <c r="AI1268" s="18" t="str">
        <f t="shared" si="82"/>
        <v/>
      </c>
      <c r="AJ1268" s="18" t="str">
        <f t="shared" si="83"/>
        <v/>
      </c>
      <c r="AK1268" s="18" t="str">
        <f t="shared" si="84"/>
        <v/>
      </c>
      <c r="AL1268" s="18" t="str">
        <f t="shared" si="85"/>
        <v/>
      </c>
      <c r="AM1268" s="18" t="str">
        <f t="shared" si="86"/>
        <v/>
      </c>
    </row>
    <row r="1269" spans="1:39" x14ac:dyDescent="0.35">
      <c r="A1269" s="56" t="s">
        <v>1337</v>
      </c>
      <c r="B1269" s="31"/>
      <c r="C1269" s="54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E1269" s="57" t="str">
        <f t="shared" si="78"/>
        <v/>
      </c>
      <c r="AF1269" s="18" t="str">
        <f t="shared" si="79"/>
        <v/>
      </c>
      <c r="AG1269" s="18" t="str">
        <f t="shared" si="80"/>
        <v/>
      </c>
      <c r="AH1269" s="18" t="str">
        <f t="shared" si="81"/>
        <v/>
      </c>
      <c r="AI1269" s="18" t="str">
        <f t="shared" si="82"/>
        <v/>
      </c>
      <c r="AJ1269" s="18" t="str">
        <f t="shared" si="83"/>
        <v/>
      </c>
      <c r="AK1269" s="18" t="str">
        <f t="shared" si="84"/>
        <v/>
      </c>
      <c r="AL1269" s="18" t="str">
        <f t="shared" si="85"/>
        <v/>
      </c>
      <c r="AM1269" s="18" t="str">
        <f t="shared" si="86"/>
        <v/>
      </c>
    </row>
    <row r="1270" spans="1:39" x14ac:dyDescent="0.35">
      <c r="A1270" s="56" t="s">
        <v>1338</v>
      </c>
      <c r="B1270" s="31"/>
      <c r="C1270" s="54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E1270" s="57" t="str">
        <f t="shared" si="78"/>
        <v/>
      </c>
      <c r="AF1270" s="18" t="str">
        <f t="shared" si="79"/>
        <v/>
      </c>
      <c r="AG1270" s="18" t="str">
        <f t="shared" si="80"/>
        <v/>
      </c>
      <c r="AH1270" s="18" t="str">
        <f t="shared" si="81"/>
        <v/>
      </c>
      <c r="AI1270" s="18" t="str">
        <f t="shared" si="82"/>
        <v/>
      </c>
      <c r="AJ1270" s="18" t="str">
        <f t="shared" si="83"/>
        <v/>
      </c>
      <c r="AK1270" s="18" t="str">
        <f t="shared" si="84"/>
        <v/>
      </c>
      <c r="AL1270" s="18" t="str">
        <f t="shared" si="85"/>
        <v/>
      </c>
      <c r="AM1270" s="18" t="str">
        <f t="shared" si="86"/>
        <v/>
      </c>
    </row>
    <row r="1271" spans="1:39" x14ac:dyDescent="0.35">
      <c r="A1271" s="56" t="s">
        <v>1339</v>
      </c>
      <c r="B1271" s="31"/>
      <c r="C1271" s="54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E1271" s="57" t="str">
        <f t="shared" si="78"/>
        <v/>
      </c>
      <c r="AF1271" s="18" t="str">
        <f t="shared" si="79"/>
        <v/>
      </c>
      <c r="AG1271" s="18" t="str">
        <f t="shared" si="80"/>
        <v/>
      </c>
      <c r="AH1271" s="18" t="str">
        <f t="shared" si="81"/>
        <v/>
      </c>
      <c r="AI1271" s="18" t="str">
        <f t="shared" si="82"/>
        <v/>
      </c>
      <c r="AJ1271" s="18" t="str">
        <f t="shared" si="83"/>
        <v/>
      </c>
      <c r="AK1271" s="18" t="str">
        <f t="shared" si="84"/>
        <v/>
      </c>
      <c r="AL1271" s="18" t="str">
        <f t="shared" si="85"/>
        <v/>
      </c>
      <c r="AM1271" s="18" t="str">
        <f t="shared" si="86"/>
        <v/>
      </c>
    </row>
    <row r="1272" spans="1:39" x14ac:dyDescent="0.35">
      <c r="A1272" s="56" t="s">
        <v>1340</v>
      </c>
      <c r="B1272" s="31"/>
      <c r="C1272" s="54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E1272" s="57" t="str">
        <f t="shared" si="78"/>
        <v/>
      </c>
      <c r="AF1272" s="18" t="str">
        <f t="shared" si="79"/>
        <v/>
      </c>
      <c r="AG1272" s="18" t="str">
        <f t="shared" si="80"/>
        <v/>
      </c>
      <c r="AH1272" s="18" t="str">
        <f t="shared" si="81"/>
        <v/>
      </c>
      <c r="AI1272" s="18" t="str">
        <f t="shared" si="82"/>
        <v/>
      </c>
      <c r="AJ1272" s="18" t="str">
        <f t="shared" si="83"/>
        <v/>
      </c>
      <c r="AK1272" s="18" t="str">
        <f t="shared" si="84"/>
        <v/>
      </c>
      <c r="AL1272" s="18" t="str">
        <f t="shared" si="85"/>
        <v/>
      </c>
      <c r="AM1272" s="18" t="str">
        <f t="shared" si="86"/>
        <v/>
      </c>
    </row>
    <row r="1273" spans="1:39" x14ac:dyDescent="0.35">
      <c r="A1273" s="56" t="s">
        <v>1341</v>
      </c>
      <c r="B1273" s="31"/>
      <c r="C1273" s="54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E1273" s="57" t="str">
        <f t="shared" si="78"/>
        <v/>
      </c>
      <c r="AF1273" s="18" t="str">
        <f t="shared" si="79"/>
        <v/>
      </c>
      <c r="AG1273" s="18" t="str">
        <f t="shared" si="80"/>
        <v/>
      </c>
      <c r="AH1273" s="18" t="str">
        <f t="shared" si="81"/>
        <v/>
      </c>
      <c r="AI1273" s="18" t="str">
        <f t="shared" si="82"/>
        <v/>
      </c>
      <c r="AJ1273" s="18" t="str">
        <f t="shared" si="83"/>
        <v/>
      </c>
      <c r="AK1273" s="18" t="str">
        <f t="shared" si="84"/>
        <v/>
      </c>
      <c r="AL1273" s="18" t="str">
        <f t="shared" si="85"/>
        <v/>
      </c>
      <c r="AM1273" s="18" t="str">
        <f t="shared" si="86"/>
        <v/>
      </c>
    </row>
    <row r="1274" spans="1:39" x14ac:dyDescent="0.35">
      <c r="A1274" s="56" t="s">
        <v>1342</v>
      </c>
      <c r="B1274" s="31"/>
      <c r="C1274" s="54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E1274" s="57" t="str">
        <f t="shared" si="78"/>
        <v/>
      </c>
      <c r="AF1274" s="18" t="str">
        <f t="shared" si="79"/>
        <v/>
      </c>
      <c r="AG1274" s="18" t="str">
        <f t="shared" si="80"/>
        <v/>
      </c>
      <c r="AH1274" s="18" t="str">
        <f t="shared" si="81"/>
        <v/>
      </c>
      <c r="AI1274" s="18" t="str">
        <f t="shared" si="82"/>
        <v/>
      </c>
      <c r="AJ1274" s="18" t="str">
        <f t="shared" si="83"/>
        <v/>
      </c>
      <c r="AK1274" s="18" t="str">
        <f t="shared" si="84"/>
        <v/>
      </c>
      <c r="AL1274" s="18" t="str">
        <f t="shared" si="85"/>
        <v/>
      </c>
      <c r="AM1274" s="18" t="str">
        <f t="shared" si="86"/>
        <v/>
      </c>
    </row>
    <row r="1275" spans="1:39" x14ac:dyDescent="0.35">
      <c r="A1275" s="56" t="s">
        <v>1343</v>
      </c>
      <c r="B1275" s="31"/>
      <c r="C1275" s="54"/>
      <c r="D1275" s="31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E1275" s="57" t="str">
        <f t="shared" si="78"/>
        <v/>
      </c>
      <c r="AF1275" s="18" t="str">
        <f t="shared" si="79"/>
        <v/>
      </c>
      <c r="AG1275" s="18" t="str">
        <f t="shared" si="80"/>
        <v/>
      </c>
      <c r="AH1275" s="18" t="str">
        <f t="shared" si="81"/>
        <v/>
      </c>
      <c r="AI1275" s="18" t="str">
        <f t="shared" si="82"/>
        <v/>
      </c>
      <c r="AJ1275" s="18" t="str">
        <f t="shared" si="83"/>
        <v/>
      </c>
      <c r="AK1275" s="18" t="str">
        <f t="shared" si="84"/>
        <v/>
      </c>
      <c r="AL1275" s="18" t="str">
        <f t="shared" si="85"/>
        <v/>
      </c>
      <c r="AM1275" s="18" t="str">
        <f t="shared" si="86"/>
        <v/>
      </c>
    </row>
    <row r="1276" spans="1:39" x14ac:dyDescent="0.35">
      <c r="A1276" s="56" t="s">
        <v>1344</v>
      </c>
      <c r="B1276" s="31"/>
      <c r="C1276" s="54"/>
      <c r="D1276" s="31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E1276" s="57" t="str">
        <f t="shared" si="78"/>
        <v/>
      </c>
      <c r="AF1276" s="18" t="str">
        <f t="shared" si="79"/>
        <v/>
      </c>
      <c r="AG1276" s="18" t="str">
        <f t="shared" si="80"/>
        <v/>
      </c>
      <c r="AH1276" s="18" t="str">
        <f t="shared" si="81"/>
        <v/>
      </c>
      <c r="AI1276" s="18" t="str">
        <f t="shared" si="82"/>
        <v/>
      </c>
      <c r="AJ1276" s="18" t="str">
        <f t="shared" si="83"/>
        <v/>
      </c>
      <c r="AK1276" s="18" t="str">
        <f t="shared" si="84"/>
        <v/>
      </c>
      <c r="AL1276" s="18" t="str">
        <f t="shared" si="85"/>
        <v/>
      </c>
      <c r="AM1276" s="18" t="str">
        <f t="shared" si="86"/>
        <v/>
      </c>
    </row>
    <row r="1277" spans="1:39" x14ac:dyDescent="0.35">
      <c r="A1277" s="56" t="s">
        <v>1345</v>
      </c>
      <c r="B1277" s="31"/>
      <c r="C1277" s="54"/>
      <c r="D1277" s="31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E1277" s="57" t="str">
        <f t="shared" si="78"/>
        <v/>
      </c>
      <c r="AF1277" s="18" t="str">
        <f t="shared" si="79"/>
        <v/>
      </c>
      <c r="AG1277" s="18" t="str">
        <f t="shared" si="80"/>
        <v/>
      </c>
      <c r="AH1277" s="18" t="str">
        <f t="shared" si="81"/>
        <v/>
      </c>
      <c r="AI1277" s="18" t="str">
        <f t="shared" si="82"/>
        <v/>
      </c>
      <c r="AJ1277" s="18" t="str">
        <f t="shared" si="83"/>
        <v/>
      </c>
      <c r="AK1277" s="18" t="str">
        <f t="shared" si="84"/>
        <v/>
      </c>
      <c r="AL1277" s="18" t="str">
        <f t="shared" si="85"/>
        <v/>
      </c>
      <c r="AM1277" s="18" t="str">
        <f t="shared" si="86"/>
        <v/>
      </c>
    </row>
    <row r="1278" spans="1:39" x14ac:dyDescent="0.35">
      <c r="A1278" s="56" t="s">
        <v>1346</v>
      </c>
      <c r="B1278" s="31"/>
      <c r="C1278" s="54"/>
      <c r="D1278" s="31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E1278" s="57" t="str">
        <f t="shared" si="78"/>
        <v/>
      </c>
      <c r="AF1278" s="18" t="str">
        <f t="shared" si="79"/>
        <v/>
      </c>
      <c r="AG1278" s="18" t="str">
        <f t="shared" si="80"/>
        <v/>
      </c>
      <c r="AH1278" s="18" t="str">
        <f t="shared" si="81"/>
        <v/>
      </c>
      <c r="AI1278" s="18" t="str">
        <f t="shared" si="82"/>
        <v/>
      </c>
      <c r="AJ1278" s="18" t="str">
        <f t="shared" si="83"/>
        <v/>
      </c>
      <c r="AK1278" s="18" t="str">
        <f t="shared" si="84"/>
        <v/>
      </c>
      <c r="AL1278" s="18" t="str">
        <f t="shared" si="85"/>
        <v/>
      </c>
      <c r="AM1278" s="18" t="str">
        <f t="shared" si="86"/>
        <v/>
      </c>
    </row>
    <row r="1279" spans="1:39" x14ac:dyDescent="0.35">
      <c r="A1279" s="56" t="s">
        <v>1347</v>
      </c>
      <c r="B1279" s="31"/>
      <c r="C1279" s="54"/>
      <c r="D1279" s="31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E1279" s="57" t="str">
        <f t="shared" si="78"/>
        <v/>
      </c>
      <c r="AF1279" s="18" t="str">
        <f t="shared" si="79"/>
        <v/>
      </c>
      <c r="AG1279" s="18" t="str">
        <f t="shared" si="80"/>
        <v/>
      </c>
      <c r="AH1279" s="18" t="str">
        <f t="shared" si="81"/>
        <v/>
      </c>
      <c r="AI1279" s="18" t="str">
        <f t="shared" si="82"/>
        <v/>
      </c>
      <c r="AJ1279" s="18" t="str">
        <f t="shared" si="83"/>
        <v/>
      </c>
      <c r="AK1279" s="18" t="str">
        <f t="shared" si="84"/>
        <v/>
      </c>
      <c r="AL1279" s="18" t="str">
        <f t="shared" si="85"/>
        <v/>
      </c>
      <c r="AM1279" s="18" t="str">
        <f t="shared" si="86"/>
        <v/>
      </c>
    </row>
    <row r="1280" spans="1:39" x14ac:dyDescent="0.35">
      <c r="A1280" s="56" t="s">
        <v>1348</v>
      </c>
      <c r="B1280" s="31"/>
      <c r="C1280" s="54"/>
      <c r="D1280" s="31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E1280" s="57" t="str">
        <f t="shared" si="78"/>
        <v/>
      </c>
      <c r="AF1280" s="18" t="str">
        <f t="shared" si="79"/>
        <v/>
      </c>
      <c r="AG1280" s="18" t="str">
        <f t="shared" si="80"/>
        <v/>
      </c>
      <c r="AH1280" s="18" t="str">
        <f t="shared" si="81"/>
        <v/>
      </c>
      <c r="AI1280" s="18" t="str">
        <f t="shared" si="82"/>
        <v/>
      </c>
      <c r="AJ1280" s="18" t="str">
        <f t="shared" si="83"/>
        <v/>
      </c>
      <c r="AK1280" s="18" t="str">
        <f t="shared" si="84"/>
        <v/>
      </c>
      <c r="AL1280" s="18" t="str">
        <f t="shared" si="85"/>
        <v/>
      </c>
      <c r="AM1280" s="18" t="str">
        <f t="shared" si="86"/>
        <v/>
      </c>
    </row>
    <row r="1281" spans="1:39" x14ac:dyDescent="0.35">
      <c r="A1281" s="56" t="s">
        <v>1349</v>
      </c>
      <c r="B1281" s="31"/>
      <c r="C1281" s="54"/>
      <c r="D1281" s="31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E1281" s="57" t="str">
        <f t="shared" si="78"/>
        <v/>
      </c>
      <c r="AF1281" s="18" t="str">
        <f t="shared" si="79"/>
        <v/>
      </c>
      <c r="AG1281" s="18" t="str">
        <f t="shared" si="80"/>
        <v/>
      </c>
      <c r="AH1281" s="18" t="str">
        <f t="shared" si="81"/>
        <v/>
      </c>
      <c r="AI1281" s="18" t="str">
        <f t="shared" si="82"/>
        <v/>
      </c>
      <c r="AJ1281" s="18" t="str">
        <f t="shared" si="83"/>
        <v/>
      </c>
      <c r="AK1281" s="18" t="str">
        <f t="shared" si="84"/>
        <v/>
      </c>
      <c r="AL1281" s="18" t="str">
        <f t="shared" si="85"/>
        <v/>
      </c>
      <c r="AM1281" s="18" t="str">
        <f t="shared" si="86"/>
        <v/>
      </c>
    </row>
    <row r="1282" spans="1:39" x14ac:dyDescent="0.35">
      <c r="A1282" s="56" t="s">
        <v>1350</v>
      </c>
      <c r="B1282" s="31"/>
      <c r="C1282" s="54"/>
      <c r="D1282" s="31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E1282" s="57" t="str">
        <f t="shared" si="78"/>
        <v/>
      </c>
      <c r="AF1282" s="18" t="str">
        <f t="shared" si="79"/>
        <v/>
      </c>
      <c r="AG1282" s="18" t="str">
        <f t="shared" si="80"/>
        <v/>
      </c>
      <c r="AH1282" s="18" t="str">
        <f t="shared" si="81"/>
        <v/>
      </c>
      <c r="AI1282" s="18" t="str">
        <f t="shared" si="82"/>
        <v/>
      </c>
      <c r="AJ1282" s="18" t="str">
        <f t="shared" si="83"/>
        <v/>
      </c>
      <c r="AK1282" s="18" t="str">
        <f t="shared" si="84"/>
        <v/>
      </c>
      <c r="AL1282" s="18" t="str">
        <f t="shared" si="85"/>
        <v/>
      </c>
      <c r="AM1282" s="18" t="str">
        <f t="shared" si="86"/>
        <v/>
      </c>
    </row>
    <row r="1283" spans="1:39" x14ac:dyDescent="0.35">
      <c r="A1283" s="56" t="s">
        <v>1351</v>
      </c>
      <c r="B1283" s="31"/>
      <c r="C1283" s="54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E1283" s="57" t="str">
        <f t="shared" ref="AE1283:AE1346" si="87">IFERROR(VLOOKUP(AD1283,$A$2:$AA$2000,2,0),"")</f>
        <v/>
      </c>
      <c r="AF1283" s="18" t="str">
        <f t="shared" ref="AF1283:AF1346" si="88">IFERROR(VLOOKUP(AD1283,$A$2:$AA$2000,22,0),"")</f>
        <v/>
      </c>
      <c r="AG1283" s="18" t="str">
        <f t="shared" ref="AG1283:AG1346" si="89">IFERROR(VLOOKUP(AD1283,$A$2:$AA$2000,18,0),"")</f>
        <v/>
      </c>
      <c r="AH1283" s="18" t="str">
        <f t="shared" ref="AH1283:AH1346" si="90">IFERROR(VLOOKUP(AD1283,$A$2:$AA$2000,17,0),"")</f>
        <v/>
      </c>
      <c r="AI1283" s="18" t="str">
        <f t="shared" ref="AI1283:AI1346" si="91">IFERROR(VLOOKUP(AD1283,$A$2:$AA$2000,20,0),"")</f>
        <v/>
      </c>
      <c r="AJ1283" s="18" t="str">
        <f t="shared" ref="AJ1283:AJ1346" si="92">IFERROR(VLOOKUP(AD1283,$A$2:$AA$2000,9,0),"")</f>
        <v/>
      </c>
      <c r="AK1283" s="18" t="str">
        <f t="shared" ref="AK1283:AK1346" si="93">IFERROR(VLOOKUP(AD1283,$A$2:$AA$2000,5,0),"")</f>
        <v/>
      </c>
      <c r="AL1283" s="18" t="str">
        <f t="shared" ref="AL1283:AL1346" si="94">IFERROR(VLOOKUP(AD1283,$A$2:$AA$2000,4,0),"")</f>
        <v/>
      </c>
      <c r="AM1283" s="18" t="str">
        <f t="shared" ref="AM1283:AM1346" si="95">IFERROR(VLOOKUP(AD1283,$A$2:$AA$2000,7,0),"")</f>
        <v/>
      </c>
    </row>
    <row r="1284" spans="1:39" x14ac:dyDescent="0.35">
      <c r="A1284" s="56" t="s">
        <v>1352</v>
      </c>
      <c r="B1284" s="31"/>
      <c r="C1284" s="54"/>
      <c r="D1284" s="31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E1284" s="57" t="str">
        <f t="shared" si="87"/>
        <v/>
      </c>
      <c r="AF1284" s="18" t="str">
        <f t="shared" si="88"/>
        <v/>
      </c>
      <c r="AG1284" s="18" t="str">
        <f t="shared" si="89"/>
        <v/>
      </c>
      <c r="AH1284" s="18" t="str">
        <f t="shared" si="90"/>
        <v/>
      </c>
      <c r="AI1284" s="18" t="str">
        <f t="shared" si="91"/>
        <v/>
      </c>
      <c r="AJ1284" s="18" t="str">
        <f t="shared" si="92"/>
        <v/>
      </c>
      <c r="AK1284" s="18" t="str">
        <f t="shared" si="93"/>
        <v/>
      </c>
      <c r="AL1284" s="18" t="str">
        <f t="shared" si="94"/>
        <v/>
      </c>
      <c r="AM1284" s="18" t="str">
        <f t="shared" si="95"/>
        <v/>
      </c>
    </row>
    <row r="1285" spans="1:39" x14ac:dyDescent="0.35">
      <c r="A1285" s="56" t="s">
        <v>1353</v>
      </c>
      <c r="B1285" s="31"/>
      <c r="C1285" s="54"/>
      <c r="D1285" s="31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E1285" s="57" t="str">
        <f t="shared" si="87"/>
        <v/>
      </c>
      <c r="AF1285" s="18" t="str">
        <f t="shared" si="88"/>
        <v/>
      </c>
      <c r="AG1285" s="18" t="str">
        <f t="shared" si="89"/>
        <v/>
      </c>
      <c r="AH1285" s="18" t="str">
        <f t="shared" si="90"/>
        <v/>
      </c>
      <c r="AI1285" s="18" t="str">
        <f t="shared" si="91"/>
        <v/>
      </c>
      <c r="AJ1285" s="18" t="str">
        <f t="shared" si="92"/>
        <v/>
      </c>
      <c r="AK1285" s="18" t="str">
        <f t="shared" si="93"/>
        <v/>
      </c>
      <c r="AL1285" s="18" t="str">
        <f t="shared" si="94"/>
        <v/>
      </c>
      <c r="AM1285" s="18" t="str">
        <f t="shared" si="95"/>
        <v/>
      </c>
    </row>
    <row r="1286" spans="1:39" x14ac:dyDescent="0.35">
      <c r="A1286" s="56" t="s">
        <v>1354</v>
      </c>
      <c r="B1286" s="31"/>
      <c r="C1286" s="54"/>
      <c r="D1286" s="31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E1286" s="57" t="str">
        <f t="shared" si="87"/>
        <v/>
      </c>
      <c r="AF1286" s="18" t="str">
        <f t="shared" si="88"/>
        <v/>
      </c>
      <c r="AG1286" s="18" t="str">
        <f t="shared" si="89"/>
        <v/>
      </c>
      <c r="AH1286" s="18" t="str">
        <f t="shared" si="90"/>
        <v/>
      </c>
      <c r="AI1286" s="18" t="str">
        <f t="shared" si="91"/>
        <v/>
      </c>
      <c r="AJ1286" s="18" t="str">
        <f t="shared" si="92"/>
        <v/>
      </c>
      <c r="AK1286" s="18" t="str">
        <f t="shared" si="93"/>
        <v/>
      </c>
      <c r="AL1286" s="18" t="str">
        <f t="shared" si="94"/>
        <v/>
      </c>
      <c r="AM1286" s="18" t="str">
        <f t="shared" si="95"/>
        <v/>
      </c>
    </row>
    <row r="1287" spans="1:39" x14ac:dyDescent="0.35">
      <c r="A1287" s="56" t="s">
        <v>1355</v>
      </c>
      <c r="B1287" s="31"/>
      <c r="C1287" s="54"/>
      <c r="D1287" s="31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E1287" s="57" t="str">
        <f t="shared" si="87"/>
        <v/>
      </c>
      <c r="AF1287" s="18" t="str">
        <f t="shared" si="88"/>
        <v/>
      </c>
      <c r="AG1287" s="18" t="str">
        <f t="shared" si="89"/>
        <v/>
      </c>
      <c r="AH1287" s="18" t="str">
        <f t="shared" si="90"/>
        <v/>
      </c>
      <c r="AI1287" s="18" t="str">
        <f t="shared" si="91"/>
        <v/>
      </c>
      <c r="AJ1287" s="18" t="str">
        <f t="shared" si="92"/>
        <v/>
      </c>
      <c r="AK1287" s="18" t="str">
        <f t="shared" si="93"/>
        <v/>
      </c>
      <c r="AL1287" s="18" t="str">
        <f t="shared" si="94"/>
        <v/>
      </c>
      <c r="AM1287" s="18" t="str">
        <f t="shared" si="95"/>
        <v/>
      </c>
    </row>
    <row r="1288" spans="1:39" x14ac:dyDescent="0.35">
      <c r="A1288" s="56" t="s">
        <v>1356</v>
      </c>
      <c r="B1288" s="31"/>
      <c r="C1288" s="54"/>
      <c r="D1288" s="31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E1288" s="57" t="str">
        <f t="shared" si="87"/>
        <v/>
      </c>
      <c r="AF1288" s="18" t="str">
        <f t="shared" si="88"/>
        <v/>
      </c>
      <c r="AG1288" s="18" t="str">
        <f t="shared" si="89"/>
        <v/>
      </c>
      <c r="AH1288" s="18" t="str">
        <f t="shared" si="90"/>
        <v/>
      </c>
      <c r="AI1288" s="18" t="str">
        <f t="shared" si="91"/>
        <v/>
      </c>
      <c r="AJ1288" s="18" t="str">
        <f t="shared" si="92"/>
        <v/>
      </c>
      <c r="AK1288" s="18" t="str">
        <f t="shared" si="93"/>
        <v/>
      </c>
      <c r="AL1288" s="18" t="str">
        <f t="shared" si="94"/>
        <v/>
      </c>
      <c r="AM1288" s="18" t="str">
        <f t="shared" si="95"/>
        <v/>
      </c>
    </row>
    <row r="1289" spans="1:39" x14ac:dyDescent="0.35">
      <c r="A1289" s="56" t="s">
        <v>1357</v>
      </c>
      <c r="B1289" s="31"/>
      <c r="C1289" s="54"/>
      <c r="D1289" s="31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E1289" s="57" t="str">
        <f t="shared" si="87"/>
        <v/>
      </c>
      <c r="AF1289" s="18" t="str">
        <f t="shared" si="88"/>
        <v/>
      </c>
      <c r="AG1289" s="18" t="str">
        <f t="shared" si="89"/>
        <v/>
      </c>
      <c r="AH1289" s="18" t="str">
        <f t="shared" si="90"/>
        <v/>
      </c>
      <c r="AI1289" s="18" t="str">
        <f t="shared" si="91"/>
        <v/>
      </c>
      <c r="AJ1289" s="18" t="str">
        <f t="shared" si="92"/>
        <v/>
      </c>
      <c r="AK1289" s="18" t="str">
        <f t="shared" si="93"/>
        <v/>
      </c>
      <c r="AL1289" s="18" t="str">
        <f t="shared" si="94"/>
        <v/>
      </c>
      <c r="AM1289" s="18" t="str">
        <f t="shared" si="95"/>
        <v/>
      </c>
    </row>
    <row r="1290" spans="1:39" x14ac:dyDescent="0.35">
      <c r="A1290" s="56" t="s">
        <v>1358</v>
      </c>
      <c r="B1290" s="31"/>
      <c r="C1290" s="54"/>
      <c r="D1290" s="31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E1290" s="57" t="str">
        <f t="shared" si="87"/>
        <v/>
      </c>
      <c r="AF1290" s="18" t="str">
        <f t="shared" si="88"/>
        <v/>
      </c>
      <c r="AG1290" s="18" t="str">
        <f t="shared" si="89"/>
        <v/>
      </c>
      <c r="AH1290" s="18" t="str">
        <f t="shared" si="90"/>
        <v/>
      </c>
      <c r="AI1290" s="18" t="str">
        <f t="shared" si="91"/>
        <v/>
      </c>
      <c r="AJ1290" s="18" t="str">
        <f t="shared" si="92"/>
        <v/>
      </c>
      <c r="AK1290" s="18" t="str">
        <f t="shared" si="93"/>
        <v/>
      </c>
      <c r="AL1290" s="18" t="str">
        <f t="shared" si="94"/>
        <v/>
      </c>
      <c r="AM1290" s="18" t="str">
        <f t="shared" si="95"/>
        <v/>
      </c>
    </row>
    <row r="1291" spans="1:39" x14ac:dyDescent="0.35">
      <c r="A1291" s="56" t="s">
        <v>1359</v>
      </c>
      <c r="B1291" s="31"/>
      <c r="C1291" s="54"/>
      <c r="D1291" s="31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E1291" s="57" t="str">
        <f t="shared" si="87"/>
        <v/>
      </c>
      <c r="AF1291" s="18" t="str">
        <f t="shared" si="88"/>
        <v/>
      </c>
      <c r="AG1291" s="18" t="str">
        <f t="shared" si="89"/>
        <v/>
      </c>
      <c r="AH1291" s="18" t="str">
        <f t="shared" si="90"/>
        <v/>
      </c>
      <c r="AI1291" s="18" t="str">
        <f t="shared" si="91"/>
        <v/>
      </c>
      <c r="AJ1291" s="18" t="str">
        <f t="shared" si="92"/>
        <v/>
      </c>
      <c r="AK1291" s="18" t="str">
        <f t="shared" si="93"/>
        <v/>
      </c>
      <c r="AL1291" s="18" t="str">
        <f t="shared" si="94"/>
        <v/>
      </c>
      <c r="AM1291" s="18" t="str">
        <f t="shared" si="95"/>
        <v/>
      </c>
    </row>
    <row r="1292" spans="1:39" x14ac:dyDescent="0.35">
      <c r="A1292" s="56" t="s">
        <v>1360</v>
      </c>
      <c r="B1292" s="31"/>
      <c r="C1292" s="54"/>
      <c r="D1292" s="31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E1292" s="57" t="str">
        <f t="shared" si="87"/>
        <v/>
      </c>
      <c r="AF1292" s="18" t="str">
        <f t="shared" si="88"/>
        <v/>
      </c>
      <c r="AG1292" s="18" t="str">
        <f t="shared" si="89"/>
        <v/>
      </c>
      <c r="AH1292" s="18" t="str">
        <f t="shared" si="90"/>
        <v/>
      </c>
      <c r="AI1292" s="18" t="str">
        <f t="shared" si="91"/>
        <v/>
      </c>
      <c r="AJ1292" s="18" t="str">
        <f t="shared" si="92"/>
        <v/>
      </c>
      <c r="AK1292" s="18" t="str">
        <f t="shared" si="93"/>
        <v/>
      </c>
      <c r="AL1292" s="18" t="str">
        <f t="shared" si="94"/>
        <v/>
      </c>
      <c r="AM1292" s="18" t="str">
        <f t="shared" si="95"/>
        <v/>
      </c>
    </row>
    <row r="1293" spans="1:39" x14ac:dyDescent="0.35">
      <c r="A1293" s="56" t="s">
        <v>1361</v>
      </c>
      <c r="B1293" s="31"/>
      <c r="C1293" s="54"/>
      <c r="D1293" s="31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E1293" s="57" t="str">
        <f t="shared" si="87"/>
        <v/>
      </c>
      <c r="AF1293" s="18" t="str">
        <f t="shared" si="88"/>
        <v/>
      </c>
      <c r="AG1293" s="18" t="str">
        <f t="shared" si="89"/>
        <v/>
      </c>
      <c r="AH1293" s="18" t="str">
        <f t="shared" si="90"/>
        <v/>
      </c>
      <c r="AI1293" s="18" t="str">
        <f t="shared" si="91"/>
        <v/>
      </c>
      <c r="AJ1293" s="18" t="str">
        <f t="shared" si="92"/>
        <v/>
      </c>
      <c r="AK1293" s="18" t="str">
        <f t="shared" si="93"/>
        <v/>
      </c>
      <c r="AL1293" s="18" t="str">
        <f t="shared" si="94"/>
        <v/>
      </c>
      <c r="AM1293" s="18" t="str">
        <f t="shared" si="95"/>
        <v/>
      </c>
    </row>
    <row r="1294" spans="1:39" x14ac:dyDescent="0.35">
      <c r="A1294" s="56" t="s">
        <v>1362</v>
      </c>
      <c r="B1294" s="31"/>
      <c r="C1294" s="54"/>
      <c r="D1294" s="31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E1294" s="57" t="str">
        <f t="shared" si="87"/>
        <v/>
      </c>
      <c r="AF1294" s="18" t="str">
        <f t="shared" si="88"/>
        <v/>
      </c>
      <c r="AG1294" s="18" t="str">
        <f t="shared" si="89"/>
        <v/>
      </c>
      <c r="AH1294" s="18" t="str">
        <f t="shared" si="90"/>
        <v/>
      </c>
      <c r="AI1294" s="18" t="str">
        <f t="shared" si="91"/>
        <v/>
      </c>
      <c r="AJ1294" s="18" t="str">
        <f t="shared" si="92"/>
        <v/>
      </c>
      <c r="AK1294" s="18" t="str">
        <f t="shared" si="93"/>
        <v/>
      </c>
      <c r="AL1294" s="18" t="str">
        <f t="shared" si="94"/>
        <v/>
      </c>
      <c r="AM1294" s="18" t="str">
        <f t="shared" si="95"/>
        <v/>
      </c>
    </row>
    <row r="1295" spans="1:39" x14ac:dyDescent="0.35">
      <c r="A1295" s="56" t="s">
        <v>1363</v>
      </c>
      <c r="B1295" s="31"/>
      <c r="C1295" s="54"/>
      <c r="D1295" s="31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E1295" s="57" t="str">
        <f t="shared" si="87"/>
        <v/>
      </c>
      <c r="AF1295" s="18" t="str">
        <f t="shared" si="88"/>
        <v/>
      </c>
      <c r="AG1295" s="18" t="str">
        <f t="shared" si="89"/>
        <v/>
      </c>
      <c r="AH1295" s="18" t="str">
        <f t="shared" si="90"/>
        <v/>
      </c>
      <c r="AI1295" s="18" t="str">
        <f t="shared" si="91"/>
        <v/>
      </c>
      <c r="AJ1295" s="18" t="str">
        <f t="shared" si="92"/>
        <v/>
      </c>
      <c r="AK1295" s="18" t="str">
        <f t="shared" si="93"/>
        <v/>
      </c>
      <c r="AL1295" s="18" t="str">
        <f t="shared" si="94"/>
        <v/>
      </c>
      <c r="AM1295" s="18" t="str">
        <f t="shared" si="95"/>
        <v/>
      </c>
    </row>
    <row r="1296" spans="1:39" x14ac:dyDescent="0.35">
      <c r="A1296" s="56" t="s">
        <v>1364</v>
      </c>
      <c r="B1296" s="31"/>
      <c r="C1296" s="54"/>
      <c r="D1296" s="31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E1296" s="57" t="str">
        <f t="shared" si="87"/>
        <v/>
      </c>
      <c r="AF1296" s="18" t="str">
        <f t="shared" si="88"/>
        <v/>
      </c>
      <c r="AG1296" s="18" t="str">
        <f t="shared" si="89"/>
        <v/>
      </c>
      <c r="AH1296" s="18" t="str">
        <f t="shared" si="90"/>
        <v/>
      </c>
      <c r="AI1296" s="18" t="str">
        <f t="shared" si="91"/>
        <v/>
      </c>
      <c r="AJ1296" s="18" t="str">
        <f t="shared" si="92"/>
        <v/>
      </c>
      <c r="AK1296" s="18" t="str">
        <f t="shared" si="93"/>
        <v/>
      </c>
      <c r="AL1296" s="18" t="str">
        <f t="shared" si="94"/>
        <v/>
      </c>
      <c r="AM1296" s="18" t="str">
        <f t="shared" si="95"/>
        <v/>
      </c>
    </row>
    <row r="1297" spans="1:39" x14ac:dyDescent="0.35">
      <c r="A1297" s="56" t="s">
        <v>1365</v>
      </c>
      <c r="B1297" s="31"/>
      <c r="C1297" s="54"/>
      <c r="D1297" s="31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E1297" s="57" t="str">
        <f t="shared" si="87"/>
        <v/>
      </c>
      <c r="AF1297" s="18" t="str">
        <f t="shared" si="88"/>
        <v/>
      </c>
      <c r="AG1297" s="18" t="str">
        <f t="shared" si="89"/>
        <v/>
      </c>
      <c r="AH1297" s="18" t="str">
        <f t="shared" si="90"/>
        <v/>
      </c>
      <c r="AI1297" s="18" t="str">
        <f t="shared" si="91"/>
        <v/>
      </c>
      <c r="AJ1297" s="18" t="str">
        <f t="shared" si="92"/>
        <v/>
      </c>
      <c r="AK1297" s="18" t="str">
        <f t="shared" si="93"/>
        <v/>
      </c>
      <c r="AL1297" s="18" t="str">
        <f t="shared" si="94"/>
        <v/>
      </c>
      <c r="AM1297" s="18" t="str">
        <f t="shared" si="95"/>
        <v/>
      </c>
    </row>
    <row r="1298" spans="1:39" x14ac:dyDescent="0.35">
      <c r="A1298" s="56" t="s">
        <v>1366</v>
      </c>
      <c r="B1298" s="31"/>
      <c r="C1298" s="54"/>
      <c r="D1298" s="31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E1298" s="57" t="str">
        <f t="shared" si="87"/>
        <v/>
      </c>
      <c r="AF1298" s="18" t="str">
        <f t="shared" si="88"/>
        <v/>
      </c>
      <c r="AG1298" s="18" t="str">
        <f t="shared" si="89"/>
        <v/>
      </c>
      <c r="AH1298" s="18" t="str">
        <f t="shared" si="90"/>
        <v/>
      </c>
      <c r="AI1298" s="18" t="str">
        <f t="shared" si="91"/>
        <v/>
      </c>
      <c r="AJ1298" s="18" t="str">
        <f t="shared" si="92"/>
        <v/>
      </c>
      <c r="AK1298" s="18" t="str">
        <f t="shared" si="93"/>
        <v/>
      </c>
      <c r="AL1298" s="18" t="str">
        <f t="shared" si="94"/>
        <v/>
      </c>
      <c r="AM1298" s="18" t="str">
        <f t="shared" si="95"/>
        <v/>
      </c>
    </row>
    <row r="1299" spans="1:39" x14ac:dyDescent="0.35">
      <c r="A1299" s="56" t="s">
        <v>1367</v>
      </c>
      <c r="B1299" s="31"/>
      <c r="C1299" s="54"/>
      <c r="D1299" s="31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E1299" s="57" t="str">
        <f t="shared" si="87"/>
        <v/>
      </c>
      <c r="AF1299" s="18" t="str">
        <f t="shared" si="88"/>
        <v/>
      </c>
      <c r="AG1299" s="18" t="str">
        <f t="shared" si="89"/>
        <v/>
      </c>
      <c r="AH1299" s="18" t="str">
        <f t="shared" si="90"/>
        <v/>
      </c>
      <c r="AI1299" s="18" t="str">
        <f t="shared" si="91"/>
        <v/>
      </c>
      <c r="AJ1299" s="18" t="str">
        <f t="shared" si="92"/>
        <v/>
      </c>
      <c r="AK1299" s="18" t="str">
        <f t="shared" si="93"/>
        <v/>
      </c>
      <c r="AL1299" s="18" t="str">
        <f t="shared" si="94"/>
        <v/>
      </c>
      <c r="AM1299" s="18" t="str">
        <f t="shared" si="95"/>
        <v/>
      </c>
    </row>
    <row r="1300" spans="1:39" x14ac:dyDescent="0.35">
      <c r="A1300" s="56" t="s">
        <v>1368</v>
      </c>
      <c r="B1300" s="31"/>
      <c r="C1300" s="54"/>
      <c r="D1300" s="31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E1300" s="57" t="str">
        <f t="shared" si="87"/>
        <v/>
      </c>
      <c r="AF1300" s="18" t="str">
        <f t="shared" si="88"/>
        <v/>
      </c>
      <c r="AG1300" s="18" t="str">
        <f t="shared" si="89"/>
        <v/>
      </c>
      <c r="AH1300" s="18" t="str">
        <f t="shared" si="90"/>
        <v/>
      </c>
      <c r="AI1300" s="18" t="str">
        <f t="shared" si="91"/>
        <v/>
      </c>
      <c r="AJ1300" s="18" t="str">
        <f t="shared" si="92"/>
        <v/>
      </c>
      <c r="AK1300" s="18" t="str">
        <f t="shared" si="93"/>
        <v/>
      </c>
      <c r="AL1300" s="18" t="str">
        <f t="shared" si="94"/>
        <v/>
      </c>
      <c r="AM1300" s="18" t="str">
        <f t="shared" si="95"/>
        <v/>
      </c>
    </row>
    <row r="1301" spans="1:39" x14ac:dyDescent="0.35">
      <c r="A1301" s="56" t="s">
        <v>1369</v>
      </c>
      <c r="B1301" s="31"/>
      <c r="C1301" s="54"/>
      <c r="D1301" s="31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E1301" s="57" t="str">
        <f t="shared" si="87"/>
        <v/>
      </c>
      <c r="AF1301" s="18" t="str">
        <f t="shared" si="88"/>
        <v/>
      </c>
      <c r="AG1301" s="18" t="str">
        <f t="shared" si="89"/>
        <v/>
      </c>
      <c r="AH1301" s="18" t="str">
        <f t="shared" si="90"/>
        <v/>
      </c>
      <c r="AI1301" s="18" t="str">
        <f t="shared" si="91"/>
        <v/>
      </c>
      <c r="AJ1301" s="18" t="str">
        <f t="shared" si="92"/>
        <v/>
      </c>
      <c r="AK1301" s="18" t="str">
        <f t="shared" si="93"/>
        <v/>
      </c>
      <c r="AL1301" s="18" t="str">
        <f t="shared" si="94"/>
        <v/>
      </c>
      <c r="AM1301" s="18" t="str">
        <f t="shared" si="95"/>
        <v/>
      </c>
    </row>
    <row r="1302" spans="1:39" x14ac:dyDescent="0.35">
      <c r="A1302" s="56" t="s">
        <v>1370</v>
      </c>
      <c r="B1302" s="31"/>
      <c r="C1302" s="54"/>
      <c r="D1302" s="31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E1302" s="57" t="str">
        <f t="shared" si="87"/>
        <v/>
      </c>
      <c r="AF1302" s="18" t="str">
        <f t="shared" si="88"/>
        <v/>
      </c>
      <c r="AG1302" s="18" t="str">
        <f t="shared" si="89"/>
        <v/>
      </c>
      <c r="AH1302" s="18" t="str">
        <f t="shared" si="90"/>
        <v/>
      </c>
      <c r="AI1302" s="18" t="str">
        <f t="shared" si="91"/>
        <v/>
      </c>
      <c r="AJ1302" s="18" t="str">
        <f t="shared" si="92"/>
        <v/>
      </c>
      <c r="AK1302" s="18" t="str">
        <f t="shared" si="93"/>
        <v/>
      </c>
      <c r="AL1302" s="18" t="str">
        <f t="shared" si="94"/>
        <v/>
      </c>
      <c r="AM1302" s="18" t="str">
        <f t="shared" si="95"/>
        <v/>
      </c>
    </row>
    <row r="1303" spans="1:39" x14ac:dyDescent="0.35">
      <c r="A1303" s="56" t="s">
        <v>1371</v>
      </c>
      <c r="B1303" s="31"/>
      <c r="C1303" s="54"/>
      <c r="D1303" s="31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E1303" s="57" t="str">
        <f t="shared" si="87"/>
        <v/>
      </c>
      <c r="AF1303" s="18" t="str">
        <f t="shared" si="88"/>
        <v/>
      </c>
      <c r="AG1303" s="18" t="str">
        <f t="shared" si="89"/>
        <v/>
      </c>
      <c r="AH1303" s="18" t="str">
        <f t="shared" si="90"/>
        <v/>
      </c>
      <c r="AI1303" s="18" t="str">
        <f t="shared" si="91"/>
        <v/>
      </c>
      <c r="AJ1303" s="18" t="str">
        <f t="shared" si="92"/>
        <v/>
      </c>
      <c r="AK1303" s="18" t="str">
        <f t="shared" si="93"/>
        <v/>
      </c>
      <c r="AL1303" s="18" t="str">
        <f t="shared" si="94"/>
        <v/>
      </c>
      <c r="AM1303" s="18" t="str">
        <f t="shared" si="95"/>
        <v/>
      </c>
    </row>
    <row r="1304" spans="1:39" x14ac:dyDescent="0.35">
      <c r="A1304" s="56" t="s">
        <v>1372</v>
      </c>
      <c r="B1304" s="31"/>
      <c r="C1304" s="54"/>
      <c r="D1304" s="31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E1304" s="57" t="str">
        <f t="shared" si="87"/>
        <v/>
      </c>
      <c r="AF1304" s="18" t="str">
        <f t="shared" si="88"/>
        <v/>
      </c>
      <c r="AG1304" s="18" t="str">
        <f t="shared" si="89"/>
        <v/>
      </c>
      <c r="AH1304" s="18" t="str">
        <f t="shared" si="90"/>
        <v/>
      </c>
      <c r="AI1304" s="18" t="str">
        <f t="shared" si="91"/>
        <v/>
      </c>
      <c r="AJ1304" s="18" t="str">
        <f t="shared" si="92"/>
        <v/>
      </c>
      <c r="AK1304" s="18" t="str">
        <f t="shared" si="93"/>
        <v/>
      </c>
      <c r="AL1304" s="18" t="str">
        <f t="shared" si="94"/>
        <v/>
      </c>
      <c r="AM1304" s="18" t="str">
        <f t="shared" si="95"/>
        <v/>
      </c>
    </row>
    <row r="1305" spans="1:39" x14ac:dyDescent="0.35">
      <c r="A1305" s="56" t="s">
        <v>1373</v>
      </c>
      <c r="B1305" s="31"/>
      <c r="C1305" s="54"/>
      <c r="D1305" s="31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E1305" s="57" t="str">
        <f t="shared" si="87"/>
        <v/>
      </c>
      <c r="AF1305" s="18" t="str">
        <f t="shared" si="88"/>
        <v/>
      </c>
      <c r="AG1305" s="18" t="str">
        <f t="shared" si="89"/>
        <v/>
      </c>
      <c r="AH1305" s="18" t="str">
        <f t="shared" si="90"/>
        <v/>
      </c>
      <c r="AI1305" s="18" t="str">
        <f t="shared" si="91"/>
        <v/>
      </c>
      <c r="AJ1305" s="18" t="str">
        <f t="shared" si="92"/>
        <v/>
      </c>
      <c r="AK1305" s="18" t="str">
        <f t="shared" si="93"/>
        <v/>
      </c>
      <c r="AL1305" s="18" t="str">
        <f t="shared" si="94"/>
        <v/>
      </c>
      <c r="AM1305" s="18" t="str">
        <f t="shared" si="95"/>
        <v/>
      </c>
    </row>
    <row r="1306" spans="1:39" x14ac:dyDescent="0.35">
      <c r="A1306" s="56" t="s">
        <v>1374</v>
      </c>
      <c r="B1306" s="31"/>
      <c r="C1306" s="54"/>
      <c r="D1306" s="31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E1306" s="57" t="str">
        <f t="shared" si="87"/>
        <v/>
      </c>
      <c r="AF1306" s="18" t="str">
        <f t="shared" si="88"/>
        <v/>
      </c>
      <c r="AG1306" s="18" t="str">
        <f t="shared" si="89"/>
        <v/>
      </c>
      <c r="AH1306" s="18" t="str">
        <f t="shared" si="90"/>
        <v/>
      </c>
      <c r="AI1306" s="18" t="str">
        <f t="shared" si="91"/>
        <v/>
      </c>
      <c r="AJ1306" s="18" t="str">
        <f t="shared" si="92"/>
        <v/>
      </c>
      <c r="AK1306" s="18" t="str">
        <f t="shared" si="93"/>
        <v/>
      </c>
      <c r="AL1306" s="18" t="str">
        <f t="shared" si="94"/>
        <v/>
      </c>
      <c r="AM1306" s="18" t="str">
        <f t="shared" si="95"/>
        <v/>
      </c>
    </row>
    <row r="1307" spans="1:39" x14ac:dyDescent="0.35">
      <c r="A1307" s="56" t="s">
        <v>1375</v>
      </c>
      <c r="B1307" s="31"/>
      <c r="C1307" s="54"/>
      <c r="D1307" s="31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E1307" s="57" t="str">
        <f t="shared" si="87"/>
        <v/>
      </c>
      <c r="AF1307" s="18" t="str">
        <f t="shared" si="88"/>
        <v/>
      </c>
      <c r="AG1307" s="18" t="str">
        <f t="shared" si="89"/>
        <v/>
      </c>
      <c r="AH1307" s="18" t="str">
        <f t="shared" si="90"/>
        <v/>
      </c>
      <c r="AI1307" s="18" t="str">
        <f t="shared" si="91"/>
        <v/>
      </c>
      <c r="AJ1307" s="18" t="str">
        <f t="shared" si="92"/>
        <v/>
      </c>
      <c r="AK1307" s="18" t="str">
        <f t="shared" si="93"/>
        <v/>
      </c>
      <c r="AL1307" s="18" t="str">
        <f t="shared" si="94"/>
        <v/>
      </c>
      <c r="AM1307" s="18" t="str">
        <f t="shared" si="95"/>
        <v/>
      </c>
    </row>
    <row r="1308" spans="1:39" x14ac:dyDescent="0.35">
      <c r="A1308" s="56" t="s">
        <v>1376</v>
      </c>
      <c r="B1308" s="31"/>
      <c r="C1308" s="54"/>
      <c r="D1308" s="31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E1308" s="57" t="str">
        <f t="shared" si="87"/>
        <v/>
      </c>
      <c r="AF1308" s="18" t="str">
        <f t="shared" si="88"/>
        <v/>
      </c>
      <c r="AG1308" s="18" t="str">
        <f t="shared" si="89"/>
        <v/>
      </c>
      <c r="AH1308" s="18" t="str">
        <f t="shared" si="90"/>
        <v/>
      </c>
      <c r="AI1308" s="18" t="str">
        <f t="shared" si="91"/>
        <v/>
      </c>
      <c r="AJ1308" s="18" t="str">
        <f t="shared" si="92"/>
        <v/>
      </c>
      <c r="AK1308" s="18" t="str">
        <f t="shared" si="93"/>
        <v/>
      </c>
      <c r="AL1308" s="18" t="str">
        <f t="shared" si="94"/>
        <v/>
      </c>
      <c r="AM1308" s="18" t="str">
        <f t="shared" si="95"/>
        <v/>
      </c>
    </row>
    <row r="1309" spans="1:39" x14ac:dyDescent="0.35">
      <c r="A1309" s="56" t="s">
        <v>1377</v>
      </c>
      <c r="B1309" s="31"/>
      <c r="C1309" s="54"/>
      <c r="D1309" s="31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E1309" s="57" t="str">
        <f t="shared" si="87"/>
        <v/>
      </c>
      <c r="AF1309" s="18" t="str">
        <f t="shared" si="88"/>
        <v/>
      </c>
      <c r="AG1309" s="18" t="str">
        <f t="shared" si="89"/>
        <v/>
      </c>
      <c r="AH1309" s="18" t="str">
        <f t="shared" si="90"/>
        <v/>
      </c>
      <c r="AI1309" s="18" t="str">
        <f t="shared" si="91"/>
        <v/>
      </c>
      <c r="AJ1309" s="18" t="str">
        <f t="shared" si="92"/>
        <v/>
      </c>
      <c r="AK1309" s="18" t="str">
        <f t="shared" si="93"/>
        <v/>
      </c>
      <c r="AL1309" s="18" t="str">
        <f t="shared" si="94"/>
        <v/>
      </c>
      <c r="AM1309" s="18" t="str">
        <f t="shared" si="95"/>
        <v/>
      </c>
    </row>
    <row r="1310" spans="1:39" x14ac:dyDescent="0.35">
      <c r="A1310" s="56" t="s">
        <v>1378</v>
      </c>
      <c r="B1310" s="31"/>
      <c r="C1310" s="54"/>
      <c r="D1310" s="31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E1310" s="57" t="str">
        <f t="shared" si="87"/>
        <v/>
      </c>
      <c r="AF1310" s="18" t="str">
        <f t="shared" si="88"/>
        <v/>
      </c>
      <c r="AG1310" s="18" t="str">
        <f t="shared" si="89"/>
        <v/>
      </c>
      <c r="AH1310" s="18" t="str">
        <f t="shared" si="90"/>
        <v/>
      </c>
      <c r="AI1310" s="18" t="str">
        <f t="shared" si="91"/>
        <v/>
      </c>
      <c r="AJ1310" s="18" t="str">
        <f t="shared" si="92"/>
        <v/>
      </c>
      <c r="AK1310" s="18" t="str">
        <f t="shared" si="93"/>
        <v/>
      </c>
      <c r="AL1310" s="18" t="str">
        <f t="shared" si="94"/>
        <v/>
      </c>
      <c r="AM1310" s="18" t="str">
        <f t="shared" si="95"/>
        <v/>
      </c>
    </row>
    <row r="1311" spans="1:39" x14ac:dyDescent="0.35">
      <c r="A1311" s="56" t="s">
        <v>1379</v>
      </c>
      <c r="B1311" s="31"/>
      <c r="C1311" s="54"/>
      <c r="D1311" s="31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E1311" s="57" t="str">
        <f t="shared" si="87"/>
        <v/>
      </c>
      <c r="AF1311" s="18" t="str">
        <f t="shared" si="88"/>
        <v/>
      </c>
      <c r="AG1311" s="18" t="str">
        <f t="shared" si="89"/>
        <v/>
      </c>
      <c r="AH1311" s="18" t="str">
        <f t="shared" si="90"/>
        <v/>
      </c>
      <c r="AI1311" s="18" t="str">
        <f t="shared" si="91"/>
        <v/>
      </c>
      <c r="AJ1311" s="18" t="str">
        <f t="shared" si="92"/>
        <v/>
      </c>
      <c r="AK1311" s="18" t="str">
        <f t="shared" si="93"/>
        <v/>
      </c>
      <c r="AL1311" s="18" t="str">
        <f t="shared" si="94"/>
        <v/>
      </c>
      <c r="AM1311" s="18" t="str">
        <f t="shared" si="95"/>
        <v/>
      </c>
    </row>
    <row r="1312" spans="1:39" x14ac:dyDescent="0.35">
      <c r="A1312" s="56" t="s">
        <v>1380</v>
      </c>
      <c r="B1312" s="31"/>
      <c r="C1312" s="54"/>
      <c r="D1312" s="31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E1312" s="57" t="str">
        <f t="shared" si="87"/>
        <v/>
      </c>
      <c r="AF1312" s="18" t="str">
        <f t="shared" si="88"/>
        <v/>
      </c>
      <c r="AG1312" s="18" t="str">
        <f t="shared" si="89"/>
        <v/>
      </c>
      <c r="AH1312" s="18" t="str">
        <f t="shared" si="90"/>
        <v/>
      </c>
      <c r="AI1312" s="18" t="str">
        <f t="shared" si="91"/>
        <v/>
      </c>
      <c r="AJ1312" s="18" t="str">
        <f t="shared" si="92"/>
        <v/>
      </c>
      <c r="AK1312" s="18" t="str">
        <f t="shared" si="93"/>
        <v/>
      </c>
      <c r="AL1312" s="18" t="str">
        <f t="shared" si="94"/>
        <v/>
      </c>
      <c r="AM1312" s="18" t="str">
        <f t="shared" si="95"/>
        <v/>
      </c>
    </row>
    <row r="1313" spans="1:39" x14ac:dyDescent="0.35">
      <c r="A1313" s="56" t="s">
        <v>1381</v>
      </c>
      <c r="B1313" s="31"/>
      <c r="C1313" s="54"/>
      <c r="D1313" s="31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E1313" s="57" t="str">
        <f t="shared" si="87"/>
        <v/>
      </c>
      <c r="AF1313" s="18" t="str">
        <f t="shared" si="88"/>
        <v/>
      </c>
      <c r="AG1313" s="18" t="str">
        <f t="shared" si="89"/>
        <v/>
      </c>
      <c r="AH1313" s="18" t="str">
        <f t="shared" si="90"/>
        <v/>
      </c>
      <c r="AI1313" s="18" t="str">
        <f t="shared" si="91"/>
        <v/>
      </c>
      <c r="AJ1313" s="18" t="str">
        <f t="shared" si="92"/>
        <v/>
      </c>
      <c r="AK1313" s="18" t="str">
        <f t="shared" si="93"/>
        <v/>
      </c>
      <c r="AL1313" s="18" t="str">
        <f t="shared" si="94"/>
        <v/>
      </c>
      <c r="AM1313" s="18" t="str">
        <f t="shared" si="95"/>
        <v/>
      </c>
    </row>
    <row r="1314" spans="1:39" x14ac:dyDescent="0.35">
      <c r="A1314" s="56" t="s">
        <v>1382</v>
      </c>
      <c r="B1314" s="31"/>
      <c r="C1314" s="54"/>
      <c r="D1314" s="31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E1314" s="57" t="str">
        <f t="shared" si="87"/>
        <v/>
      </c>
      <c r="AF1314" s="18" t="str">
        <f t="shared" si="88"/>
        <v/>
      </c>
      <c r="AG1314" s="18" t="str">
        <f t="shared" si="89"/>
        <v/>
      </c>
      <c r="AH1314" s="18" t="str">
        <f t="shared" si="90"/>
        <v/>
      </c>
      <c r="AI1314" s="18" t="str">
        <f t="shared" si="91"/>
        <v/>
      </c>
      <c r="AJ1314" s="18" t="str">
        <f t="shared" si="92"/>
        <v/>
      </c>
      <c r="AK1314" s="18" t="str">
        <f t="shared" si="93"/>
        <v/>
      </c>
      <c r="AL1314" s="18" t="str">
        <f t="shared" si="94"/>
        <v/>
      </c>
      <c r="AM1314" s="18" t="str">
        <f t="shared" si="95"/>
        <v/>
      </c>
    </row>
    <row r="1315" spans="1:39" x14ac:dyDescent="0.35">
      <c r="A1315" s="56" t="s">
        <v>1383</v>
      </c>
      <c r="B1315" s="31"/>
      <c r="C1315" s="54"/>
      <c r="D1315" s="31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E1315" s="57" t="str">
        <f t="shared" si="87"/>
        <v/>
      </c>
      <c r="AF1315" s="18" t="str">
        <f t="shared" si="88"/>
        <v/>
      </c>
      <c r="AG1315" s="18" t="str">
        <f t="shared" si="89"/>
        <v/>
      </c>
      <c r="AH1315" s="18" t="str">
        <f t="shared" si="90"/>
        <v/>
      </c>
      <c r="AI1315" s="18" t="str">
        <f t="shared" si="91"/>
        <v/>
      </c>
      <c r="AJ1315" s="18" t="str">
        <f t="shared" si="92"/>
        <v/>
      </c>
      <c r="AK1315" s="18" t="str">
        <f t="shared" si="93"/>
        <v/>
      </c>
      <c r="AL1315" s="18" t="str">
        <f t="shared" si="94"/>
        <v/>
      </c>
      <c r="AM1315" s="18" t="str">
        <f t="shared" si="95"/>
        <v/>
      </c>
    </row>
    <row r="1316" spans="1:39" x14ac:dyDescent="0.35">
      <c r="A1316" s="56" t="s">
        <v>1384</v>
      </c>
      <c r="B1316" s="31"/>
      <c r="C1316" s="54"/>
      <c r="D1316" s="31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E1316" s="57" t="str">
        <f t="shared" si="87"/>
        <v/>
      </c>
      <c r="AF1316" s="18" t="str">
        <f t="shared" si="88"/>
        <v/>
      </c>
      <c r="AG1316" s="18" t="str">
        <f t="shared" si="89"/>
        <v/>
      </c>
      <c r="AH1316" s="18" t="str">
        <f t="shared" si="90"/>
        <v/>
      </c>
      <c r="AI1316" s="18" t="str">
        <f t="shared" si="91"/>
        <v/>
      </c>
      <c r="AJ1316" s="18" t="str">
        <f t="shared" si="92"/>
        <v/>
      </c>
      <c r="AK1316" s="18" t="str">
        <f t="shared" si="93"/>
        <v/>
      </c>
      <c r="AL1316" s="18" t="str">
        <f t="shared" si="94"/>
        <v/>
      </c>
      <c r="AM1316" s="18" t="str">
        <f t="shared" si="95"/>
        <v/>
      </c>
    </row>
    <row r="1317" spans="1:39" x14ac:dyDescent="0.35">
      <c r="A1317" s="56" t="s">
        <v>1385</v>
      </c>
      <c r="B1317" s="31"/>
      <c r="C1317" s="54"/>
      <c r="D1317" s="31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E1317" s="57" t="str">
        <f t="shared" si="87"/>
        <v/>
      </c>
      <c r="AF1317" s="18" t="str">
        <f t="shared" si="88"/>
        <v/>
      </c>
      <c r="AG1317" s="18" t="str">
        <f t="shared" si="89"/>
        <v/>
      </c>
      <c r="AH1317" s="18" t="str">
        <f t="shared" si="90"/>
        <v/>
      </c>
      <c r="AI1317" s="18" t="str">
        <f t="shared" si="91"/>
        <v/>
      </c>
      <c r="AJ1317" s="18" t="str">
        <f t="shared" si="92"/>
        <v/>
      </c>
      <c r="AK1317" s="18" t="str">
        <f t="shared" si="93"/>
        <v/>
      </c>
      <c r="AL1317" s="18" t="str">
        <f t="shared" si="94"/>
        <v/>
      </c>
      <c r="AM1317" s="18" t="str">
        <f t="shared" si="95"/>
        <v/>
      </c>
    </row>
    <row r="1318" spans="1:39" x14ac:dyDescent="0.35">
      <c r="A1318" s="56" t="s">
        <v>1386</v>
      </c>
      <c r="B1318" s="31"/>
      <c r="C1318" s="54"/>
      <c r="D1318" s="31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E1318" s="57" t="str">
        <f t="shared" si="87"/>
        <v/>
      </c>
      <c r="AF1318" s="18" t="str">
        <f t="shared" si="88"/>
        <v/>
      </c>
      <c r="AG1318" s="18" t="str">
        <f t="shared" si="89"/>
        <v/>
      </c>
      <c r="AH1318" s="18" t="str">
        <f t="shared" si="90"/>
        <v/>
      </c>
      <c r="AI1318" s="18" t="str">
        <f t="shared" si="91"/>
        <v/>
      </c>
      <c r="AJ1318" s="18" t="str">
        <f t="shared" si="92"/>
        <v/>
      </c>
      <c r="AK1318" s="18" t="str">
        <f t="shared" si="93"/>
        <v/>
      </c>
      <c r="AL1318" s="18" t="str">
        <f t="shared" si="94"/>
        <v/>
      </c>
      <c r="AM1318" s="18" t="str">
        <f t="shared" si="95"/>
        <v/>
      </c>
    </row>
    <row r="1319" spans="1:39" x14ac:dyDescent="0.35">
      <c r="A1319" s="56" t="s">
        <v>1387</v>
      </c>
      <c r="B1319" s="31"/>
      <c r="C1319" s="54"/>
      <c r="D1319" s="31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E1319" s="57" t="str">
        <f t="shared" si="87"/>
        <v/>
      </c>
      <c r="AF1319" s="18" t="str">
        <f t="shared" si="88"/>
        <v/>
      </c>
      <c r="AG1319" s="18" t="str">
        <f t="shared" si="89"/>
        <v/>
      </c>
      <c r="AH1319" s="18" t="str">
        <f t="shared" si="90"/>
        <v/>
      </c>
      <c r="AI1319" s="18" t="str">
        <f t="shared" si="91"/>
        <v/>
      </c>
      <c r="AJ1319" s="18" t="str">
        <f t="shared" si="92"/>
        <v/>
      </c>
      <c r="AK1319" s="18" t="str">
        <f t="shared" si="93"/>
        <v/>
      </c>
      <c r="AL1319" s="18" t="str">
        <f t="shared" si="94"/>
        <v/>
      </c>
      <c r="AM1319" s="18" t="str">
        <f t="shared" si="95"/>
        <v/>
      </c>
    </row>
    <row r="1320" spans="1:39" x14ac:dyDescent="0.35">
      <c r="A1320" s="56" t="s">
        <v>1388</v>
      </c>
      <c r="B1320" s="31"/>
      <c r="C1320" s="54"/>
      <c r="D1320" s="31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E1320" s="57" t="str">
        <f t="shared" si="87"/>
        <v/>
      </c>
      <c r="AF1320" s="18" t="str">
        <f t="shared" si="88"/>
        <v/>
      </c>
      <c r="AG1320" s="18" t="str">
        <f t="shared" si="89"/>
        <v/>
      </c>
      <c r="AH1320" s="18" t="str">
        <f t="shared" si="90"/>
        <v/>
      </c>
      <c r="AI1320" s="18" t="str">
        <f t="shared" si="91"/>
        <v/>
      </c>
      <c r="AJ1320" s="18" t="str">
        <f t="shared" si="92"/>
        <v/>
      </c>
      <c r="AK1320" s="18" t="str">
        <f t="shared" si="93"/>
        <v/>
      </c>
      <c r="AL1320" s="18" t="str">
        <f t="shared" si="94"/>
        <v/>
      </c>
      <c r="AM1320" s="18" t="str">
        <f t="shared" si="95"/>
        <v/>
      </c>
    </row>
    <row r="1321" spans="1:39" x14ac:dyDescent="0.35">
      <c r="A1321" s="56" t="s">
        <v>1389</v>
      </c>
      <c r="B1321" s="31"/>
      <c r="C1321" s="54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E1321" s="57" t="str">
        <f t="shared" si="87"/>
        <v/>
      </c>
      <c r="AF1321" s="18" t="str">
        <f t="shared" si="88"/>
        <v/>
      </c>
      <c r="AG1321" s="18" t="str">
        <f t="shared" si="89"/>
        <v/>
      </c>
      <c r="AH1321" s="18" t="str">
        <f t="shared" si="90"/>
        <v/>
      </c>
      <c r="AI1321" s="18" t="str">
        <f t="shared" si="91"/>
        <v/>
      </c>
      <c r="AJ1321" s="18" t="str">
        <f t="shared" si="92"/>
        <v/>
      </c>
      <c r="AK1321" s="18" t="str">
        <f t="shared" si="93"/>
        <v/>
      </c>
      <c r="AL1321" s="18" t="str">
        <f t="shared" si="94"/>
        <v/>
      </c>
      <c r="AM1321" s="18" t="str">
        <f t="shared" si="95"/>
        <v/>
      </c>
    </row>
    <row r="1322" spans="1:39" x14ac:dyDescent="0.35">
      <c r="A1322" s="56" t="s">
        <v>1390</v>
      </c>
      <c r="B1322" s="31"/>
      <c r="C1322" s="54"/>
      <c r="D1322" s="31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E1322" s="57" t="str">
        <f t="shared" si="87"/>
        <v/>
      </c>
      <c r="AF1322" s="18" t="str">
        <f t="shared" si="88"/>
        <v/>
      </c>
      <c r="AG1322" s="18" t="str">
        <f t="shared" si="89"/>
        <v/>
      </c>
      <c r="AH1322" s="18" t="str">
        <f t="shared" si="90"/>
        <v/>
      </c>
      <c r="AI1322" s="18" t="str">
        <f t="shared" si="91"/>
        <v/>
      </c>
      <c r="AJ1322" s="18" t="str">
        <f t="shared" si="92"/>
        <v/>
      </c>
      <c r="AK1322" s="18" t="str">
        <f t="shared" si="93"/>
        <v/>
      </c>
      <c r="AL1322" s="18" t="str">
        <f t="shared" si="94"/>
        <v/>
      </c>
      <c r="AM1322" s="18" t="str">
        <f t="shared" si="95"/>
        <v/>
      </c>
    </row>
    <row r="1323" spans="1:39" x14ac:dyDescent="0.35">
      <c r="A1323" s="56" t="s">
        <v>1391</v>
      </c>
      <c r="B1323" s="31"/>
      <c r="C1323" s="54"/>
      <c r="D1323" s="31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E1323" s="57" t="str">
        <f t="shared" si="87"/>
        <v/>
      </c>
      <c r="AF1323" s="18" t="str">
        <f t="shared" si="88"/>
        <v/>
      </c>
      <c r="AG1323" s="18" t="str">
        <f t="shared" si="89"/>
        <v/>
      </c>
      <c r="AH1323" s="18" t="str">
        <f t="shared" si="90"/>
        <v/>
      </c>
      <c r="AI1323" s="18" t="str">
        <f t="shared" si="91"/>
        <v/>
      </c>
      <c r="AJ1323" s="18" t="str">
        <f t="shared" si="92"/>
        <v/>
      </c>
      <c r="AK1323" s="18" t="str">
        <f t="shared" si="93"/>
        <v/>
      </c>
      <c r="AL1323" s="18" t="str">
        <f t="shared" si="94"/>
        <v/>
      </c>
      <c r="AM1323" s="18" t="str">
        <f t="shared" si="95"/>
        <v/>
      </c>
    </row>
    <row r="1324" spans="1:39" x14ac:dyDescent="0.35">
      <c r="A1324" s="56" t="s">
        <v>1392</v>
      </c>
      <c r="B1324" s="31"/>
      <c r="C1324" s="54"/>
      <c r="D1324" s="31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E1324" s="57" t="str">
        <f t="shared" si="87"/>
        <v/>
      </c>
      <c r="AF1324" s="18" t="str">
        <f t="shared" si="88"/>
        <v/>
      </c>
      <c r="AG1324" s="18" t="str">
        <f t="shared" si="89"/>
        <v/>
      </c>
      <c r="AH1324" s="18" t="str">
        <f t="shared" si="90"/>
        <v/>
      </c>
      <c r="AI1324" s="18" t="str">
        <f t="shared" si="91"/>
        <v/>
      </c>
      <c r="AJ1324" s="18" t="str">
        <f t="shared" si="92"/>
        <v/>
      </c>
      <c r="AK1324" s="18" t="str">
        <f t="shared" si="93"/>
        <v/>
      </c>
      <c r="AL1324" s="18" t="str">
        <f t="shared" si="94"/>
        <v/>
      </c>
      <c r="AM1324" s="18" t="str">
        <f t="shared" si="95"/>
        <v/>
      </c>
    </row>
    <row r="1325" spans="1:39" x14ac:dyDescent="0.35">
      <c r="A1325" s="56" t="s">
        <v>1393</v>
      </c>
      <c r="B1325" s="31"/>
      <c r="C1325" s="54"/>
      <c r="D1325" s="31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E1325" s="57" t="str">
        <f t="shared" si="87"/>
        <v/>
      </c>
      <c r="AF1325" s="18" t="str">
        <f t="shared" si="88"/>
        <v/>
      </c>
      <c r="AG1325" s="18" t="str">
        <f t="shared" si="89"/>
        <v/>
      </c>
      <c r="AH1325" s="18" t="str">
        <f t="shared" si="90"/>
        <v/>
      </c>
      <c r="AI1325" s="18" t="str">
        <f t="shared" si="91"/>
        <v/>
      </c>
      <c r="AJ1325" s="18" t="str">
        <f t="shared" si="92"/>
        <v/>
      </c>
      <c r="AK1325" s="18" t="str">
        <f t="shared" si="93"/>
        <v/>
      </c>
      <c r="AL1325" s="18" t="str">
        <f t="shared" si="94"/>
        <v/>
      </c>
      <c r="AM1325" s="18" t="str">
        <f t="shared" si="95"/>
        <v/>
      </c>
    </row>
    <row r="1326" spans="1:39" x14ac:dyDescent="0.35">
      <c r="A1326" s="56" t="s">
        <v>1394</v>
      </c>
      <c r="B1326" s="31"/>
      <c r="C1326" s="54"/>
      <c r="D1326" s="31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E1326" s="57" t="str">
        <f t="shared" si="87"/>
        <v/>
      </c>
      <c r="AF1326" s="18" t="str">
        <f t="shared" si="88"/>
        <v/>
      </c>
      <c r="AG1326" s="18" t="str">
        <f t="shared" si="89"/>
        <v/>
      </c>
      <c r="AH1326" s="18" t="str">
        <f t="shared" si="90"/>
        <v/>
      </c>
      <c r="AI1326" s="18" t="str">
        <f t="shared" si="91"/>
        <v/>
      </c>
      <c r="AJ1326" s="18" t="str">
        <f t="shared" si="92"/>
        <v/>
      </c>
      <c r="AK1326" s="18" t="str">
        <f t="shared" si="93"/>
        <v/>
      </c>
      <c r="AL1326" s="18" t="str">
        <f t="shared" si="94"/>
        <v/>
      </c>
      <c r="AM1326" s="18" t="str">
        <f t="shared" si="95"/>
        <v/>
      </c>
    </row>
    <row r="1327" spans="1:39" x14ac:dyDescent="0.35">
      <c r="A1327" s="56" t="s">
        <v>1395</v>
      </c>
      <c r="B1327" s="31"/>
      <c r="C1327" s="54"/>
      <c r="D1327" s="31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E1327" s="57" t="str">
        <f t="shared" si="87"/>
        <v/>
      </c>
      <c r="AF1327" s="18" t="str">
        <f t="shared" si="88"/>
        <v/>
      </c>
      <c r="AG1327" s="18" t="str">
        <f t="shared" si="89"/>
        <v/>
      </c>
      <c r="AH1327" s="18" t="str">
        <f t="shared" si="90"/>
        <v/>
      </c>
      <c r="AI1327" s="18" t="str">
        <f t="shared" si="91"/>
        <v/>
      </c>
      <c r="AJ1327" s="18" t="str">
        <f t="shared" si="92"/>
        <v/>
      </c>
      <c r="AK1327" s="18" t="str">
        <f t="shared" si="93"/>
        <v/>
      </c>
      <c r="AL1327" s="18" t="str">
        <f t="shared" si="94"/>
        <v/>
      </c>
      <c r="AM1327" s="18" t="str">
        <f t="shared" si="95"/>
        <v/>
      </c>
    </row>
    <row r="1328" spans="1:39" x14ac:dyDescent="0.35">
      <c r="A1328" s="56" t="s">
        <v>1396</v>
      </c>
      <c r="B1328" s="31"/>
      <c r="C1328" s="54"/>
      <c r="D1328" s="31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E1328" s="57" t="str">
        <f t="shared" si="87"/>
        <v/>
      </c>
      <c r="AF1328" s="18" t="str">
        <f t="shared" si="88"/>
        <v/>
      </c>
      <c r="AG1328" s="18" t="str">
        <f t="shared" si="89"/>
        <v/>
      </c>
      <c r="AH1328" s="18" t="str">
        <f t="shared" si="90"/>
        <v/>
      </c>
      <c r="AI1328" s="18" t="str">
        <f t="shared" si="91"/>
        <v/>
      </c>
      <c r="AJ1328" s="18" t="str">
        <f t="shared" si="92"/>
        <v/>
      </c>
      <c r="AK1328" s="18" t="str">
        <f t="shared" si="93"/>
        <v/>
      </c>
      <c r="AL1328" s="18" t="str">
        <f t="shared" si="94"/>
        <v/>
      </c>
      <c r="AM1328" s="18" t="str">
        <f t="shared" si="95"/>
        <v/>
      </c>
    </row>
    <row r="1329" spans="1:39" x14ac:dyDescent="0.35">
      <c r="A1329" s="56" t="s">
        <v>1397</v>
      </c>
      <c r="B1329" s="31"/>
      <c r="C1329" s="54"/>
      <c r="D1329" s="31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E1329" s="57" t="str">
        <f t="shared" si="87"/>
        <v/>
      </c>
      <c r="AF1329" s="18" t="str">
        <f t="shared" si="88"/>
        <v/>
      </c>
      <c r="AG1329" s="18" t="str">
        <f t="shared" si="89"/>
        <v/>
      </c>
      <c r="AH1329" s="18" t="str">
        <f t="shared" si="90"/>
        <v/>
      </c>
      <c r="AI1329" s="18" t="str">
        <f t="shared" si="91"/>
        <v/>
      </c>
      <c r="AJ1329" s="18" t="str">
        <f t="shared" si="92"/>
        <v/>
      </c>
      <c r="AK1329" s="18" t="str">
        <f t="shared" si="93"/>
        <v/>
      </c>
      <c r="AL1329" s="18" t="str">
        <f t="shared" si="94"/>
        <v/>
      </c>
      <c r="AM1329" s="18" t="str">
        <f t="shared" si="95"/>
        <v/>
      </c>
    </row>
    <row r="1330" spans="1:39" x14ac:dyDescent="0.35">
      <c r="A1330" s="56" t="s">
        <v>1398</v>
      </c>
      <c r="B1330" s="31"/>
      <c r="C1330" s="54"/>
      <c r="D1330" s="31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E1330" s="57" t="str">
        <f t="shared" si="87"/>
        <v/>
      </c>
      <c r="AF1330" s="18" t="str">
        <f t="shared" si="88"/>
        <v/>
      </c>
      <c r="AG1330" s="18" t="str">
        <f t="shared" si="89"/>
        <v/>
      </c>
      <c r="AH1330" s="18" t="str">
        <f t="shared" si="90"/>
        <v/>
      </c>
      <c r="AI1330" s="18" t="str">
        <f t="shared" si="91"/>
        <v/>
      </c>
      <c r="AJ1330" s="18" t="str">
        <f t="shared" si="92"/>
        <v/>
      </c>
      <c r="AK1330" s="18" t="str">
        <f t="shared" si="93"/>
        <v/>
      </c>
      <c r="AL1330" s="18" t="str">
        <f t="shared" si="94"/>
        <v/>
      </c>
      <c r="AM1330" s="18" t="str">
        <f t="shared" si="95"/>
        <v/>
      </c>
    </row>
    <row r="1331" spans="1:39" x14ac:dyDescent="0.35">
      <c r="A1331" s="56" t="s">
        <v>1399</v>
      </c>
      <c r="B1331" s="31"/>
      <c r="C1331" s="54"/>
      <c r="D1331" s="31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E1331" s="57" t="str">
        <f t="shared" si="87"/>
        <v/>
      </c>
      <c r="AF1331" s="18" t="str">
        <f t="shared" si="88"/>
        <v/>
      </c>
      <c r="AG1331" s="18" t="str">
        <f t="shared" si="89"/>
        <v/>
      </c>
      <c r="AH1331" s="18" t="str">
        <f t="shared" si="90"/>
        <v/>
      </c>
      <c r="AI1331" s="18" t="str">
        <f t="shared" si="91"/>
        <v/>
      </c>
      <c r="AJ1331" s="18" t="str">
        <f t="shared" si="92"/>
        <v/>
      </c>
      <c r="AK1331" s="18" t="str">
        <f t="shared" si="93"/>
        <v/>
      </c>
      <c r="AL1331" s="18" t="str">
        <f t="shared" si="94"/>
        <v/>
      </c>
      <c r="AM1331" s="18" t="str">
        <f t="shared" si="95"/>
        <v/>
      </c>
    </row>
    <row r="1332" spans="1:39" x14ac:dyDescent="0.35">
      <c r="A1332" s="56" t="s">
        <v>1400</v>
      </c>
      <c r="B1332" s="31"/>
      <c r="C1332" s="54"/>
      <c r="D1332" s="31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E1332" s="57" t="str">
        <f t="shared" si="87"/>
        <v/>
      </c>
      <c r="AF1332" s="18" t="str">
        <f t="shared" si="88"/>
        <v/>
      </c>
      <c r="AG1332" s="18" t="str">
        <f t="shared" si="89"/>
        <v/>
      </c>
      <c r="AH1332" s="18" t="str">
        <f t="shared" si="90"/>
        <v/>
      </c>
      <c r="AI1332" s="18" t="str">
        <f t="shared" si="91"/>
        <v/>
      </c>
      <c r="AJ1332" s="18" t="str">
        <f t="shared" si="92"/>
        <v/>
      </c>
      <c r="AK1332" s="18" t="str">
        <f t="shared" si="93"/>
        <v/>
      </c>
      <c r="AL1332" s="18" t="str">
        <f t="shared" si="94"/>
        <v/>
      </c>
      <c r="AM1332" s="18" t="str">
        <f t="shared" si="95"/>
        <v/>
      </c>
    </row>
    <row r="1333" spans="1:39" x14ac:dyDescent="0.35">
      <c r="A1333" s="56" t="s">
        <v>1401</v>
      </c>
      <c r="B1333" s="31"/>
      <c r="C1333" s="54"/>
      <c r="D1333" s="31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E1333" s="57" t="str">
        <f t="shared" si="87"/>
        <v/>
      </c>
      <c r="AF1333" s="18" t="str">
        <f t="shared" si="88"/>
        <v/>
      </c>
      <c r="AG1333" s="18" t="str">
        <f t="shared" si="89"/>
        <v/>
      </c>
      <c r="AH1333" s="18" t="str">
        <f t="shared" si="90"/>
        <v/>
      </c>
      <c r="AI1333" s="18" t="str">
        <f t="shared" si="91"/>
        <v/>
      </c>
      <c r="AJ1333" s="18" t="str">
        <f t="shared" si="92"/>
        <v/>
      </c>
      <c r="AK1333" s="18" t="str">
        <f t="shared" si="93"/>
        <v/>
      </c>
      <c r="AL1333" s="18" t="str">
        <f t="shared" si="94"/>
        <v/>
      </c>
      <c r="AM1333" s="18" t="str">
        <f t="shared" si="95"/>
        <v/>
      </c>
    </row>
    <row r="1334" spans="1:39" x14ac:dyDescent="0.35">
      <c r="A1334" s="56" t="s">
        <v>1402</v>
      </c>
      <c r="B1334" s="31"/>
      <c r="C1334" s="54"/>
      <c r="D1334" s="31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E1334" s="57" t="str">
        <f t="shared" si="87"/>
        <v/>
      </c>
      <c r="AF1334" s="18" t="str">
        <f t="shared" si="88"/>
        <v/>
      </c>
      <c r="AG1334" s="18" t="str">
        <f t="shared" si="89"/>
        <v/>
      </c>
      <c r="AH1334" s="18" t="str">
        <f t="shared" si="90"/>
        <v/>
      </c>
      <c r="AI1334" s="18" t="str">
        <f t="shared" si="91"/>
        <v/>
      </c>
      <c r="AJ1334" s="18" t="str">
        <f t="shared" si="92"/>
        <v/>
      </c>
      <c r="AK1334" s="18" t="str">
        <f t="shared" si="93"/>
        <v/>
      </c>
      <c r="AL1334" s="18" t="str">
        <f t="shared" si="94"/>
        <v/>
      </c>
      <c r="AM1334" s="18" t="str">
        <f t="shared" si="95"/>
        <v/>
      </c>
    </row>
    <row r="1335" spans="1:39" x14ac:dyDescent="0.35">
      <c r="A1335" s="56" t="s">
        <v>1403</v>
      </c>
      <c r="B1335" s="31"/>
      <c r="C1335" s="54"/>
      <c r="D1335" s="31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E1335" s="57" t="str">
        <f t="shared" si="87"/>
        <v/>
      </c>
      <c r="AF1335" s="18" t="str">
        <f t="shared" si="88"/>
        <v/>
      </c>
      <c r="AG1335" s="18" t="str">
        <f t="shared" si="89"/>
        <v/>
      </c>
      <c r="AH1335" s="18" t="str">
        <f t="shared" si="90"/>
        <v/>
      </c>
      <c r="AI1335" s="18" t="str">
        <f t="shared" si="91"/>
        <v/>
      </c>
      <c r="AJ1335" s="18" t="str">
        <f t="shared" si="92"/>
        <v/>
      </c>
      <c r="AK1335" s="18" t="str">
        <f t="shared" si="93"/>
        <v/>
      </c>
      <c r="AL1335" s="18" t="str">
        <f t="shared" si="94"/>
        <v/>
      </c>
      <c r="AM1335" s="18" t="str">
        <f t="shared" si="95"/>
        <v/>
      </c>
    </row>
    <row r="1336" spans="1:39" x14ac:dyDescent="0.35">
      <c r="A1336" s="56" t="s">
        <v>1404</v>
      </c>
      <c r="B1336" s="31"/>
      <c r="C1336" s="54"/>
      <c r="D1336" s="31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E1336" s="57" t="str">
        <f t="shared" si="87"/>
        <v/>
      </c>
      <c r="AF1336" s="18" t="str">
        <f t="shared" si="88"/>
        <v/>
      </c>
      <c r="AG1336" s="18" t="str">
        <f t="shared" si="89"/>
        <v/>
      </c>
      <c r="AH1336" s="18" t="str">
        <f t="shared" si="90"/>
        <v/>
      </c>
      <c r="AI1336" s="18" t="str">
        <f t="shared" si="91"/>
        <v/>
      </c>
      <c r="AJ1336" s="18" t="str">
        <f t="shared" si="92"/>
        <v/>
      </c>
      <c r="AK1336" s="18" t="str">
        <f t="shared" si="93"/>
        <v/>
      </c>
      <c r="AL1336" s="18" t="str">
        <f t="shared" si="94"/>
        <v/>
      </c>
      <c r="AM1336" s="18" t="str">
        <f t="shared" si="95"/>
        <v/>
      </c>
    </row>
    <row r="1337" spans="1:39" x14ac:dyDescent="0.35">
      <c r="A1337" s="56" t="s">
        <v>1405</v>
      </c>
      <c r="B1337" s="31"/>
      <c r="C1337" s="54"/>
      <c r="D1337" s="31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E1337" s="57" t="str">
        <f t="shared" si="87"/>
        <v/>
      </c>
      <c r="AF1337" s="18" t="str">
        <f t="shared" si="88"/>
        <v/>
      </c>
      <c r="AG1337" s="18" t="str">
        <f t="shared" si="89"/>
        <v/>
      </c>
      <c r="AH1337" s="18" t="str">
        <f t="shared" si="90"/>
        <v/>
      </c>
      <c r="AI1337" s="18" t="str">
        <f t="shared" si="91"/>
        <v/>
      </c>
      <c r="AJ1337" s="18" t="str">
        <f t="shared" si="92"/>
        <v/>
      </c>
      <c r="AK1337" s="18" t="str">
        <f t="shared" si="93"/>
        <v/>
      </c>
      <c r="AL1337" s="18" t="str">
        <f t="shared" si="94"/>
        <v/>
      </c>
      <c r="AM1337" s="18" t="str">
        <f t="shared" si="95"/>
        <v/>
      </c>
    </row>
    <row r="1338" spans="1:39" x14ac:dyDescent="0.35">
      <c r="A1338" s="56" t="s">
        <v>1406</v>
      </c>
      <c r="B1338" s="31"/>
      <c r="C1338" s="54"/>
      <c r="D1338" s="31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E1338" s="57" t="str">
        <f t="shared" si="87"/>
        <v/>
      </c>
      <c r="AF1338" s="18" t="str">
        <f t="shared" si="88"/>
        <v/>
      </c>
      <c r="AG1338" s="18" t="str">
        <f t="shared" si="89"/>
        <v/>
      </c>
      <c r="AH1338" s="18" t="str">
        <f t="shared" si="90"/>
        <v/>
      </c>
      <c r="AI1338" s="18" t="str">
        <f t="shared" si="91"/>
        <v/>
      </c>
      <c r="AJ1338" s="18" t="str">
        <f t="shared" si="92"/>
        <v/>
      </c>
      <c r="AK1338" s="18" t="str">
        <f t="shared" si="93"/>
        <v/>
      </c>
      <c r="AL1338" s="18" t="str">
        <f t="shared" si="94"/>
        <v/>
      </c>
      <c r="AM1338" s="18" t="str">
        <f t="shared" si="95"/>
        <v/>
      </c>
    </row>
    <row r="1339" spans="1:39" x14ac:dyDescent="0.35">
      <c r="A1339" s="56" t="s">
        <v>1407</v>
      </c>
      <c r="B1339" s="31"/>
      <c r="C1339" s="54"/>
      <c r="D1339" s="31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E1339" s="57" t="str">
        <f t="shared" si="87"/>
        <v/>
      </c>
      <c r="AF1339" s="18" t="str">
        <f t="shared" si="88"/>
        <v/>
      </c>
      <c r="AG1339" s="18" t="str">
        <f t="shared" si="89"/>
        <v/>
      </c>
      <c r="AH1339" s="18" t="str">
        <f t="shared" si="90"/>
        <v/>
      </c>
      <c r="AI1339" s="18" t="str">
        <f t="shared" si="91"/>
        <v/>
      </c>
      <c r="AJ1339" s="18" t="str">
        <f t="shared" si="92"/>
        <v/>
      </c>
      <c r="AK1339" s="18" t="str">
        <f t="shared" si="93"/>
        <v/>
      </c>
      <c r="AL1339" s="18" t="str">
        <f t="shared" si="94"/>
        <v/>
      </c>
      <c r="AM1339" s="18" t="str">
        <f t="shared" si="95"/>
        <v/>
      </c>
    </row>
    <row r="1340" spans="1:39" x14ac:dyDescent="0.35">
      <c r="A1340" s="56" t="s">
        <v>1408</v>
      </c>
      <c r="B1340" s="31"/>
      <c r="C1340" s="54"/>
      <c r="D1340" s="31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E1340" s="57" t="str">
        <f t="shared" si="87"/>
        <v/>
      </c>
      <c r="AF1340" s="18" t="str">
        <f t="shared" si="88"/>
        <v/>
      </c>
      <c r="AG1340" s="18" t="str">
        <f t="shared" si="89"/>
        <v/>
      </c>
      <c r="AH1340" s="18" t="str">
        <f t="shared" si="90"/>
        <v/>
      </c>
      <c r="AI1340" s="18" t="str">
        <f t="shared" si="91"/>
        <v/>
      </c>
      <c r="AJ1340" s="18" t="str">
        <f t="shared" si="92"/>
        <v/>
      </c>
      <c r="AK1340" s="18" t="str">
        <f t="shared" si="93"/>
        <v/>
      </c>
      <c r="AL1340" s="18" t="str">
        <f t="shared" si="94"/>
        <v/>
      </c>
      <c r="AM1340" s="18" t="str">
        <f t="shared" si="95"/>
        <v/>
      </c>
    </row>
    <row r="1341" spans="1:39" x14ac:dyDescent="0.35">
      <c r="A1341" s="56" t="s">
        <v>1409</v>
      </c>
      <c r="B1341" s="31"/>
      <c r="C1341" s="54"/>
      <c r="D1341" s="31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E1341" s="57" t="str">
        <f t="shared" si="87"/>
        <v/>
      </c>
      <c r="AF1341" s="18" t="str">
        <f t="shared" si="88"/>
        <v/>
      </c>
      <c r="AG1341" s="18" t="str">
        <f t="shared" si="89"/>
        <v/>
      </c>
      <c r="AH1341" s="18" t="str">
        <f t="shared" si="90"/>
        <v/>
      </c>
      <c r="AI1341" s="18" t="str">
        <f t="shared" si="91"/>
        <v/>
      </c>
      <c r="AJ1341" s="18" t="str">
        <f t="shared" si="92"/>
        <v/>
      </c>
      <c r="AK1341" s="18" t="str">
        <f t="shared" si="93"/>
        <v/>
      </c>
      <c r="AL1341" s="18" t="str">
        <f t="shared" si="94"/>
        <v/>
      </c>
      <c r="AM1341" s="18" t="str">
        <f t="shared" si="95"/>
        <v/>
      </c>
    </row>
    <row r="1342" spans="1:39" x14ac:dyDescent="0.35">
      <c r="A1342" s="56" t="s">
        <v>1410</v>
      </c>
      <c r="B1342" s="31"/>
      <c r="C1342" s="54"/>
      <c r="D1342" s="31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E1342" s="57" t="str">
        <f t="shared" si="87"/>
        <v/>
      </c>
      <c r="AF1342" s="18" t="str">
        <f t="shared" si="88"/>
        <v/>
      </c>
      <c r="AG1342" s="18" t="str">
        <f t="shared" si="89"/>
        <v/>
      </c>
      <c r="AH1342" s="18" t="str">
        <f t="shared" si="90"/>
        <v/>
      </c>
      <c r="AI1342" s="18" t="str">
        <f t="shared" si="91"/>
        <v/>
      </c>
      <c r="AJ1342" s="18" t="str">
        <f t="shared" si="92"/>
        <v/>
      </c>
      <c r="AK1342" s="18" t="str">
        <f t="shared" si="93"/>
        <v/>
      </c>
      <c r="AL1342" s="18" t="str">
        <f t="shared" si="94"/>
        <v/>
      </c>
      <c r="AM1342" s="18" t="str">
        <f t="shared" si="95"/>
        <v/>
      </c>
    </row>
    <row r="1343" spans="1:39" x14ac:dyDescent="0.35">
      <c r="A1343" s="56" t="s">
        <v>1411</v>
      </c>
      <c r="B1343" s="31"/>
      <c r="C1343" s="54"/>
      <c r="D1343" s="31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E1343" s="57" t="str">
        <f t="shared" si="87"/>
        <v/>
      </c>
      <c r="AF1343" s="18" t="str">
        <f t="shared" si="88"/>
        <v/>
      </c>
      <c r="AG1343" s="18" t="str">
        <f t="shared" si="89"/>
        <v/>
      </c>
      <c r="AH1343" s="18" t="str">
        <f t="shared" si="90"/>
        <v/>
      </c>
      <c r="AI1343" s="18" t="str">
        <f t="shared" si="91"/>
        <v/>
      </c>
      <c r="AJ1343" s="18" t="str">
        <f t="shared" si="92"/>
        <v/>
      </c>
      <c r="AK1343" s="18" t="str">
        <f t="shared" si="93"/>
        <v/>
      </c>
      <c r="AL1343" s="18" t="str">
        <f t="shared" si="94"/>
        <v/>
      </c>
      <c r="AM1343" s="18" t="str">
        <f t="shared" si="95"/>
        <v/>
      </c>
    </row>
    <row r="1344" spans="1:39" x14ac:dyDescent="0.35">
      <c r="A1344" s="56" t="s">
        <v>1412</v>
      </c>
      <c r="B1344" s="31"/>
      <c r="C1344" s="54"/>
      <c r="D1344" s="31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E1344" s="57" t="str">
        <f t="shared" si="87"/>
        <v/>
      </c>
      <c r="AF1344" s="18" t="str">
        <f t="shared" si="88"/>
        <v/>
      </c>
      <c r="AG1344" s="18" t="str">
        <f t="shared" si="89"/>
        <v/>
      </c>
      <c r="AH1344" s="18" t="str">
        <f t="shared" si="90"/>
        <v/>
      </c>
      <c r="AI1344" s="18" t="str">
        <f t="shared" si="91"/>
        <v/>
      </c>
      <c r="AJ1344" s="18" t="str">
        <f t="shared" si="92"/>
        <v/>
      </c>
      <c r="AK1344" s="18" t="str">
        <f t="shared" si="93"/>
        <v/>
      </c>
      <c r="AL1344" s="18" t="str">
        <f t="shared" si="94"/>
        <v/>
      </c>
      <c r="AM1344" s="18" t="str">
        <f t="shared" si="95"/>
        <v/>
      </c>
    </row>
    <row r="1345" spans="1:39" x14ac:dyDescent="0.35">
      <c r="A1345" s="56" t="s">
        <v>1413</v>
      </c>
      <c r="B1345" s="31"/>
      <c r="C1345" s="54"/>
      <c r="D1345" s="31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E1345" s="57" t="str">
        <f t="shared" si="87"/>
        <v/>
      </c>
      <c r="AF1345" s="18" t="str">
        <f t="shared" si="88"/>
        <v/>
      </c>
      <c r="AG1345" s="18" t="str">
        <f t="shared" si="89"/>
        <v/>
      </c>
      <c r="AH1345" s="18" t="str">
        <f t="shared" si="90"/>
        <v/>
      </c>
      <c r="AI1345" s="18" t="str">
        <f t="shared" si="91"/>
        <v/>
      </c>
      <c r="AJ1345" s="18" t="str">
        <f t="shared" si="92"/>
        <v/>
      </c>
      <c r="AK1345" s="18" t="str">
        <f t="shared" si="93"/>
        <v/>
      </c>
      <c r="AL1345" s="18" t="str">
        <f t="shared" si="94"/>
        <v/>
      </c>
      <c r="AM1345" s="18" t="str">
        <f t="shared" si="95"/>
        <v/>
      </c>
    </row>
    <row r="1346" spans="1:39" x14ac:dyDescent="0.35">
      <c r="A1346" s="56" t="s">
        <v>1414</v>
      </c>
      <c r="B1346" s="31"/>
      <c r="C1346" s="54"/>
      <c r="D1346" s="31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E1346" s="57" t="str">
        <f t="shared" si="87"/>
        <v/>
      </c>
      <c r="AF1346" s="18" t="str">
        <f t="shared" si="88"/>
        <v/>
      </c>
      <c r="AG1346" s="18" t="str">
        <f t="shared" si="89"/>
        <v/>
      </c>
      <c r="AH1346" s="18" t="str">
        <f t="shared" si="90"/>
        <v/>
      </c>
      <c r="AI1346" s="18" t="str">
        <f t="shared" si="91"/>
        <v/>
      </c>
      <c r="AJ1346" s="18" t="str">
        <f t="shared" si="92"/>
        <v/>
      </c>
      <c r="AK1346" s="18" t="str">
        <f t="shared" si="93"/>
        <v/>
      </c>
      <c r="AL1346" s="18" t="str">
        <f t="shared" si="94"/>
        <v/>
      </c>
      <c r="AM1346" s="18" t="str">
        <f t="shared" si="95"/>
        <v/>
      </c>
    </row>
    <row r="1347" spans="1:39" x14ac:dyDescent="0.35">
      <c r="A1347" s="56" t="s">
        <v>1415</v>
      </c>
      <c r="B1347" s="31"/>
      <c r="C1347" s="54"/>
      <c r="D1347" s="31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E1347" s="57" t="str">
        <f t="shared" ref="AE1347:AE1410" si="96">IFERROR(VLOOKUP(AD1347,$A$2:$AA$2000,2,0),"")</f>
        <v/>
      </c>
      <c r="AF1347" s="18" t="str">
        <f t="shared" ref="AF1347:AF1410" si="97">IFERROR(VLOOKUP(AD1347,$A$2:$AA$2000,22,0),"")</f>
        <v/>
      </c>
      <c r="AG1347" s="18" t="str">
        <f t="shared" ref="AG1347:AG1410" si="98">IFERROR(VLOOKUP(AD1347,$A$2:$AA$2000,18,0),"")</f>
        <v/>
      </c>
      <c r="AH1347" s="18" t="str">
        <f t="shared" ref="AH1347:AH1410" si="99">IFERROR(VLOOKUP(AD1347,$A$2:$AA$2000,17,0),"")</f>
        <v/>
      </c>
      <c r="AI1347" s="18" t="str">
        <f t="shared" ref="AI1347:AI1410" si="100">IFERROR(VLOOKUP(AD1347,$A$2:$AA$2000,20,0),"")</f>
        <v/>
      </c>
      <c r="AJ1347" s="18" t="str">
        <f t="shared" ref="AJ1347:AJ1410" si="101">IFERROR(VLOOKUP(AD1347,$A$2:$AA$2000,9,0),"")</f>
        <v/>
      </c>
      <c r="AK1347" s="18" t="str">
        <f t="shared" ref="AK1347:AK1410" si="102">IFERROR(VLOOKUP(AD1347,$A$2:$AA$2000,5,0),"")</f>
        <v/>
      </c>
      <c r="AL1347" s="18" t="str">
        <f t="shared" ref="AL1347:AL1410" si="103">IFERROR(VLOOKUP(AD1347,$A$2:$AA$2000,4,0),"")</f>
        <v/>
      </c>
      <c r="AM1347" s="18" t="str">
        <f t="shared" ref="AM1347:AM1410" si="104">IFERROR(VLOOKUP(AD1347,$A$2:$AA$2000,7,0),"")</f>
        <v/>
      </c>
    </row>
    <row r="1348" spans="1:39" x14ac:dyDescent="0.35">
      <c r="A1348" s="56" t="s">
        <v>1416</v>
      </c>
      <c r="B1348" s="31"/>
      <c r="C1348" s="54"/>
      <c r="D1348" s="31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E1348" s="57" t="str">
        <f t="shared" si="96"/>
        <v/>
      </c>
      <c r="AF1348" s="18" t="str">
        <f t="shared" si="97"/>
        <v/>
      </c>
      <c r="AG1348" s="18" t="str">
        <f t="shared" si="98"/>
        <v/>
      </c>
      <c r="AH1348" s="18" t="str">
        <f t="shared" si="99"/>
        <v/>
      </c>
      <c r="AI1348" s="18" t="str">
        <f t="shared" si="100"/>
        <v/>
      </c>
      <c r="AJ1348" s="18" t="str">
        <f t="shared" si="101"/>
        <v/>
      </c>
      <c r="AK1348" s="18" t="str">
        <f t="shared" si="102"/>
        <v/>
      </c>
      <c r="AL1348" s="18" t="str">
        <f t="shared" si="103"/>
        <v/>
      </c>
      <c r="AM1348" s="18" t="str">
        <f t="shared" si="104"/>
        <v/>
      </c>
    </row>
    <row r="1349" spans="1:39" x14ac:dyDescent="0.35">
      <c r="A1349" s="56" t="s">
        <v>1417</v>
      </c>
      <c r="B1349" s="31"/>
      <c r="C1349" s="54"/>
      <c r="D1349" s="31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E1349" s="57" t="str">
        <f t="shared" si="96"/>
        <v/>
      </c>
      <c r="AF1349" s="18" t="str">
        <f t="shared" si="97"/>
        <v/>
      </c>
      <c r="AG1349" s="18" t="str">
        <f t="shared" si="98"/>
        <v/>
      </c>
      <c r="AH1349" s="18" t="str">
        <f t="shared" si="99"/>
        <v/>
      </c>
      <c r="AI1349" s="18" t="str">
        <f t="shared" si="100"/>
        <v/>
      </c>
      <c r="AJ1349" s="18" t="str">
        <f t="shared" si="101"/>
        <v/>
      </c>
      <c r="AK1349" s="18" t="str">
        <f t="shared" si="102"/>
        <v/>
      </c>
      <c r="AL1349" s="18" t="str">
        <f t="shared" si="103"/>
        <v/>
      </c>
      <c r="AM1349" s="18" t="str">
        <f t="shared" si="104"/>
        <v/>
      </c>
    </row>
    <row r="1350" spans="1:39" x14ac:dyDescent="0.35">
      <c r="A1350" s="56" t="s">
        <v>1418</v>
      </c>
      <c r="B1350" s="31"/>
      <c r="C1350" s="54"/>
      <c r="D1350" s="31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E1350" s="57" t="str">
        <f t="shared" si="96"/>
        <v/>
      </c>
      <c r="AF1350" s="18" t="str">
        <f t="shared" si="97"/>
        <v/>
      </c>
      <c r="AG1350" s="18" t="str">
        <f t="shared" si="98"/>
        <v/>
      </c>
      <c r="AH1350" s="18" t="str">
        <f t="shared" si="99"/>
        <v/>
      </c>
      <c r="AI1350" s="18" t="str">
        <f t="shared" si="100"/>
        <v/>
      </c>
      <c r="AJ1350" s="18" t="str">
        <f t="shared" si="101"/>
        <v/>
      </c>
      <c r="AK1350" s="18" t="str">
        <f t="shared" si="102"/>
        <v/>
      </c>
      <c r="AL1350" s="18" t="str">
        <f t="shared" si="103"/>
        <v/>
      </c>
      <c r="AM1350" s="18" t="str">
        <f t="shared" si="104"/>
        <v/>
      </c>
    </row>
    <row r="1351" spans="1:39" x14ac:dyDescent="0.35">
      <c r="A1351" s="56" t="s">
        <v>1419</v>
      </c>
      <c r="B1351" s="31"/>
      <c r="C1351" s="54"/>
      <c r="D1351" s="31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E1351" s="57" t="str">
        <f t="shared" si="96"/>
        <v/>
      </c>
      <c r="AF1351" s="18" t="str">
        <f t="shared" si="97"/>
        <v/>
      </c>
      <c r="AG1351" s="18" t="str">
        <f t="shared" si="98"/>
        <v/>
      </c>
      <c r="AH1351" s="18" t="str">
        <f t="shared" si="99"/>
        <v/>
      </c>
      <c r="AI1351" s="18" t="str">
        <f t="shared" si="100"/>
        <v/>
      </c>
      <c r="AJ1351" s="18" t="str">
        <f t="shared" si="101"/>
        <v/>
      </c>
      <c r="AK1351" s="18" t="str">
        <f t="shared" si="102"/>
        <v/>
      </c>
      <c r="AL1351" s="18" t="str">
        <f t="shared" si="103"/>
        <v/>
      </c>
      <c r="AM1351" s="18" t="str">
        <f t="shared" si="104"/>
        <v/>
      </c>
    </row>
    <row r="1352" spans="1:39" x14ac:dyDescent="0.35">
      <c r="A1352" s="56" t="s">
        <v>1420</v>
      </c>
      <c r="B1352" s="31"/>
      <c r="C1352" s="54"/>
      <c r="D1352" s="31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E1352" s="57" t="str">
        <f t="shared" si="96"/>
        <v/>
      </c>
      <c r="AF1352" s="18" t="str">
        <f t="shared" si="97"/>
        <v/>
      </c>
      <c r="AG1352" s="18" t="str">
        <f t="shared" si="98"/>
        <v/>
      </c>
      <c r="AH1352" s="18" t="str">
        <f t="shared" si="99"/>
        <v/>
      </c>
      <c r="AI1352" s="18" t="str">
        <f t="shared" si="100"/>
        <v/>
      </c>
      <c r="AJ1352" s="18" t="str">
        <f t="shared" si="101"/>
        <v/>
      </c>
      <c r="AK1352" s="18" t="str">
        <f t="shared" si="102"/>
        <v/>
      </c>
      <c r="AL1352" s="18" t="str">
        <f t="shared" si="103"/>
        <v/>
      </c>
      <c r="AM1352" s="18" t="str">
        <f t="shared" si="104"/>
        <v/>
      </c>
    </row>
    <row r="1353" spans="1:39" x14ac:dyDescent="0.35">
      <c r="A1353" s="56" t="s">
        <v>1421</v>
      </c>
      <c r="B1353" s="31"/>
      <c r="C1353" s="54"/>
      <c r="D1353" s="31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E1353" s="57" t="str">
        <f t="shared" si="96"/>
        <v/>
      </c>
      <c r="AF1353" s="18" t="str">
        <f t="shared" si="97"/>
        <v/>
      </c>
      <c r="AG1353" s="18" t="str">
        <f t="shared" si="98"/>
        <v/>
      </c>
      <c r="AH1353" s="18" t="str">
        <f t="shared" si="99"/>
        <v/>
      </c>
      <c r="AI1353" s="18" t="str">
        <f t="shared" si="100"/>
        <v/>
      </c>
      <c r="AJ1353" s="18" t="str">
        <f t="shared" si="101"/>
        <v/>
      </c>
      <c r="AK1353" s="18" t="str">
        <f t="shared" si="102"/>
        <v/>
      </c>
      <c r="AL1353" s="18" t="str">
        <f t="shared" si="103"/>
        <v/>
      </c>
      <c r="AM1353" s="18" t="str">
        <f t="shared" si="104"/>
        <v/>
      </c>
    </row>
    <row r="1354" spans="1:39" x14ac:dyDescent="0.35">
      <c r="A1354" s="56" t="s">
        <v>1422</v>
      </c>
      <c r="B1354" s="31"/>
      <c r="C1354" s="54"/>
      <c r="D1354" s="31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E1354" s="57" t="str">
        <f t="shared" si="96"/>
        <v/>
      </c>
      <c r="AF1354" s="18" t="str">
        <f t="shared" si="97"/>
        <v/>
      </c>
      <c r="AG1354" s="18" t="str">
        <f t="shared" si="98"/>
        <v/>
      </c>
      <c r="AH1354" s="18" t="str">
        <f t="shared" si="99"/>
        <v/>
      </c>
      <c r="AI1354" s="18" t="str">
        <f t="shared" si="100"/>
        <v/>
      </c>
      <c r="AJ1354" s="18" t="str">
        <f t="shared" si="101"/>
        <v/>
      </c>
      <c r="AK1354" s="18" t="str">
        <f t="shared" si="102"/>
        <v/>
      </c>
      <c r="AL1354" s="18" t="str">
        <f t="shared" si="103"/>
        <v/>
      </c>
      <c r="AM1354" s="18" t="str">
        <f t="shared" si="104"/>
        <v/>
      </c>
    </row>
    <row r="1355" spans="1:39" x14ac:dyDescent="0.35">
      <c r="A1355" s="56" t="s">
        <v>1423</v>
      </c>
      <c r="B1355" s="31"/>
      <c r="C1355" s="54"/>
      <c r="D1355" s="31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E1355" s="57" t="str">
        <f t="shared" si="96"/>
        <v/>
      </c>
      <c r="AF1355" s="18" t="str">
        <f t="shared" si="97"/>
        <v/>
      </c>
      <c r="AG1355" s="18" t="str">
        <f t="shared" si="98"/>
        <v/>
      </c>
      <c r="AH1355" s="18" t="str">
        <f t="shared" si="99"/>
        <v/>
      </c>
      <c r="AI1355" s="18" t="str">
        <f t="shared" si="100"/>
        <v/>
      </c>
      <c r="AJ1355" s="18" t="str">
        <f t="shared" si="101"/>
        <v/>
      </c>
      <c r="AK1355" s="18" t="str">
        <f t="shared" si="102"/>
        <v/>
      </c>
      <c r="AL1355" s="18" t="str">
        <f t="shared" si="103"/>
        <v/>
      </c>
      <c r="AM1355" s="18" t="str">
        <f t="shared" si="104"/>
        <v/>
      </c>
    </row>
    <row r="1356" spans="1:39" x14ac:dyDescent="0.35">
      <c r="A1356" s="56" t="s">
        <v>1424</v>
      </c>
      <c r="B1356" s="31"/>
      <c r="C1356" s="54"/>
      <c r="D1356" s="31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E1356" s="57" t="str">
        <f t="shared" si="96"/>
        <v/>
      </c>
      <c r="AF1356" s="18" t="str">
        <f t="shared" si="97"/>
        <v/>
      </c>
      <c r="AG1356" s="18" t="str">
        <f t="shared" si="98"/>
        <v/>
      </c>
      <c r="AH1356" s="18" t="str">
        <f t="shared" si="99"/>
        <v/>
      </c>
      <c r="AI1356" s="18" t="str">
        <f t="shared" si="100"/>
        <v/>
      </c>
      <c r="AJ1356" s="18" t="str">
        <f t="shared" si="101"/>
        <v/>
      </c>
      <c r="AK1356" s="18" t="str">
        <f t="shared" si="102"/>
        <v/>
      </c>
      <c r="AL1356" s="18" t="str">
        <f t="shared" si="103"/>
        <v/>
      </c>
      <c r="AM1356" s="18" t="str">
        <f t="shared" si="104"/>
        <v/>
      </c>
    </row>
    <row r="1357" spans="1:39" x14ac:dyDescent="0.35">
      <c r="A1357" s="56" t="s">
        <v>1425</v>
      </c>
      <c r="B1357" s="31"/>
      <c r="C1357" s="54"/>
      <c r="D1357" s="31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E1357" s="57" t="str">
        <f t="shared" si="96"/>
        <v/>
      </c>
      <c r="AF1357" s="18" t="str">
        <f t="shared" si="97"/>
        <v/>
      </c>
      <c r="AG1357" s="18" t="str">
        <f t="shared" si="98"/>
        <v/>
      </c>
      <c r="AH1357" s="18" t="str">
        <f t="shared" si="99"/>
        <v/>
      </c>
      <c r="AI1357" s="18" t="str">
        <f t="shared" si="100"/>
        <v/>
      </c>
      <c r="AJ1357" s="18" t="str">
        <f t="shared" si="101"/>
        <v/>
      </c>
      <c r="AK1357" s="18" t="str">
        <f t="shared" si="102"/>
        <v/>
      </c>
      <c r="AL1357" s="18" t="str">
        <f t="shared" si="103"/>
        <v/>
      </c>
      <c r="AM1357" s="18" t="str">
        <f t="shared" si="104"/>
        <v/>
      </c>
    </row>
    <row r="1358" spans="1:39" x14ac:dyDescent="0.35">
      <c r="A1358" s="56" t="s">
        <v>1426</v>
      </c>
      <c r="B1358" s="31"/>
      <c r="C1358" s="54"/>
      <c r="D1358" s="31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E1358" s="57" t="str">
        <f t="shared" si="96"/>
        <v/>
      </c>
      <c r="AF1358" s="18" t="str">
        <f t="shared" si="97"/>
        <v/>
      </c>
      <c r="AG1358" s="18" t="str">
        <f t="shared" si="98"/>
        <v/>
      </c>
      <c r="AH1358" s="18" t="str">
        <f t="shared" si="99"/>
        <v/>
      </c>
      <c r="AI1358" s="18" t="str">
        <f t="shared" si="100"/>
        <v/>
      </c>
      <c r="AJ1358" s="18" t="str">
        <f t="shared" si="101"/>
        <v/>
      </c>
      <c r="AK1358" s="18" t="str">
        <f t="shared" si="102"/>
        <v/>
      </c>
      <c r="AL1358" s="18" t="str">
        <f t="shared" si="103"/>
        <v/>
      </c>
      <c r="AM1358" s="18" t="str">
        <f t="shared" si="104"/>
        <v/>
      </c>
    </row>
    <row r="1359" spans="1:39" x14ac:dyDescent="0.35">
      <c r="A1359" s="56" t="s">
        <v>1427</v>
      </c>
      <c r="B1359" s="31"/>
      <c r="C1359" s="54"/>
      <c r="D1359" s="31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E1359" s="57" t="str">
        <f t="shared" si="96"/>
        <v/>
      </c>
      <c r="AF1359" s="18" t="str">
        <f t="shared" si="97"/>
        <v/>
      </c>
      <c r="AG1359" s="18" t="str">
        <f t="shared" si="98"/>
        <v/>
      </c>
      <c r="AH1359" s="18" t="str">
        <f t="shared" si="99"/>
        <v/>
      </c>
      <c r="AI1359" s="18" t="str">
        <f t="shared" si="100"/>
        <v/>
      </c>
      <c r="AJ1359" s="18" t="str">
        <f t="shared" si="101"/>
        <v/>
      </c>
      <c r="AK1359" s="18" t="str">
        <f t="shared" si="102"/>
        <v/>
      </c>
      <c r="AL1359" s="18" t="str">
        <f t="shared" si="103"/>
        <v/>
      </c>
      <c r="AM1359" s="18" t="str">
        <f t="shared" si="104"/>
        <v/>
      </c>
    </row>
    <row r="1360" spans="1:39" x14ac:dyDescent="0.35">
      <c r="A1360" s="56" t="s">
        <v>1428</v>
      </c>
      <c r="B1360" s="31"/>
      <c r="C1360" s="54"/>
      <c r="D1360" s="31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E1360" s="57" t="str">
        <f t="shared" si="96"/>
        <v/>
      </c>
      <c r="AF1360" s="18" t="str">
        <f t="shared" si="97"/>
        <v/>
      </c>
      <c r="AG1360" s="18" t="str">
        <f t="shared" si="98"/>
        <v/>
      </c>
      <c r="AH1360" s="18" t="str">
        <f t="shared" si="99"/>
        <v/>
      </c>
      <c r="AI1360" s="18" t="str">
        <f t="shared" si="100"/>
        <v/>
      </c>
      <c r="AJ1360" s="18" t="str">
        <f t="shared" si="101"/>
        <v/>
      </c>
      <c r="AK1360" s="18" t="str">
        <f t="shared" si="102"/>
        <v/>
      </c>
      <c r="AL1360" s="18" t="str">
        <f t="shared" si="103"/>
        <v/>
      </c>
      <c r="AM1360" s="18" t="str">
        <f t="shared" si="104"/>
        <v/>
      </c>
    </row>
    <row r="1361" spans="1:39" x14ac:dyDescent="0.35">
      <c r="A1361" s="56" t="s">
        <v>1429</v>
      </c>
      <c r="B1361" s="31"/>
      <c r="C1361" s="54"/>
      <c r="D1361" s="31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E1361" s="57" t="str">
        <f t="shared" si="96"/>
        <v/>
      </c>
      <c r="AF1361" s="18" t="str">
        <f t="shared" si="97"/>
        <v/>
      </c>
      <c r="AG1361" s="18" t="str">
        <f t="shared" si="98"/>
        <v/>
      </c>
      <c r="AH1361" s="18" t="str">
        <f t="shared" si="99"/>
        <v/>
      </c>
      <c r="AI1361" s="18" t="str">
        <f t="shared" si="100"/>
        <v/>
      </c>
      <c r="AJ1361" s="18" t="str">
        <f t="shared" si="101"/>
        <v/>
      </c>
      <c r="AK1361" s="18" t="str">
        <f t="shared" si="102"/>
        <v/>
      </c>
      <c r="AL1361" s="18" t="str">
        <f t="shared" si="103"/>
        <v/>
      </c>
      <c r="AM1361" s="18" t="str">
        <f t="shared" si="104"/>
        <v/>
      </c>
    </row>
    <row r="1362" spans="1:39" x14ac:dyDescent="0.35">
      <c r="A1362" s="56" t="s">
        <v>1430</v>
      </c>
      <c r="B1362" s="31"/>
      <c r="C1362" s="54"/>
      <c r="D1362" s="31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E1362" s="57" t="str">
        <f t="shared" si="96"/>
        <v/>
      </c>
      <c r="AF1362" s="18" t="str">
        <f t="shared" si="97"/>
        <v/>
      </c>
      <c r="AG1362" s="18" t="str">
        <f t="shared" si="98"/>
        <v/>
      </c>
      <c r="AH1362" s="18" t="str">
        <f t="shared" si="99"/>
        <v/>
      </c>
      <c r="AI1362" s="18" t="str">
        <f t="shared" si="100"/>
        <v/>
      </c>
      <c r="AJ1362" s="18" t="str">
        <f t="shared" si="101"/>
        <v/>
      </c>
      <c r="AK1362" s="18" t="str">
        <f t="shared" si="102"/>
        <v/>
      </c>
      <c r="AL1362" s="18" t="str">
        <f t="shared" si="103"/>
        <v/>
      </c>
      <c r="AM1362" s="18" t="str">
        <f t="shared" si="104"/>
        <v/>
      </c>
    </row>
    <row r="1363" spans="1:39" x14ac:dyDescent="0.35">
      <c r="A1363" s="56" t="s">
        <v>1431</v>
      </c>
      <c r="B1363" s="31"/>
      <c r="C1363" s="54"/>
      <c r="D1363" s="31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E1363" s="57" t="str">
        <f t="shared" si="96"/>
        <v/>
      </c>
      <c r="AF1363" s="18" t="str">
        <f t="shared" si="97"/>
        <v/>
      </c>
      <c r="AG1363" s="18" t="str">
        <f t="shared" si="98"/>
        <v/>
      </c>
      <c r="AH1363" s="18" t="str">
        <f t="shared" si="99"/>
        <v/>
      </c>
      <c r="AI1363" s="18" t="str">
        <f t="shared" si="100"/>
        <v/>
      </c>
      <c r="AJ1363" s="18" t="str">
        <f t="shared" si="101"/>
        <v/>
      </c>
      <c r="AK1363" s="18" t="str">
        <f t="shared" si="102"/>
        <v/>
      </c>
      <c r="AL1363" s="18" t="str">
        <f t="shared" si="103"/>
        <v/>
      </c>
      <c r="AM1363" s="18" t="str">
        <f t="shared" si="104"/>
        <v/>
      </c>
    </row>
    <row r="1364" spans="1:39" x14ac:dyDescent="0.35">
      <c r="A1364" s="56" t="s">
        <v>1432</v>
      </c>
      <c r="B1364" s="31"/>
      <c r="C1364" s="54"/>
      <c r="D1364" s="31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E1364" s="57" t="str">
        <f t="shared" si="96"/>
        <v/>
      </c>
      <c r="AF1364" s="18" t="str">
        <f t="shared" si="97"/>
        <v/>
      </c>
      <c r="AG1364" s="18" t="str">
        <f t="shared" si="98"/>
        <v/>
      </c>
      <c r="AH1364" s="18" t="str">
        <f t="shared" si="99"/>
        <v/>
      </c>
      <c r="AI1364" s="18" t="str">
        <f t="shared" si="100"/>
        <v/>
      </c>
      <c r="AJ1364" s="18" t="str">
        <f t="shared" si="101"/>
        <v/>
      </c>
      <c r="AK1364" s="18" t="str">
        <f t="shared" si="102"/>
        <v/>
      </c>
      <c r="AL1364" s="18" t="str">
        <f t="shared" si="103"/>
        <v/>
      </c>
      <c r="AM1364" s="18" t="str">
        <f t="shared" si="104"/>
        <v/>
      </c>
    </row>
    <row r="1365" spans="1:39" x14ac:dyDescent="0.35">
      <c r="A1365" s="56" t="s">
        <v>1433</v>
      </c>
      <c r="B1365" s="31"/>
      <c r="C1365" s="54"/>
      <c r="D1365" s="31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E1365" s="57" t="str">
        <f t="shared" si="96"/>
        <v/>
      </c>
      <c r="AF1365" s="18" t="str">
        <f t="shared" si="97"/>
        <v/>
      </c>
      <c r="AG1365" s="18" t="str">
        <f t="shared" si="98"/>
        <v/>
      </c>
      <c r="AH1365" s="18" t="str">
        <f t="shared" si="99"/>
        <v/>
      </c>
      <c r="AI1365" s="18" t="str">
        <f t="shared" si="100"/>
        <v/>
      </c>
      <c r="AJ1365" s="18" t="str">
        <f t="shared" si="101"/>
        <v/>
      </c>
      <c r="AK1365" s="18" t="str">
        <f t="shared" si="102"/>
        <v/>
      </c>
      <c r="AL1365" s="18" t="str">
        <f t="shared" si="103"/>
        <v/>
      </c>
      <c r="AM1365" s="18" t="str">
        <f t="shared" si="104"/>
        <v/>
      </c>
    </row>
    <row r="1366" spans="1:39" x14ac:dyDescent="0.35">
      <c r="A1366" s="56" t="s">
        <v>1434</v>
      </c>
      <c r="B1366" s="31"/>
      <c r="C1366" s="54"/>
      <c r="D1366" s="31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E1366" s="57" t="str">
        <f t="shared" si="96"/>
        <v/>
      </c>
      <c r="AF1366" s="18" t="str">
        <f t="shared" si="97"/>
        <v/>
      </c>
      <c r="AG1366" s="18" t="str">
        <f t="shared" si="98"/>
        <v/>
      </c>
      <c r="AH1366" s="18" t="str">
        <f t="shared" si="99"/>
        <v/>
      </c>
      <c r="AI1366" s="18" t="str">
        <f t="shared" si="100"/>
        <v/>
      </c>
      <c r="AJ1366" s="18" t="str">
        <f t="shared" si="101"/>
        <v/>
      </c>
      <c r="AK1366" s="18" t="str">
        <f t="shared" si="102"/>
        <v/>
      </c>
      <c r="AL1366" s="18" t="str">
        <f t="shared" si="103"/>
        <v/>
      </c>
      <c r="AM1366" s="18" t="str">
        <f t="shared" si="104"/>
        <v/>
      </c>
    </row>
    <row r="1367" spans="1:39" x14ac:dyDescent="0.35">
      <c r="A1367" s="56" t="s">
        <v>1435</v>
      </c>
      <c r="B1367" s="31"/>
      <c r="C1367" s="54"/>
      <c r="D1367" s="31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E1367" s="57" t="str">
        <f t="shared" si="96"/>
        <v/>
      </c>
      <c r="AF1367" s="18" t="str">
        <f t="shared" si="97"/>
        <v/>
      </c>
      <c r="AG1367" s="18" t="str">
        <f t="shared" si="98"/>
        <v/>
      </c>
      <c r="AH1367" s="18" t="str">
        <f t="shared" si="99"/>
        <v/>
      </c>
      <c r="AI1367" s="18" t="str">
        <f t="shared" si="100"/>
        <v/>
      </c>
      <c r="AJ1367" s="18" t="str">
        <f t="shared" si="101"/>
        <v/>
      </c>
      <c r="AK1367" s="18" t="str">
        <f t="shared" si="102"/>
        <v/>
      </c>
      <c r="AL1367" s="18" t="str">
        <f t="shared" si="103"/>
        <v/>
      </c>
      <c r="AM1367" s="18" t="str">
        <f t="shared" si="104"/>
        <v/>
      </c>
    </row>
    <row r="1368" spans="1:39" x14ac:dyDescent="0.35">
      <c r="A1368" s="56" t="s">
        <v>1436</v>
      </c>
      <c r="B1368" s="31"/>
      <c r="C1368" s="54"/>
      <c r="D1368" s="31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E1368" s="57" t="str">
        <f t="shared" si="96"/>
        <v/>
      </c>
      <c r="AF1368" s="18" t="str">
        <f t="shared" si="97"/>
        <v/>
      </c>
      <c r="AG1368" s="18" t="str">
        <f t="shared" si="98"/>
        <v/>
      </c>
      <c r="AH1368" s="18" t="str">
        <f t="shared" si="99"/>
        <v/>
      </c>
      <c r="AI1368" s="18" t="str">
        <f t="shared" si="100"/>
        <v/>
      </c>
      <c r="AJ1368" s="18" t="str">
        <f t="shared" si="101"/>
        <v/>
      </c>
      <c r="AK1368" s="18" t="str">
        <f t="shared" si="102"/>
        <v/>
      </c>
      <c r="AL1368" s="18" t="str">
        <f t="shared" si="103"/>
        <v/>
      </c>
      <c r="AM1368" s="18" t="str">
        <f t="shared" si="104"/>
        <v/>
      </c>
    </row>
    <row r="1369" spans="1:39" x14ac:dyDescent="0.35">
      <c r="A1369" s="56" t="s">
        <v>1437</v>
      </c>
      <c r="B1369" s="31"/>
      <c r="C1369" s="54"/>
      <c r="D1369" s="31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E1369" s="57" t="str">
        <f t="shared" si="96"/>
        <v/>
      </c>
      <c r="AF1369" s="18" t="str">
        <f t="shared" si="97"/>
        <v/>
      </c>
      <c r="AG1369" s="18" t="str">
        <f t="shared" si="98"/>
        <v/>
      </c>
      <c r="AH1369" s="18" t="str">
        <f t="shared" si="99"/>
        <v/>
      </c>
      <c r="AI1369" s="18" t="str">
        <f t="shared" si="100"/>
        <v/>
      </c>
      <c r="AJ1369" s="18" t="str">
        <f t="shared" si="101"/>
        <v/>
      </c>
      <c r="AK1369" s="18" t="str">
        <f t="shared" si="102"/>
        <v/>
      </c>
      <c r="AL1369" s="18" t="str">
        <f t="shared" si="103"/>
        <v/>
      </c>
      <c r="AM1369" s="18" t="str">
        <f t="shared" si="104"/>
        <v/>
      </c>
    </row>
    <row r="1370" spans="1:39" x14ac:dyDescent="0.35">
      <c r="A1370" s="56" t="s">
        <v>1438</v>
      </c>
      <c r="B1370" s="31"/>
      <c r="C1370" s="54"/>
      <c r="D1370" s="31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E1370" s="57" t="str">
        <f t="shared" si="96"/>
        <v/>
      </c>
      <c r="AF1370" s="18" t="str">
        <f t="shared" si="97"/>
        <v/>
      </c>
      <c r="AG1370" s="18" t="str">
        <f t="shared" si="98"/>
        <v/>
      </c>
      <c r="AH1370" s="18" t="str">
        <f t="shared" si="99"/>
        <v/>
      </c>
      <c r="AI1370" s="18" t="str">
        <f t="shared" si="100"/>
        <v/>
      </c>
      <c r="AJ1370" s="18" t="str">
        <f t="shared" si="101"/>
        <v/>
      </c>
      <c r="AK1370" s="18" t="str">
        <f t="shared" si="102"/>
        <v/>
      </c>
      <c r="AL1370" s="18" t="str">
        <f t="shared" si="103"/>
        <v/>
      </c>
      <c r="AM1370" s="18" t="str">
        <f t="shared" si="104"/>
        <v/>
      </c>
    </row>
    <row r="1371" spans="1:39" x14ac:dyDescent="0.35">
      <c r="A1371" s="56" t="s">
        <v>1439</v>
      </c>
      <c r="B1371" s="31"/>
      <c r="C1371" s="54"/>
      <c r="D1371" s="31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E1371" s="57" t="str">
        <f t="shared" si="96"/>
        <v/>
      </c>
      <c r="AF1371" s="18" t="str">
        <f t="shared" si="97"/>
        <v/>
      </c>
      <c r="AG1371" s="18" t="str">
        <f t="shared" si="98"/>
        <v/>
      </c>
      <c r="AH1371" s="18" t="str">
        <f t="shared" si="99"/>
        <v/>
      </c>
      <c r="AI1371" s="18" t="str">
        <f t="shared" si="100"/>
        <v/>
      </c>
      <c r="AJ1371" s="18" t="str">
        <f t="shared" si="101"/>
        <v/>
      </c>
      <c r="AK1371" s="18" t="str">
        <f t="shared" si="102"/>
        <v/>
      </c>
      <c r="AL1371" s="18" t="str">
        <f t="shared" si="103"/>
        <v/>
      </c>
      <c r="AM1371" s="18" t="str">
        <f t="shared" si="104"/>
        <v/>
      </c>
    </row>
    <row r="1372" spans="1:39" x14ac:dyDescent="0.35">
      <c r="A1372" s="56" t="s">
        <v>1440</v>
      </c>
      <c r="B1372" s="31"/>
      <c r="C1372" s="54"/>
      <c r="D1372" s="31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E1372" s="57" t="str">
        <f t="shared" si="96"/>
        <v/>
      </c>
      <c r="AF1372" s="18" t="str">
        <f t="shared" si="97"/>
        <v/>
      </c>
      <c r="AG1372" s="18" t="str">
        <f t="shared" si="98"/>
        <v/>
      </c>
      <c r="AH1372" s="18" t="str">
        <f t="shared" si="99"/>
        <v/>
      </c>
      <c r="AI1372" s="18" t="str">
        <f t="shared" si="100"/>
        <v/>
      </c>
      <c r="AJ1372" s="18" t="str">
        <f t="shared" si="101"/>
        <v/>
      </c>
      <c r="AK1372" s="18" t="str">
        <f t="shared" si="102"/>
        <v/>
      </c>
      <c r="AL1372" s="18" t="str">
        <f t="shared" si="103"/>
        <v/>
      </c>
      <c r="AM1372" s="18" t="str">
        <f t="shared" si="104"/>
        <v/>
      </c>
    </row>
    <row r="1373" spans="1:39" x14ac:dyDescent="0.35">
      <c r="A1373" s="56" t="s">
        <v>1441</v>
      </c>
      <c r="B1373" s="31"/>
      <c r="C1373" s="54"/>
      <c r="D1373" s="31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E1373" s="57" t="str">
        <f t="shared" si="96"/>
        <v/>
      </c>
      <c r="AF1373" s="18" t="str">
        <f t="shared" si="97"/>
        <v/>
      </c>
      <c r="AG1373" s="18" t="str">
        <f t="shared" si="98"/>
        <v/>
      </c>
      <c r="AH1373" s="18" t="str">
        <f t="shared" si="99"/>
        <v/>
      </c>
      <c r="AI1373" s="18" t="str">
        <f t="shared" si="100"/>
        <v/>
      </c>
      <c r="AJ1373" s="18" t="str">
        <f t="shared" si="101"/>
        <v/>
      </c>
      <c r="AK1373" s="18" t="str">
        <f t="shared" si="102"/>
        <v/>
      </c>
      <c r="AL1373" s="18" t="str">
        <f t="shared" si="103"/>
        <v/>
      </c>
      <c r="AM1373" s="18" t="str">
        <f t="shared" si="104"/>
        <v/>
      </c>
    </row>
    <row r="1374" spans="1:39" x14ac:dyDescent="0.35">
      <c r="A1374" s="56" t="s">
        <v>1442</v>
      </c>
      <c r="B1374" s="31"/>
      <c r="C1374" s="54"/>
      <c r="D1374" s="31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E1374" s="57" t="str">
        <f t="shared" si="96"/>
        <v/>
      </c>
      <c r="AF1374" s="18" t="str">
        <f t="shared" si="97"/>
        <v/>
      </c>
      <c r="AG1374" s="18" t="str">
        <f t="shared" si="98"/>
        <v/>
      </c>
      <c r="AH1374" s="18" t="str">
        <f t="shared" si="99"/>
        <v/>
      </c>
      <c r="AI1374" s="18" t="str">
        <f t="shared" si="100"/>
        <v/>
      </c>
      <c r="AJ1374" s="18" t="str">
        <f t="shared" si="101"/>
        <v/>
      </c>
      <c r="AK1374" s="18" t="str">
        <f t="shared" si="102"/>
        <v/>
      </c>
      <c r="AL1374" s="18" t="str">
        <f t="shared" si="103"/>
        <v/>
      </c>
      <c r="AM1374" s="18" t="str">
        <f t="shared" si="104"/>
        <v/>
      </c>
    </row>
    <row r="1375" spans="1:39" x14ac:dyDescent="0.35">
      <c r="A1375" s="56" t="s">
        <v>1443</v>
      </c>
      <c r="B1375" s="31"/>
      <c r="C1375" s="54"/>
      <c r="D1375" s="31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E1375" s="57" t="str">
        <f t="shared" si="96"/>
        <v/>
      </c>
      <c r="AF1375" s="18" t="str">
        <f t="shared" si="97"/>
        <v/>
      </c>
      <c r="AG1375" s="18" t="str">
        <f t="shared" si="98"/>
        <v/>
      </c>
      <c r="AH1375" s="18" t="str">
        <f t="shared" si="99"/>
        <v/>
      </c>
      <c r="AI1375" s="18" t="str">
        <f t="shared" si="100"/>
        <v/>
      </c>
      <c r="AJ1375" s="18" t="str">
        <f t="shared" si="101"/>
        <v/>
      </c>
      <c r="AK1375" s="18" t="str">
        <f t="shared" si="102"/>
        <v/>
      </c>
      <c r="AL1375" s="18" t="str">
        <f t="shared" si="103"/>
        <v/>
      </c>
      <c r="AM1375" s="18" t="str">
        <f t="shared" si="104"/>
        <v/>
      </c>
    </row>
    <row r="1376" spans="1:39" x14ac:dyDescent="0.35">
      <c r="A1376" s="56" t="s">
        <v>1444</v>
      </c>
      <c r="B1376" s="31"/>
      <c r="C1376" s="54"/>
      <c r="D1376" s="31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E1376" s="57" t="str">
        <f t="shared" si="96"/>
        <v/>
      </c>
      <c r="AF1376" s="18" t="str">
        <f t="shared" si="97"/>
        <v/>
      </c>
      <c r="AG1376" s="18" t="str">
        <f t="shared" si="98"/>
        <v/>
      </c>
      <c r="AH1376" s="18" t="str">
        <f t="shared" si="99"/>
        <v/>
      </c>
      <c r="AI1376" s="18" t="str">
        <f t="shared" si="100"/>
        <v/>
      </c>
      <c r="AJ1376" s="18" t="str">
        <f t="shared" si="101"/>
        <v/>
      </c>
      <c r="AK1376" s="18" t="str">
        <f t="shared" si="102"/>
        <v/>
      </c>
      <c r="AL1376" s="18" t="str">
        <f t="shared" si="103"/>
        <v/>
      </c>
      <c r="AM1376" s="18" t="str">
        <f t="shared" si="104"/>
        <v/>
      </c>
    </row>
    <row r="1377" spans="1:39" x14ac:dyDescent="0.35">
      <c r="A1377" s="56" t="s">
        <v>1445</v>
      </c>
      <c r="B1377" s="31"/>
      <c r="C1377" s="54"/>
      <c r="D1377" s="31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E1377" s="57" t="str">
        <f t="shared" si="96"/>
        <v/>
      </c>
      <c r="AF1377" s="18" t="str">
        <f t="shared" si="97"/>
        <v/>
      </c>
      <c r="AG1377" s="18" t="str">
        <f t="shared" si="98"/>
        <v/>
      </c>
      <c r="AH1377" s="18" t="str">
        <f t="shared" si="99"/>
        <v/>
      </c>
      <c r="AI1377" s="18" t="str">
        <f t="shared" si="100"/>
        <v/>
      </c>
      <c r="AJ1377" s="18" t="str">
        <f t="shared" si="101"/>
        <v/>
      </c>
      <c r="AK1377" s="18" t="str">
        <f t="shared" si="102"/>
        <v/>
      </c>
      <c r="AL1377" s="18" t="str">
        <f t="shared" si="103"/>
        <v/>
      </c>
      <c r="AM1377" s="18" t="str">
        <f t="shared" si="104"/>
        <v/>
      </c>
    </row>
    <row r="1378" spans="1:39" x14ac:dyDescent="0.35">
      <c r="A1378" s="56" t="s">
        <v>1446</v>
      </c>
      <c r="B1378" s="31"/>
      <c r="C1378" s="54"/>
      <c r="D1378" s="31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E1378" s="57" t="str">
        <f t="shared" si="96"/>
        <v/>
      </c>
      <c r="AF1378" s="18" t="str">
        <f t="shared" si="97"/>
        <v/>
      </c>
      <c r="AG1378" s="18" t="str">
        <f t="shared" si="98"/>
        <v/>
      </c>
      <c r="AH1378" s="18" t="str">
        <f t="shared" si="99"/>
        <v/>
      </c>
      <c r="AI1378" s="18" t="str">
        <f t="shared" si="100"/>
        <v/>
      </c>
      <c r="AJ1378" s="18" t="str">
        <f t="shared" si="101"/>
        <v/>
      </c>
      <c r="AK1378" s="18" t="str">
        <f t="shared" si="102"/>
        <v/>
      </c>
      <c r="AL1378" s="18" t="str">
        <f t="shared" si="103"/>
        <v/>
      </c>
      <c r="AM1378" s="18" t="str">
        <f t="shared" si="104"/>
        <v/>
      </c>
    </row>
    <row r="1379" spans="1:39" x14ac:dyDescent="0.35">
      <c r="A1379" s="56" t="s">
        <v>1447</v>
      </c>
      <c r="B1379" s="31"/>
      <c r="C1379" s="54"/>
      <c r="D1379" s="31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E1379" s="57" t="str">
        <f t="shared" si="96"/>
        <v/>
      </c>
      <c r="AF1379" s="18" t="str">
        <f t="shared" si="97"/>
        <v/>
      </c>
      <c r="AG1379" s="18" t="str">
        <f t="shared" si="98"/>
        <v/>
      </c>
      <c r="AH1379" s="18" t="str">
        <f t="shared" si="99"/>
        <v/>
      </c>
      <c r="AI1379" s="18" t="str">
        <f t="shared" si="100"/>
        <v/>
      </c>
      <c r="AJ1379" s="18" t="str">
        <f t="shared" si="101"/>
        <v/>
      </c>
      <c r="AK1379" s="18" t="str">
        <f t="shared" si="102"/>
        <v/>
      </c>
      <c r="AL1379" s="18" t="str">
        <f t="shared" si="103"/>
        <v/>
      </c>
      <c r="AM1379" s="18" t="str">
        <f t="shared" si="104"/>
        <v/>
      </c>
    </row>
    <row r="1380" spans="1:39" x14ac:dyDescent="0.35">
      <c r="A1380" s="56" t="s">
        <v>1448</v>
      </c>
      <c r="B1380" s="31"/>
      <c r="C1380" s="54"/>
      <c r="D1380" s="31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E1380" s="57" t="str">
        <f t="shared" si="96"/>
        <v/>
      </c>
      <c r="AF1380" s="18" t="str">
        <f t="shared" si="97"/>
        <v/>
      </c>
      <c r="AG1380" s="18" t="str">
        <f t="shared" si="98"/>
        <v/>
      </c>
      <c r="AH1380" s="18" t="str">
        <f t="shared" si="99"/>
        <v/>
      </c>
      <c r="AI1380" s="18" t="str">
        <f t="shared" si="100"/>
        <v/>
      </c>
      <c r="AJ1380" s="18" t="str">
        <f t="shared" si="101"/>
        <v/>
      </c>
      <c r="AK1380" s="18" t="str">
        <f t="shared" si="102"/>
        <v/>
      </c>
      <c r="AL1380" s="18" t="str">
        <f t="shared" si="103"/>
        <v/>
      </c>
      <c r="AM1380" s="18" t="str">
        <f t="shared" si="104"/>
        <v/>
      </c>
    </row>
    <row r="1381" spans="1:39" x14ac:dyDescent="0.35">
      <c r="A1381" s="56" t="s">
        <v>1449</v>
      </c>
      <c r="B1381" s="31"/>
      <c r="C1381" s="54"/>
      <c r="D1381" s="31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E1381" s="57" t="str">
        <f t="shared" si="96"/>
        <v/>
      </c>
      <c r="AF1381" s="18" t="str">
        <f t="shared" si="97"/>
        <v/>
      </c>
      <c r="AG1381" s="18" t="str">
        <f t="shared" si="98"/>
        <v/>
      </c>
      <c r="AH1381" s="18" t="str">
        <f t="shared" si="99"/>
        <v/>
      </c>
      <c r="AI1381" s="18" t="str">
        <f t="shared" si="100"/>
        <v/>
      </c>
      <c r="AJ1381" s="18" t="str">
        <f t="shared" si="101"/>
        <v/>
      </c>
      <c r="AK1381" s="18" t="str">
        <f t="shared" si="102"/>
        <v/>
      </c>
      <c r="AL1381" s="18" t="str">
        <f t="shared" si="103"/>
        <v/>
      </c>
      <c r="AM1381" s="18" t="str">
        <f t="shared" si="104"/>
        <v/>
      </c>
    </row>
    <row r="1382" spans="1:39" x14ac:dyDescent="0.35">
      <c r="A1382" s="56" t="s">
        <v>1450</v>
      </c>
      <c r="B1382" s="31"/>
      <c r="C1382" s="54"/>
      <c r="D1382" s="31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E1382" s="57" t="str">
        <f t="shared" si="96"/>
        <v/>
      </c>
      <c r="AF1382" s="18" t="str">
        <f t="shared" si="97"/>
        <v/>
      </c>
      <c r="AG1382" s="18" t="str">
        <f t="shared" si="98"/>
        <v/>
      </c>
      <c r="AH1382" s="18" t="str">
        <f t="shared" si="99"/>
        <v/>
      </c>
      <c r="AI1382" s="18" t="str">
        <f t="shared" si="100"/>
        <v/>
      </c>
      <c r="AJ1382" s="18" t="str">
        <f t="shared" si="101"/>
        <v/>
      </c>
      <c r="AK1382" s="18" t="str">
        <f t="shared" si="102"/>
        <v/>
      </c>
      <c r="AL1382" s="18" t="str">
        <f t="shared" si="103"/>
        <v/>
      </c>
      <c r="AM1382" s="18" t="str">
        <f t="shared" si="104"/>
        <v/>
      </c>
    </row>
    <row r="1383" spans="1:39" x14ac:dyDescent="0.35">
      <c r="A1383" s="56" t="s">
        <v>1451</v>
      </c>
      <c r="B1383" s="31"/>
      <c r="C1383" s="54"/>
      <c r="D1383" s="31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E1383" s="57" t="str">
        <f t="shared" si="96"/>
        <v/>
      </c>
      <c r="AF1383" s="18" t="str">
        <f t="shared" si="97"/>
        <v/>
      </c>
      <c r="AG1383" s="18" t="str">
        <f t="shared" si="98"/>
        <v/>
      </c>
      <c r="AH1383" s="18" t="str">
        <f t="shared" si="99"/>
        <v/>
      </c>
      <c r="AI1383" s="18" t="str">
        <f t="shared" si="100"/>
        <v/>
      </c>
      <c r="AJ1383" s="18" t="str">
        <f t="shared" si="101"/>
        <v/>
      </c>
      <c r="AK1383" s="18" t="str">
        <f t="shared" si="102"/>
        <v/>
      </c>
      <c r="AL1383" s="18" t="str">
        <f t="shared" si="103"/>
        <v/>
      </c>
      <c r="AM1383" s="18" t="str">
        <f t="shared" si="104"/>
        <v/>
      </c>
    </row>
    <row r="1384" spans="1:39" x14ac:dyDescent="0.35">
      <c r="A1384" s="56" t="s">
        <v>1452</v>
      </c>
      <c r="B1384" s="31"/>
      <c r="C1384" s="54"/>
      <c r="D1384" s="31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E1384" s="57" t="str">
        <f t="shared" si="96"/>
        <v/>
      </c>
      <c r="AF1384" s="18" t="str">
        <f t="shared" si="97"/>
        <v/>
      </c>
      <c r="AG1384" s="18" t="str">
        <f t="shared" si="98"/>
        <v/>
      </c>
      <c r="AH1384" s="18" t="str">
        <f t="shared" si="99"/>
        <v/>
      </c>
      <c r="AI1384" s="18" t="str">
        <f t="shared" si="100"/>
        <v/>
      </c>
      <c r="AJ1384" s="18" t="str">
        <f t="shared" si="101"/>
        <v/>
      </c>
      <c r="AK1384" s="18" t="str">
        <f t="shared" si="102"/>
        <v/>
      </c>
      <c r="AL1384" s="18" t="str">
        <f t="shared" si="103"/>
        <v/>
      </c>
      <c r="AM1384" s="18" t="str">
        <f t="shared" si="104"/>
        <v/>
      </c>
    </row>
    <row r="1385" spans="1:39" x14ac:dyDescent="0.35">
      <c r="A1385" s="56" t="s">
        <v>1453</v>
      </c>
      <c r="B1385" s="31"/>
      <c r="C1385" s="54"/>
      <c r="D1385" s="31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E1385" s="57" t="str">
        <f t="shared" si="96"/>
        <v/>
      </c>
      <c r="AF1385" s="18" t="str">
        <f t="shared" si="97"/>
        <v/>
      </c>
      <c r="AG1385" s="18" t="str">
        <f t="shared" si="98"/>
        <v/>
      </c>
      <c r="AH1385" s="18" t="str">
        <f t="shared" si="99"/>
        <v/>
      </c>
      <c r="AI1385" s="18" t="str">
        <f t="shared" si="100"/>
        <v/>
      </c>
      <c r="AJ1385" s="18" t="str">
        <f t="shared" si="101"/>
        <v/>
      </c>
      <c r="AK1385" s="18" t="str">
        <f t="shared" si="102"/>
        <v/>
      </c>
      <c r="AL1385" s="18" t="str">
        <f t="shared" si="103"/>
        <v/>
      </c>
      <c r="AM1385" s="18" t="str">
        <f t="shared" si="104"/>
        <v/>
      </c>
    </row>
    <row r="1386" spans="1:39" x14ac:dyDescent="0.35">
      <c r="A1386" s="56" t="s">
        <v>1454</v>
      </c>
      <c r="B1386" s="31"/>
      <c r="C1386" s="54"/>
      <c r="D1386" s="31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E1386" s="57" t="str">
        <f t="shared" si="96"/>
        <v/>
      </c>
      <c r="AF1386" s="18" t="str">
        <f t="shared" si="97"/>
        <v/>
      </c>
      <c r="AG1386" s="18" t="str">
        <f t="shared" si="98"/>
        <v/>
      </c>
      <c r="AH1386" s="18" t="str">
        <f t="shared" si="99"/>
        <v/>
      </c>
      <c r="AI1386" s="18" t="str">
        <f t="shared" si="100"/>
        <v/>
      </c>
      <c r="AJ1386" s="18" t="str">
        <f t="shared" si="101"/>
        <v/>
      </c>
      <c r="AK1386" s="18" t="str">
        <f t="shared" si="102"/>
        <v/>
      </c>
      <c r="AL1386" s="18" t="str">
        <f t="shared" si="103"/>
        <v/>
      </c>
      <c r="AM1386" s="18" t="str">
        <f t="shared" si="104"/>
        <v/>
      </c>
    </row>
    <row r="1387" spans="1:39" x14ac:dyDescent="0.35">
      <c r="A1387" s="56" t="s">
        <v>1455</v>
      </c>
      <c r="B1387" s="31"/>
      <c r="C1387" s="54"/>
      <c r="D1387" s="31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E1387" s="57" t="str">
        <f t="shared" si="96"/>
        <v/>
      </c>
      <c r="AF1387" s="18" t="str">
        <f t="shared" si="97"/>
        <v/>
      </c>
      <c r="AG1387" s="18" t="str">
        <f t="shared" si="98"/>
        <v/>
      </c>
      <c r="AH1387" s="18" t="str">
        <f t="shared" si="99"/>
        <v/>
      </c>
      <c r="AI1387" s="18" t="str">
        <f t="shared" si="100"/>
        <v/>
      </c>
      <c r="AJ1387" s="18" t="str">
        <f t="shared" si="101"/>
        <v/>
      </c>
      <c r="AK1387" s="18" t="str">
        <f t="shared" si="102"/>
        <v/>
      </c>
      <c r="AL1387" s="18" t="str">
        <f t="shared" si="103"/>
        <v/>
      </c>
      <c r="AM1387" s="18" t="str">
        <f t="shared" si="104"/>
        <v/>
      </c>
    </row>
    <row r="1388" spans="1:39" x14ac:dyDescent="0.35">
      <c r="A1388" s="56" t="s">
        <v>1456</v>
      </c>
      <c r="B1388" s="31"/>
      <c r="C1388" s="54"/>
      <c r="D1388" s="31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E1388" s="57" t="str">
        <f t="shared" si="96"/>
        <v/>
      </c>
      <c r="AF1388" s="18" t="str">
        <f t="shared" si="97"/>
        <v/>
      </c>
      <c r="AG1388" s="18" t="str">
        <f t="shared" si="98"/>
        <v/>
      </c>
      <c r="AH1388" s="18" t="str">
        <f t="shared" si="99"/>
        <v/>
      </c>
      <c r="AI1388" s="18" t="str">
        <f t="shared" si="100"/>
        <v/>
      </c>
      <c r="AJ1388" s="18" t="str">
        <f t="shared" si="101"/>
        <v/>
      </c>
      <c r="AK1388" s="18" t="str">
        <f t="shared" si="102"/>
        <v/>
      </c>
      <c r="AL1388" s="18" t="str">
        <f t="shared" si="103"/>
        <v/>
      </c>
      <c r="AM1388" s="18" t="str">
        <f t="shared" si="104"/>
        <v/>
      </c>
    </row>
    <row r="1389" spans="1:39" x14ac:dyDescent="0.35">
      <c r="A1389" s="56" t="s">
        <v>1457</v>
      </c>
      <c r="B1389" s="31"/>
      <c r="C1389" s="54"/>
      <c r="D1389" s="31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E1389" s="57" t="str">
        <f t="shared" si="96"/>
        <v/>
      </c>
      <c r="AF1389" s="18" t="str">
        <f t="shared" si="97"/>
        <v/>
      </c>
      <c r="AG1389" s="18" t="str">
        <f t="shared" si="98"/>
        <v/>
      </c>
      <c r="AH1389" s="18" t="str">
        <f t="shared" si="99"/>
        <v/>
      </c>
      <c r="AI1389" s="18" t="str">
        <f t="shared" si="100"/>
        <v/>
      </c>
      <c r="AJ1389" s="18" t="str">
        <f t="shared" si="101"/>
        <v/>
      </c>
      <c r="AK1389" s="18" t="str">
        <f t="shared" si="102"/>
        <v/>
      </c>
      <c r="AL1389" s="18" t="str">
        <f t="shared" si="103"/>
        <v/>
      </c>
      <c r="AM1389" s="18" t="str">
        <f t="shared" si="104"/>
        <v/>
      </c>
    </row>
    <row r="1390" spans="1:39" x14ac:dyDescent="0.35">
      <c r="A1390" s="56" t="s">
        <v>1458</v>
      </c>
      <c r="B1390" s="31"/>
      <c r="C1390" s="54"/>
      <c r="D1390" s="31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E1390" s="57" t="str">
        <f t="shared" si="96"/>
        <v/>
      </c>
      <c r="AF1390" s="18" t="str">
        <f t="shared" si="97"/>
        <v/>
      </c>
      <c r="AG1390" s="18" t="str">
        <f t="shared" si="98"/>
        <v/>
      </c>
      <c r="AH1390" s="18" t="str">
        <f t="shared" si="99"/>
        <v/>
      </c>
      <c r="AI1390" s="18" t="str">
        <f t="shared" si="100"/>
        <v/>
      </c>
      <c r="AJ1390" s="18" t="str">
        <f t="shared" si="101"/>
        <v/>
      </c>
      <c r="AK1390" s="18" t="str">
        <f t="shared" si="102"/>
        <v/>
      </c>
      <c r="AL1390" s="18" t="str">
        <f t="shared" si="103"/>
        <v/>
      </c>
      <c r="AM1390" s="18" t="str">
        <f t="shared" si="104"/>
        <v/>
      </c>
    </row>
    <row r="1391" spans="1:39" x14ac:dyDescent="0.35">
      <c r="A1391" s="56" t="s">
        <v>1459</v>
      </c>
      <c r="B1391" s="31"/>
      <c r="C1391" s="54"/>
      <c r="D1391" s="31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E1391" s="57" t="str">
        <f t="shared" si="96"/>
        <v/>
      </c>
      <c r="AF1391" s="18" t="str">
        <f t="shared" si="97"/>
        <v/>
      </c>
      <c r="AG1391" s="18" t="str">
        <f t="shared" si="98"/>
        <v/>
      </c>
      <c r="AH1391" s="18" t="str">
        <f t="shared" si="99"/>
        <v/>
      </c>
      <c r="AI1391" s="18" t="str">
        <f t="shared" si="100"/>
        <v/>
      </c>
      <c r="AJ1391" s="18" t="str">
        <f t="shared" si="101"/>
        <v/>
      </c>
      <c r="AK1391" s="18" t="str">
        <f t="shared" si="102"/>
        <v/>
      </c>
      <c r="AL1391" s="18" t="str">
        <f t="shared" si="103"/>
        <v/>
      </c>
      <c r="AM1391" s="18" t="str">
        <f t="shared" si="104"/>
        <v/>
      </c>
    </row>
    <row r="1392" spans="1:39" x14ac:dyDescent="0.35">
      <c r="A1392" s="56" t="s">
        <v>1460</v>
      </c>
      <c r="B1392" s="31"/>
      <c r="C1392" s="54"/>
      <c r="D1392" s="31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E1392" s="57" t="str">
        <f t="shared" si="96"/>
        <v/>
      </c>
      <c r="AF1392" s="18" t="str">
        <f t="shared" si="97"/>
        <v/>
      </c>
      <c r="AG1392" s="18" t="str">
        <f t="shared" si="98"/>
        <v/>
      </c>
      <c r="AH1392" s="18" t="str">
        <f t="shared" si="99"/>
        <v/>
      </c>
      <c r="AI1392" s="18" t="str">
        <f t="shared" si="100"/>
        <v/>
      </c>
      <c r="AJ1392" s="18" t="str">
        <f t="shared" si="101"/>
        <v/>
      </c>
      <c r="AK1392" s="18" t="str">
        <f t="shared" si="102"/>
        <v/>
      </c>
      <c r="AL1392" s="18" t="str">
        <f t="shared" si="103"/>
        <v/>
      </c>
      <c r="AM1392" s="18" t="str">
        <f t="shared" si="104"/>
        <v/>
      </c>
    </row>
    <row r="1393" spans="1:39" x14ac:dyDescent="0.35">
      <c r="A1393" s="56" t="s">
        <v>1461</v>
      </c>
      <c r="B1393" s="31"/>
      <c r="C1393" s="54"/>
      <c r="D1393" s="31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E1393" s="57" t="str">
        <f t="shared" si="96"/>
        <v/>
      </c>
      <c r="AF1393" s="18" t="str">
        <f t="shared" si="97"/>
        <v/>
      </c>
      <c r="AG1393" s="18" t="str">
        <f t="shared" si="98"/>
        <v/>
      </c>
      <c r="AH1393" s="18" t="str">
        <f t="shared" si="99"/>
        <v/>
      </c>
      <c r="AI1393" s="18" t="str">
        <f t="shared" si="100"/>
        <v/>
      </c>
      <c r="AJ1393" s="18" t="str">
        <f t="shared" si="101"/>
        <v/>
      </c>
      <c r="AK1393" s="18" t="str">
        <f t="shared" si="102"/>
        <v/>
      </c>
      <c r="AL1393" s="18" t="str">
        <f t="shared" si="103"/>
        <v/>
      </c>
      <c r="AM1393" s="18" t="str">
        <f t="shared" si="104"/>
        <v/>
      </c>
    </row>
    <row r="1394" spans="1:39" x14ac:dyDescent="0.35">
      <c r="A1394" s="56" t="s">
        <v>1462</v>
      </c>
      <c r="B1394" s="31"/>
      <c r="C1394" s="54"/>
      <c r="D1394" s="31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E1394" s="57" t="str">
        <f t="shared" si="96"/>
        <v/>
      </c>
      <c r="AF1394" s="18" t="str">
        <f t="shared" si="97"/>
        <v/>
      </c>
      <c r="AG1394" s="18" t="str">
        <f t="shared" si="98"/>
        <v/>
      </c>
      <c r="AH1394" s="18" t="str">
        <f t="shared" si="99"/>
        <v/>
      </c>
      <c r="AI1394" s="18" t="str">
        <f t="shared" si="100"/>
        <v/>
      </c>
      <c r="AJ1394" s="18" t="str">
        <f t="shared" si="101"/>
        <v/>
      </c>
      <c r="AK1394" s="18" t="str">
        <f t="shared" si="102"/>
        <v/>
      </c>
      <c r="AL1394" s="18" t="str">
        <f t="shared" si="103"/>
        <v/>
      </c>
      <c r="AM1394" s="18" t="str">
        <f t="shared" si="104"/>
        <v/>
      </c>
    </row>
    <row r="1395" spans="1:39" x14ac:dyDescent="0.35">
      <c r="A1395" s="56" t="s">
        <v>1463</v>
      </c>
      <c r="B1395" s="31"/>
      <c r="C1395" s="54"/>
      <c r="D1395" s="31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E1395" s="57" t="str">
        <f t="shared" si="96"/>
        <v/>
      </c>
      <c r="AF1395" s="18" t="str">
        <f t="shared" si="97"/>
        <v/>
      </c>
      <c r="AG1395" s="18" t="str">
        <f t="shared" si="98"/>
        <v/>
      </c>
      <c r="AH1395" s="18" t="str">
        <f t="shared" si="99"/>
        <v/>
      </c>
      <c r="AI1395" s="18" t="str">
        <f t="shared" si="100"/>
        <v/>
      </c>
      <c r="AJ1395" s="18" t="str">
        <f t="shared" si="101"/>
        <v/>
      </c>
      <c r="AK1395" s="18" t="str">
        <f t="shared" si="102"/>
        <v/>
      </c>
      <c r="AL1395" s="18" t="str">
        <f t="shared" si="103"/>
        <v/>
      </c>
      <c r="AM1395" s="18" t="str">
        <f t="shared" si="104"/>
        <v/>
      </c>
    </row>
    <row r="1396" spans="1:39" x14ac:dyDescent="0.35">
      <c r="A1396" s="56" t="s">
        <v>1464</v>
      </c>
      <c r="B1396" s="31"/>
      <c r="C1396" s="54"/>
      <c r="D1396" s="31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E1396" s="57" t="str">
        <f t="shared" si="96"/>
        <v/>
      </c>
      <c r="AF1396" s="18" t="str">
        <f t="shared" si="97"/>
        <v/>
      </c>
      <c r="AG1396" s="18" t="str">
        <f t="shared" si="98"/>
        <v/>
      </c>
      <c r="AH1396" s="18" t="str">
        <f t="shared" si="99"/>
        <v/>
      </c>
      <c r="AI1396" s="18" t="str">
        <f t="shared" si="100"/>
        <v/>
      </c>
      <c r="AJ1396" s="18" t="str">
        <f t="shared" si="101"/>
        <v/>
      </c>
      <c r="AK1396" s="18" t="str">
        <f t="shared" si="102"/>
        <v/>
      </c>
      <c r="AL1396" s="18" t="str">
        <f t="shared" si="103"/>
        <v/>
      </c>
      <c r="AM1396" s="18" t="str">
        <f t="shared" si="104"/>
        <v/>
      </c>
    </row>
    <row r="1397" spans="1:39" x14ac:dyDescent="0.35">
      <c r="A1397" s="56" t="s">
        <v>1465</v>
      </c>
      <c r="B1397" s="31"/>
      <c r="C1397" s="54"/>
      <c r="D1397" s="31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E1397" s="57" t="str">
        <f t="shared" si="96"/>
        <v/>
      </c>
      <c r="AF1397" s="18" t="str">
        <f t="shared" si="97"/>
        <v/>
      </c>
      <c r="AG1397" s="18" t="str">
        <f t="shared" si="98"/>
        <v/>
      </c>
      <c r="AH1397" s="18" t="str">
        <f t="shared" si="99"/>
        <v/>
      </c>
      <c r="AI1397" s="18" t="str">
        <f t="shared" si="100"/>
        <v/>
      </c>
      <c r="AJ1397" s="18" t="str">
        <f t="shared" si="101"/>
        <v/>
      </c>
      <c r="AK1397" s="18" t="str">
        <f t="shared" si="102"/>
        <v/>
      </c>
      <c r="AL1397" s="18" t="str">
        <f t="shared" si="103"/>
        <v/>
      </c>
      <c r="AM1397" s="18" t="str">
        <f t="shared" si="104"/>
        <v/>
      </c>
    </row>
    <row r="1398" spans="1:39" x14ac:dyDescent="0.35">
      <c r="A1398" s="56" t="s">
        <v>1466</v>
      </c>
      <c r="B1398" s="31"/>
      <c r="C1398" s="54"/>
      <c r="D1398" s="31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E1398" s="57" t="str">
        <f t="shared" si="96"/>
        <v/>
      </c>
      <c r="AF1398" s="18" t="str">
        <f t="shared" si="97"/>
        <v/>
      </c>
      <c r="AG1398" s="18" t="str">
        <f t="shared" si="98"/>
        <v/>
      </c>
      <c r="AH1398" s="18" t="str">
        <f t="shared" si="99"/>
        <v/>
      </c>
      <c r="AI1398" s="18" t="str">
        <f t="shared" si="100"/>
        <v/>
      </c>
      <c r="AJ1398" s="18" t="str">
        <f t="shared" si="101"/>
        <v/>
      </c>
      <c r="AK1398" s="18" t="str">
        <f t="shared" si="102"/>
        <v/>
      </c>
      <c r="AL1398" s="18" t="str">
        <f t="shared" si="103"/>
        <v/>
      </c>
      <c r="AM1398" s="18" t="str">
        <f t="shared" si="104"/>
        <v/>
      </c>
    </row>
    <row r="1399" spans="1:39" x14ac:dyDescent="0.35">
      <c r="A1399" s="56" t="s">
        <v>1467</v>
      </c>
      <c r="B1399" s="31"/>
      <c r="C1399" s="54"/>
      <c r="D1399" s="31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E1399" s="57" t="str">
        <f t="shared" si="96"/>
        <v/>
      </c>
      <c r="AF1399" s="18" t="str">
        <f t="shared" si="97"/>
        <v/>
      </c>
      <c r="AG1399" s="18" t="str">
        <f t="shared" si="98"/>
        <v/>
      </c>
      <c r="AH1399" s="18" t="str">
        <f t="shared" si="99"/>
        <v/>
      </c>
      <c r="AI1399" s="18" t="str">
        <f t="shared" si="100"/>
        <v/>
      </c>
      <c r="AJ1399" s="18" t="str">
        <f t="shared" si="101"/>
        <v/>
      </c>
      <c r="AK1399" s="18" t="str">
        <f t="shared" si="102"/>
        <v/>
      </c>
      <c r="AL1399" s="18" t="str">
        <f t="shared" si="103"/>
        <v/>
      </c>
      <c r="AM1399" s="18" t="str">
        <f t="shared" si="104"/>
        <v/>
      </c>
    </row>
    <row r="1400" spans="1:39" x14ac:dyDescent="0.35">
      <c r="A1400" s="56" t="s">
        <v>1468</v>
      </c>
      <c r="B1400" s="31"/>
      <c r="C1400" s="54"/>
      <c r="D1400" s="31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E1400" s="57" t="str">
        <f t="shared" si="96"/>
        <v/>
      </c>
      <c r="AF1400" s="18" t="str">
        <f t="shared" si="97"/>
        <v/>
      </c>
      <c r="AG1400" s="18" t="str">
        <f t="shared" si="98"/>
        <v/>
      </c>
      <c r="AH1400" s="18" t="str">
        <f t="shared" si="99"/>
        <v/>
      </c>
      <c r="AI1400" s="18" t="str">
        <f t="shared" si="100"/>
        <v/>
      </c>
      <c r="AJ1400" s="18" t="str">
        <f t="shared" si="101"/>
        <v/>
      </c>
      <c r="AK1400" s="18" t="str">
        <f t="shared" si="102"/>
        <v/>
      </c>
      <c r="AL1400" s="18" t="str">
        <f t="shared" si="103"/>
        <v/>
      </c>
      <c r="AM1400" s="18" t="str">
        <f t="shared" si="104"/>
        <v/>
      </c>
    </row>
    <row r="1401" spans="1:39" x14ac:dyDescent="0.35">
      <c r="A1401" s="56" t="s">
        <v>1469</v>
      </c>
      <c r="B1401" s="31"/>
      <c r="C1401" s="54"/>
      <c r="D1401" s="31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E1401" s="57" t="str">
        <f t="shared" si="96"/>
        <v/>
      </c>
      <c r="AF1401" s="18" t="str">
        <f t="shared" si="97"/>
        <v/>
      </c>
      <c r="AG1401" s="18" t="str">
        <f t="shared" si="98"/>
        <v/>
      </c>
      <c r="AH1401" s="18" t="str">
        <f t="shared" si="99"/>
        <v/>
      </c>
      <c r="AI1401" s="18" t="str">
        <f t="shared" si="100"/>
        <v/>
      </c>
      <c r="AJ1401" s="18" t="str">
        <f t="shared" si="101"/>
        <v/>
      </c>
      <c r="AK1401" s="18" t="str">
        <f t="shared" si="102"/>
        <v/>
      </c>
      <c r="AL1401" s="18" t="str">
        <f t="shared" si="103"/>
        <v/>
      </c>
      <c r="AM1401" s="18" t="str">
        <f t="shared" si="104"/>
        <v/>
      </c>
    </row>
    <row r="1402" spans="1:39" x14ac:dyDescent="0.35">
      <c r="A1402" s="56" t="s">
        <v>1470</v>
      </c>
      <c r="B1402" s="31"/>
      <c r="C1402" s="54"/>
      <c r="D1402" s="31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E1402" s="57" t="str">
        <f t="shared" si="96"/>
        <v/>
      </c>
      <c r="AF1402" s="18" t="str">
        <f t="shared" si="97"/>
        <v/>
      </c>
      <c r="AG1402" s="18" t="str">
        <f t="shared" si="98"/>
        <v/>
      </c>
      <c r="AH1402" s="18" t="str">
        <f t="shared" si="99"/>
        <v/>
      </c>
      <c r="AI1402" s="18" t="str">
        <f t="shared" si="100"/>
        <v/>
      </c>
      <c r="AJ1402" s="18" t="str">
        <f t="shared" si="101"/>
        <v/>
      </c>
      <c r="AK1402" s="18" t="str">
        <f t="shared" si="102"/>
        <v/>
      </c>
      <c r="AL1402" s="18" t="str">
        <f t="shared" si="103"/>
        <v/>
      </c>
      <c r="AM1402" s="18" t="str">
        <f t="shared" si="104"/>
        <v/>
      </c>
    </row>
    <row r="1403" spans="1:39" x14ac:dyDescent="0.35">
      <c r="A1403" s="56" t="s">
        <v>1471</v>
      </c>
      <c r="B1403" s="31"/>
      <c r="C1403" s="54"/>
      <c r="D1403" s="31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E1403" s="57" t="str">
        <f t="shared" si="96"/>
        <v/>
      </c>
      <c r="AF1403" s="18" t="str">
        <f t="shared" si="97"/>
        <v/>
      </c>
      <c r="AG1403" s="18" t="str">
        <f t="shared" si="98"/>
        <v/>
      </c>
      <c r="AH1403" s="18" t="str">
        <f t="shared" si="99"/>
        <v/>
      </c>
      <c r="AI1403" s="18" t="str">
        <f t="shared" si="100"/>
        <v/>
      </c>
      <c r="AJ1403" s="18" t="str">
        <f t="shared" si="101"/>
        <v/>
      </c>
      <c r="AK1403" s="18" t="str">
        <f t="shared" si="102"/>
        <v/>
      </c>
      <c r="AL1403" s="18" t="str">
        <f t="shared" si="103"/>
        <v/>
      </c>
      <c r="AM1403" s="18" t="str">
        <f t="shared" si="104"/>
        <v/>
      </c>
    </row>
    <row r="1404" spans="1:39" x14ac:dyDescent="0.35">
      <c r="A1404" s="56" t="s">
        <v>1472</v>
      </c>
      <c r="B1404" s="31"/>
      <c r="C1404" s="54"/>
      <c r="D1404" s="31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E1404" s="57" t="str">
        <f t="shared" si="96"/>
        <v/>
      </c>
      <c r="AF1404" s="18" t="str">
        <f t="shared" si="97"/>
        <v/>
      </c>
      <c r="AG1404" s="18" t="str">
        <f t="shared" si="98"/>
        <v/>
      </c>
      <c r="AH1404" s="18" t="str">
        <f t="shared" si="99"/>
        <v/>
      </c>
      <c r="AI1404" s="18" t="str">
        <f t="shared" si="100"/>
        <v/>
      </c>
      <c r="AJ1404" s="18" t="str">
        <f t="shared" si="101"/>
        <v/>
      </c>
      <c r="AK1404" s="18" t="str">
        <f t="shared" si="102"/>
        <v/>
      </c>
      <c r="AL1404" s="18" t="str">
        <f t="shared" si="103"/>
        <v/>
      </c>
      <c r="AM1404" s="18" t="str">
        <f t="shared" si="104"/>
        <v/>
      </c>
    </row>
    <row r="1405" spans="1:39" x14ac:dyDescent="0.35">
      <c r="A1405" s="56" t="s">
        <v>1473</v>
      </c>
      <c r="B1405" s="31"/>
      <c r="C1405" s="54"/>
      <c r="D1405" s="31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E1405" s="57" t="str">
        <f t="shared" si="96"/>
        <v/>
      </c>
      <c r="AF1405" s="18" t="str">
        <f t="shared" si="97"/>
        <v/>
      </c>
      <c r="AG1405" s="18" t="str">
        <f t="shared" si="98"/>
        <v/>
      </c>
      <c r="AH1405" s="18" t="str">
        <f t="shared" si="99"/>
        <v/>
      </c>
      <c r="AI1405" s="18" t="str">
        <f t="shared" si="100"/>
        <v/>
      </c>
      <c r="AJ1405" s="18" t="str">
        <f t="shared" si="101"/>
        <v/>
      </c>
      <c r="AK1405" s="18" t="str">
        <f t="shared" si="102"/>
        <v/>
      </c>
      <c r="AL1405" s="18" t="str">
        <f t="shared" si="103"/>
        <v/>
      </c>
      <c r="AM1405" s="18" t="str">
        <f t="shared" si="104"/>
        <v/>
      </c>
    </row>
    <row r="1406" spans="1:39" x14ac:dyDescent="0.35">
      <c r="A1406" s="56" t="s">
        <v>1474</v>
      </c>
      <c r="B1406" s="31"/>
      <c r="C1406" s="54"/>
      <c r="D1406" s="31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E1406" s="57" t="str">
        <f t="shared" si="96"/>
        <v/>
      </c>
      <c r="AF1406" s="18" t="str">
        <f t="shared" si="97"/>
        <v/>
      </c>
      <c r="AG1406" s="18" t="str">
        <f t="shared" si="98"/>
        <v/>
      </c>
      <c r="AH1406" s="18" t="str">
        <f t="shared" si="99"/>
        <v/>
      </c>
      <c r="AI1406" s="18" t="str">
        <f t="shared" si="100"/>
        <v/>
      </c>
      <c r="AJ1406" s="18" t="str">
        <f t="shared" si="101"/>
        <v/>
      </c>
      <c r="AK1406" s="18" t="str">
        <f t="shared" si="102"/>
        <v/>
      </c>
      <c r="AL1406" s="18" t="str">
        <f t="shared" si="103"/>
        <v/>
      </c>
      <c r="AM1406" s="18" t="str">
        <f t="shared" si="104"/>
        <v/>
      </c>
    </row>
    <row r="1407" spans="1:39" x14ac:dyDescent="0.35">
      <c r="A1407" s="56" t="s">
        <v>1475</v>
      </c>
      <c r="B1407" s="31"/>
      <c r="C1407" s="54"/>
      <c r="D1407" s="31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E1407" s="57" t="str">
        <f t="shared" si="96"/>
        <v/>
      </c>
      <c r="AF1407" s="18" t="str">
        <f t="shared" si="97"/>
        <v/>
      </c>
      <c r="AG1407" s="18" t="str">
        <f t="shared" si="98"/>
        <v/>
      </c>
      <c r="AH1407" s="18" t="str">
        <f t="shared" si="99"/>
        <v/>
      </c>
      <c r="AI1407" s="18" t="str">
        <f t="shared" si="100"/>
        <v/>
      </c>
      <c r="AJ1407" s="18" t="str">
        <f t="shared" si="101"/>
        <v/>
      </c>
      <c r="AK1407" s="18" t="str">
        <f t="shared" si="102"/>
        <v/>
      </c>
      <c r="AL1407" s="18" t="str">
        <f t="shared" si="103"/>
        <v/>
      </c>
      <c r="AM1407" s="18" t="str">
        <f t="shared" si="104"/>
        <v/>
      </c>
    </row>
    <row r="1408" spans="1:39" x14ac:dyDescent="0.35">
      <c r="A1408" s="56" t="s">
        <v>1476</v>
      </c>
      <c r="B1408" s="31"/>
      <c r="C1408" s="54"/>
      <c r="D1408" s="31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E1408" s="57" t="str">
        <f t="shared" si="96"/>
        <v/>
      </c>
      <c r="AF1408" s="18" t="str">
        <f t="shared" si="97"/>
        <v/>
      </c>
      <c r="AG1408" s="18" t="str">
        <f t="shared" si="98"/>
        <v/>
      </c>
      <c r="AH1408" s="18" t="str">
        <f t="shared" si="99"/>
        <v/>
      </c>
      <c r="AI1408" s="18" t="str">
        <f t="shared" si="100"/>
        <v/>
      </c>
      <c r="AJ1408" s="18" t="str">
        <f t="shared" si="101"/>
        <v/>
      </c>
      <c r="AK1408" s="18" t="str">
        <f t="shared" si="102"/>
        <v/>
      </c>
      <c r="AL1408" s="18" t="str">
        <f t="shared" si="103"/>
        <v/>
      </c>
      <c r="AM1408" s="18" t="str">
        <f t="shared" si="104"/>
        <v/>
      </c>
    </row>
    <row r="1409" spans="1:39" x14ac:dyDescent="0.35">
      <c r="A1409" s="56" t="s">
        <v>1477</v>
      </c>
      <c r="B1409" s="31"/>
      <c r="C1409" s="54"/>
      <c r="D1409" s="31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E1409" s="57" t="str">
        <f t="shared" si="96"/>
        <v/>
      </c>
      <c r="AF1409" s="18" t="str">
        <f t="shared" si="97"/>
        <v/>
      </c>
      <c r="AG1409" s="18" t="str">
        <f t="shared" si="98"/>
        <v/>
      </c>
      <c r="AH1409" s="18" t="str">
        <f t="shared" si="99"/>
        <v/>
      </c>
      <c r="AI1409" s="18" t="str">
        <f t="shared" si="100"/>
        <v/>
      </c>
      <c r="AJ1409" s="18" t="str">
        <f t="shared" si="101"/>
        <v/>
      </c>
      <c r="AK1409" s="18" t="str">
        <f t="shared" si="102"/>
        <v/>
      </c>
      <c r="AL1409" s="18" t="str">
        <f t="shared" si="103"/>
        <v/>
      </c>
      <c r="AM1409" s="18" t="str">
        <f t="shared" si="104"/>
        <v/>
      </c>
    </row>
    <row r="1410" spans="1:39" x14ac:dyDescent="0.35">
      <c r="A1410" s="56" t="s">
        <v>1478</v>
      </c>
      <c r="B1410" s="31"/>
      <c r="C1410" s="54"/>
      <c r="D1410" s="31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E1410" s="57" t="str">
        <f t="shared" si="96"/>
        <v/>
      </c>
      <c r="AF1410" s="18" t="str">
        <f t="shared" si="97"/>
        <v/>
      </c>
      <c r="AG1410" s="18" t="str">
        <f t="shared" si="98"/>
        <v/>
      </c>
      <c r="AH1410" s="18" t="str">
        <f t="shared" si="99"/>
        <v/>
      </c>
      <c r="AI1410" s="18" t="str">
        <f t="shared" si="100"/>
        <v/>
      </c>
      <c r="AJ1410" s="18" t="str">
        <f t="shared" si="101"/>
        <v/>
      </c>
      <c r="AK1410" s="18" t="str">
        <f t="shared" si="102"/>
        <v/>
      </c>
      <c r="AL1410" s="18" t="str">
        <f t="shared" si="103"/>
        <v/>
      </c>
      <c r="AM1410" s="18" t="str">
        <f t="shared" si="104"/>
        <v/>
      </c>
    </row>
    <row r="1411" spans="1:39" x14ac:dyDescent="0.35">
      <c r="A1411" s="56" t="s">
        <v>1479</v>
      </c>
      <c r="B1411" s="31"/>
      <c r="C1411" s="54"/>
      <c r="D1411" s="31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E1411" s="57" t="str">
        <f t="shared" ref="AE1411:AE1474" si="105">IFERROR(VLOOKUP(AD1411,$A$2:$AA$2000,2,0),"")</f>
        <v/>
      </c>
      <c r="AF1411" s="18" t="str">
        <f t="shared" ref="AF1411:AF1474" si="106">IFERROR(VLOOKUP(AD1411,$A$2:$AA$2000,22,0),"")</f>
        <v/>
      </c>
      <c r="AG1411" s="18" t="str">
        <f t="shared" ref="AG1411:AG1474" si="107">IFERROR(VLOOKUP(AD1411,$A$2:$AA$2000,18,0),"")</f>
        <v/>
      </c>
      <c r="AH1411" s="18" t="str">
        <f t="shared" ref="AH1411:AH1474" si="108">IFERROR(VLOOKUP(AD1411,$A$2:$AA$2000,17,0),"")</f>
        <v/>
      </c>
      <c r="AI1411" s="18" t="str">
        <f t="shared" ref="AI1411:AI1474" si="109">IFERROR(VLOOKUP(AD1411,$A$2:$AA$2000,20,0),"")</f>
        <v/>
      </c>
      <c r="AJ1411" s="18" t="str">
        <f t="shared" ref="AJ1411:AJ1474" si="110">IFERROR(VLOOKUP(AD1411,$A$2:$AA$2000,9,0),"")</f>
        <v/>
      </c>
      <c r="AK1411" s="18" t="str">
        <f t="shared" ref="AK1411:AK1474" si="111">IFERROR(VLOOKUP(AD1411,$A$2:$AA$2000,5,0),"")</f>
        <v/>
      </c>
      <c r="AL1411" s="18" t="str">
        <f t="shared" ref="AL1411:AL1474" si="112">IFERROR(VLOOKUP(AD1411,$A$2:$AA$2000,4,0),"")</f>
        <v/>
      </c>
      <c r="AM1411" s="18" t="str">
        <f t="shared" ref="AM1411:AM1474" si="113">IFERROR(VLOOKUP(AD1411,$A$2:$AA$2000,7,0),"")</f>
        <v/>
      </c>
    </row>
    <row r="1412" spans="1:39" x14ac:dyDescent="0.35">
      <c r="A1412" s="56" t="s">
        <v>1480</v>
      </c>
      <c r="B1412" s="31"/>
      <c r="C1412" s="54"/>
      <c r="D1412" s="31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E1412" s="57" t="str">
        <f t="shared" si="105"/>
        <v/>
      </c>
      <c r="AF1412" s="18" t="str">
        <f t="shared" si="106"/>
        <v/>
      </c>
      <c r="AG1412" s="18" t="str">
        <f t="shared" si="107"/>
        <v/>
      </c>
      <c r="AH1412" s="18" t="str">
        <f t="shared" si="108"/>
        <v/>
      </c>
      <c r="AI1412" s="18" t="str">
        <f t="shared" si="109"/>
        <v/>
      </c>
      <c r="AJ1412" s="18" t="str">
        <f t="shared" si="110"/>
        <v/>
      </c>
      <c r="AK1412" s="18" t="str">
        <f t="shared" si="111"/>
        <v/>
      </c>
      <c r="AL1412" s="18" t="str">
        <f t="shared" si="112"/>
        <v/>
      </c>
      <c r="AM1412" s="18" t="str">
        <f t="shared" si="113"/>
        <v/>
      </c>
    </row>
    <row r="1413" spans="1:39" x14ac:dyDescent="0.35">
      <c r="A1413" s="56" t="s">
        <v>1481</v>
      </c>
      <c r="B1413" s="31"/>
      <c r="C1413" s="54"/>
      <c r="D1413" s="31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E1413" s="57" t="str">
        <f t="shared" si="105"/>
        <v/>
      </c>
      <c r="AF1413" s="18" t="str">
        <f t="shared" si="106"/>
        <v/>
      </c>
      <c r="AG1413" s="18" t="str">
        <f t="shared" si="107"/>
        <v/>
      </c>
      <c r="AH1413" s="18" t="str">
        <f t="shared" si="108"/>
        <v/>
      </c>
      <c r="AI1413" s="18" t="str">
        <f t="shared" si="109"/>
        <v/>
      </c>
      <c r="AJ1413" s="18" t="str">
        <f t="shared" si="110"/>
        <v/>
      </c>
      <c r="AK1413" s="18" t="str">
        <f t="shared" si="111"/>
        <v/>
      </c>
      <c r="AL1413" s="18" t="str">
        <f t="shared" si="112"/>
        <v/>
      </c>
      <c r="AM1413" s="18" t="str">
        <f t="shared" si="113"/>
        <v/>
      </c>
    </row>
    <row r="1414" spans="1:39" x14ac:dyDescent="0.35">
      <c r="A1414" s="56" t="s">
        <v>1482</v>
      </c>
      <c r="B1414" s="31"/>
      <c r="C1414" s="54"/>
      <c r="D1414" s="31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E1414" s="57" t="str">
        <f t="shared" si="105"/>
        <v/>
      </c>
      <c r="AF1414" s="18" t="str">
        <f t="shared" si="106"/>
        <v/>
      </c>
      <c r="AG1414" s="18" t="str">
        <f t="shared" si="107"/>
        <v/>
      </c>
      <c r="AH1414" s="18" t="str">
        <f t="shared" si="108"/>
        <v/>
      </c>
      <c r="AI1414" s="18" t="str">
        <f t="shared" si="109"/>
        <v/>
      </c>
      <c r="AJ1414" s="18" t="str">
        <f t="shared" si="110"/>
        <v/>
      </c>
      <c r="AK1414" s="18" t="str">
        <f t="shared" si="111"/>
        <v/>
      </c>
      <c r="AL1414" s="18" t="str">
        <f t="shared" si="112"/>
        <v/>
      </c>
      <c r="AM1414" s="18" t="str">
        <f t="shared" si="113"/>
        <v/>
      </c>
    </row>
    <row r="1415" spans="1:39" x14ac:dyDescent="0.35">
      <c r="A1415" s="56" t="s">
        <v>1483</v>
      </c>
      <c r="B1415" s="31"/>
      <c r="C1415" s="54"/>
      <c r="D1415" s="31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E1415" s="57" t="str">
        <f t="shared" si="105"/>
        <v/>
      </c>
      <c r="AF1415" s="18" t="str">
        <f t="shared" si="106"/>
        <v/>
      </c>
      <c r="AG1415" s="18" t="str">
        <f t="shared" si="107"/>
        <v/>
      </c>
      <c r="AH1415" s="18" t="str">
        <f t="shared" si="108"/>
        <v/>
      </c>
      <c r="AI1415" s="18" t="str">
        <f t="shared" si="109"/>
        <v/>
      </c>
      <c r="AJ1415" s="18" t="str">
        <f t="shared" si="110"/>
        <v/>
      </c>
      <c r="AK1415" s="18" t="str">
        <f t="shared" si="111"/>
        <v/>
      </c>
      <c r="AL1415" s="18" t="str">
        <f t="shared" si="112"/>
        <v/>
      </c>
      <c r="AM1415" s="18" t="str">
        <f t="shared" si="113"/>
        <v/>
      </c>
    </row>
    <row r="1416" spans="1:39" x14ac:dyDescent="0.35">
      <c r="A1416" s="56" t="s">
        <v>1484</v>
      </c>
      <c r="B1416" s="31"/>
      <c r="C1416" s="54"/>
      <c r="D1416" s="31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E1416" s="57" t="str">
        <f t="shared" si="105"/>
        <v/>
      </c>
      <c r="AF1416" s="18" t="str">
        <f t="shared" si="106"/>
        <v/>
      </c>
      <c r="AG1416" s="18" t="str">
        <f t="shared" si="107"/>
        <v/>
      </c>
      <c r="AH1416" s="18" t="str">
        <f t="shared" si="108"/>
        <v/>
      </c>
      <c r="AI1416" s="18" t="str">
        <f t="shared" si="109"/>
        <v/>
      </c>
      <c r="AJ1416" s="18" t="str">
        <f t="shared" si="110"/>
        <v/>
      </c>
      <c r="AK1416" s="18" t="str">
        <f t="shared" si="111"/>
        <v/>
      </c>
      <c r="AL1416" s="18" t="str">
        <f t="shared" si="112"/>
        <v/>
      </c>
      <c r="AM1416" s="18" t="str">
        <f t="shared" si="113"/>
        <v/>
      </c>
    </row>
    <row r="1417" spans="1:39" x14ac:dyDescent="0.35">
      <c r="A1417" s="56" t="s">
        <v>1485</v>
      </c>
      <c r="B1417" s="31"/>
      <c r="C1417" s="54"/>
      <c r="D1417" s="31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E1417" s="57" t="str">
        <f t="shared" si="105"/>
        <v/>
      </c>
      <c r="AF1417" s="18" t="str">
        <f t="shared" si="106"/>
        <v/>
      </c>
      <c r="AG1417" s="18" t="str">
        <f t="shared" si="107"/>
        <v/>
      </c>
      <c r="AH1417" s="18" t="str">
        <f t="shared" si="108"/>
        <v/>
      </c>
      <c r="AI1417" s="18" t="str">
        <f t="shared" si="109"/>
        <v/>
      </c>
      <c r="AJ1417" s="18" t="str">
        <f t="shared" si="110"/>
        <v/>
      </c>
      <c r="AK1417" s="18" t="str">
        <f t="shared" si="111"/>
        <v/>
      </c>
      <c r="AL1417" s="18" t="str">
        <f t="shared" si="112"/>
        <v/>
      </c>
      <c r="AM1417" s="18" t="str">
        <f t="shared" si="113"/>
        <v/>
      </c>
    </row>
    <row r="1418" spans="1:39" x14ac:dyDescent="0.35">
      <c r="A1418" s="56" t="s">
        <v>1486</v>
      </c>
      <c r="B1418" s="31"/>
      <c r="C1418" s="54"/>
      <c r="D1418" s="31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E1418" s="57" t="str">
        <f t="shared" si="105"/>
        <v/>
      </c>
      <c r="AF1418" s="18" t="str">
        <f t="shared" si="106"/>
        <v/>
      </c>
      <c r="AG1418" s="18" t="str">
        <f t="shared" si="107"/>
        <v/>
      </c>
      <c r="AH1418" s="18" t="str">
        <f t="shared" si="108"/>
        <v/>
      </c>
      <c r="AI1418" s="18" t="str">
        <f t="shared" si="109"/>
        <v/>
      </c>
      <c r="AJ1418" s="18" t="str">
        <f t="shared" si="110"/>
        <v/>
      </c>
      <c r="AK1418" s="18" t="str">
        <f t="shared" si="111"/>
        <v/>
      </c>
      <c r="AL1418" s="18" t="str">
        <f t="shared" si="112"/>
        <v/>
      </c>
      <c r="AM1418" s="18" t="str">
        <f t="shared" si="113"/>
        <v/>
      </c>
    </row>
    <row r="1419" spans="1:39" x14ac:dyDescent="0.35">
      <c r="A1419" s="56" t="s">
        <v>1487</v>
      </c>
      <c r="B1419" s="31"/>
      <c r="C1419" s="54"/>
      <c r="D1419" s="31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E1419" s="57" t="str">
        <f t="shared" si="105"/>
        <v/>
      </c>
      <c r="AF1419" s="18" t="str">
        <f t="shared" si="106"/>
        <v/>
      </c>
      <c r="AG1419" s="18" t="str">
        <f t="shared" si="107"/>
        <v/>
      </c>
      <c r="AH1419" s="18" t="str">
        <f t="shared" si="108"/>
        <v/>
      </c>
      <c r="AI1419" s="18" t="str">
        <f t="shared" si="109"/>
        <v/>
      </c>
      <c r="AJ1419" s="18" t="str">
        <f t="shared" si="110"/>
        <v/>
      </c>
      <c r="AK1419" s="18" t="str">
        <f t="shared" si="111"/>
        <v/>
      </c>
      <c r="AL1419" s="18" t="str">
        <f t="shared" si="112"/>
        <v/>
      </c>
      <c r="AM1419" s="18" t="str">
        <f t="shared" si="113"/>
        <v/>
      </c>
    </row>
    <row r="1420" spans="1:39" x14ac:dyDescent="0.35">
      <c r="A1420" s="56" t="s">
        <v>1488</v>
      </c>
      <c r="B1420" s="31"/>
      <c r="C1420" s="54"/>
      <c r="D1420" s="31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E1420" s="57" t="str">
        <f t="shared" si="105"/>
        <v/>
      </c>
      <c r="AF1420" s="18" t="str">
        <f t="shared" si="106"/>
        <v/>
      </c>
      <c r="AG1420" s="18" t="str">
        <f t="shared" si="107"/>
        <v/>
      </c>
      <c r="AH1420" s="18" t="str">
        <f t="shared" si="108"/>
        <v/>
      </c>
      <c r="AI1420" s="18" t="str">
        <f t="shared" si="109"/>
        <v/>
      </c>
      <c r="AJ1420" s="18" t="str">
        <f t="shared" si="110"/>
        <v/>
      </c>
      <c r="AK1420" s="18" t="str">
        <f t="shared" si="111"/>
        <v/>
      </c>
      <c r="AL1420" s="18" t="str">
        <f t="shared" si="112"/>
        <v/>
      </c>
      <c r="AM1420" s="18" t="str">
        <f t="shared" si="113"/>
        <v/>
      </c>
    </row>
    <row r="1421" spans="1:39" x14ac:dyDescent="0.35">
      <c r="A1421" s="56" t="s">
        <v>1489</v>
      </c>
      <c r="B1421" s="31"/>
      <c r="C1421" s="54"/>
      <c r="D1421" s="31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E1421" s="57" t="str">
        <f t="shared" si="105"/>
        <v/>
      </c>
      <c r="AF1421" s="18" t="str">
        <f t="shared" si="106"/>
        <v/>
      </c>
      <c r="AG1421" s="18" t="str">
        <f t="shared" si="107"/>
        <v/>
      </c>
      <c r="AH1421" s="18" t="str">
        <f t="shared" si="108"/>
        <v/>
      </c>
      <c r="AI1421" s="18" t="str">
        <f t="shared" si="109"/>
        <v/>
      </c>
      <c r="AJ1421" s="18" t="str">
        <f t="shared" si="110"/>
        <v/>
      </c>
      <c r="AK1421" s="18" t="str">
        <f t="shared" si="111"/>
        <v/>
      </c>
      <c r="AL1421" s="18" t="str">
        <f t="shared" si="112"/>
        <v/>
      </c>
      <c r="AM1421" s="18" t="str">
        <f t="shared" si="113"/>
        <v/>
      </c>
    </row>
    <row r="1422" spans="1:39" x14ac:dyDescent="0.35">
      <c r="A1422" s="56" t="s">
        <v>1490</v>
      </c>
      <c r="B1422" s="31"/>
      <c r="C1422" s="54"/>
      <c r="D1422" s="31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E1422" s="57" t="str">
        <f t="shared" si="105"/>
        <v/>
      </c>
      <c r="AF1422" s="18" t="str">
        <f t="shared" si="106"/>
        <v/>
      </c>
      <c r="AG1422" s="18" t="str">
        <f t="shared" si="107"/>
        <v/>
      </c>
      <c r="AH1422" s="18" t="str">
        <f t="shared" si="108"/>
        <v/>
      </c>
      <c r="AI1422" s="18" t="str">
        <f t="shared" si="109"/>
        <v/>
      </c>
      <c r="AJ1422" s="18" t="str">
        <f t="shared" si="110"/>
        <v/>
      </c>
      <c r="AK1422" s="18" t="str">
        <f t="shared" si="111"/>
        <v/>
      </c>
      <c r="AL1422" s="18" t="str">
        <f t="shared" si="112"/>
        <v/>
      </c>
      <c r="AM1422" s="18" t="str">
        <f t="shared" si="113"/>
        <v/>
      </c>
    </row>
    <row r="1423" spans="1:39" x14ac:dyDescent="0.35">
      <c r="A1423" s="56" t="s">
        <v>1491</v>
      </c>
      <c r="B1423" s="31"/>
      <c r="C1423" s="54"/>
      <c r="D1423" s="31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E1423" s="57" t="str">
        <f t="shared" si="105"/>
        <v/>
      </c>
      <c r="AF1423" s="18" t="str">
        <f t="shared" si="106"/>
        <v/>
      </c>
      <c r="AG1423" s="18" t="str">
        <f t="shared" si="107"/>
        <v/>
      </c>
      <c r="AH1423" s="18" t="str">
        <f t="shared" si="108"/>
        <v/>
      </c>
      <c r="AI1423" s="18" t="str">
        <f t="shared" si="109"/>
        <v/>
      </c>
      <c r="AJ1423" s="18" t="str">
        <f t="shared" si="110"/>
        <v/>
      </c>
      <c r="AK1423" s="18" t="str">
        <f t="shared" si="111"/>
        <v/>
      </c>
      <c r="AL1423" s="18" t="str">
        <f t="shared" si="112"/>
        <v/>
      </c>
      <c r="AM1423" s="18" t="str">
        <f t="shared" si="113"/>
        <v/>
      </c>
    </row>
    <row r="1424" spans="1:39" x14ac:dyDescent="0.35">
      <c r="A1424" s="56" t="s">
        <v>1492</v>
      </c>
      <c r="B1424" s="31"/>
      <c r="C1424" s="54"/>
      <c r="D1424" s="31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E1424" s="57" t="str">
        <f t="shared" si="105"/>
        <v/>
      </c>
      <c r="AF1424" s="18" t="str">
        <f t="shared" si="106"/>
        <v/>
      </c>
      <c r="AG1424" s="18" t="str">
        <f t="shared" si="107"/>
        <v/>
      </c>
      <c r="AH1424" s="18" t="str">
        <f t="shared" si="108"/>
        <v/>
      </c>
      <c r="AI1424" s="18" t="str">
        <f t="shared" si="109"/>
        <v/>
      </c>
      <c r="AJ1424" s="18" t="str">
        <f t="shared" si="110"/>
        <v/>
      </c>
      <c r="AK1424" s="18" t="str">
        <f t="shared" si="111"/>
        <v/>
      </c>
      <c r="AL1424" s="18" t="str">
        <f t="shared" si="112"/>
        <v/>
      </c>
      <c r="AM1424" s="18" t="str">
        <f t="shared" si="113"/>
        <v/>
      </c>
    </row>
    <row r="1425" spans="1:39" x14ac:dyDescent="0.35">
      <c r="A1425" s="56" t="s">
        <v>1493</v>
      </c>
      <c r="B1425" s="31"/>
      <c r="C1425" s="54"/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E1425" s="57" t="str">
        <f t="shared" si="105"/>
        <v/>
      </c>
      <c r="AF1425" s="18" t="str">
        <f t="shared" si="106"/>
        <v/>
      </c>
      <c r="AG1425" s="18" t="str">
        <f t="shared" si="107"/>
        <v/>
      </c>
      <c r="AH1425" s="18" t="str">
        <f t="shared" si="108"/>
        <v/>
      </c>
      <c r="AI1425" s="18" t="str">
        <f t="shared" si="109"/>
        <v/>
      </c>
      <c r="AJ1425" s="18" t="str">
        <f t="shared" si="110"/>
        <v/>
      </c>
      <c r="AK1425" s="18" t="str">
        <f t="shared" si="111"/>
        <v/>
      </c>
      <c r="AL1425" s="18" t="str">
        <f t="shared" si="112"/>
        <v/>
      </c>
      <c r="AM1425" s="18" t="str">
        <f t="shared" si="113"/>
        <v/>
      </c>
    </row>
    <row r="1426" spans="1:39" x14ac:dyDescent="0.35">
      <c r="A1426" s="56" t="s">
        <v>1494</v>
      </c>
      <c r="B1426" s="31"/>
      <c r="C1426" s="54"/>
      <c r="D1426" s="31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E1426" s="57" t="str">
        <f t="shared" si="105"/>
        <v/>
      </c>
      <c r="AF1426" s="18" t="str">
        <f t="shared" si="106"/>
        <v/>
      </c>
      <c r="AG1426" s="18" t="str">
        <f t="shared" si="107"/>
        <v/>
      </c>
      <c r="AH1426" s="18" t="str">
        <f t="shared" si="108"/>
        <v/>
      </c>
      <c r="AI1426" s="18" t="str">
        <f t="shared" si="109"/>
        <v/>
      </c>
      <c r="AJ1426" s="18" t="str">
        <f t="shared" si="110"/>
        <v/>
      </c>
      <c r="AK1426" s="18" t="str">
        <f t="shared" si="111"/>
        <v/>
      </c>
      <c r="AL1426" s="18" t="str">
        <f t="shared" si="112"/>
        <v/>
      </c>
      <c r="AM1426" s="18" t="str">
        <f t="shared" si="113"/>
        <v/>
      </c>
    </row>
    <row r="1427" spans="1:39" x14ac:dyDescent="0.35">
      <c r="A1427" s="56" t="s">
        <v>1495</v>
      </c>
      <c r="B1427" s="31"/>
      <c r="C1427" s="54"/>
      <c r="D1427" s="31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E1427" s="57" t="str">
        <f t="shared" si="105"/>
        <v/>
      </c>
      <c r="AF1427" s="18" t="str">
        <f t="shared" si="106"/>
        <v/>
      </c>
      <c r="AG1427" s="18" t="str">
        <f t="shared" si="107"/>
        <v/>
      </c>
      <c r="AH1427" s="18" t="str">
        <f t="shared" si="108"/>
        <v/>
      </c>
      <c r="AI1427" s="18" t="str">
        <f t="shared" si="109"/>
        <v/>
      </c>
      <c r="AJ1427" s="18" t="str">
        <f t="shared" si="110"/>
        <v/>
      </c>
      <c r="AK1427" s="18" t="str">
        <f t="shared" si="111"/>
        <v/>
      </c>
      <c r="AL1427" s="18" t="str">
        <f t="shared" si="112"/>
        <v/>
      </c>
      <c r="AM1427" s="18" t="str">
        <f t="shared" si="113"/>
        <v/>
      </c>
    </row>
    <row r="1428" spans="1:39" x14ac:dyDescent="0.35">
      <c r="A1428" s="56" t="s">
        <v>1496</v>
      </c>
      <c r="B1428" s="31"/>
      <c r="C1428" s="54"/>
      <c r="D1428" s="31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E1428" s="57" t="str">
        <f t="shared" si="105"/>
        <v/>
      </c>
      <c r="AF1428" s="18" t="str">
        <f t="shared" si="106"/>
        <v/>
      </c>
      <c r="AG1428" s="18" t="str">
        <f t="shared" si="107"/>
        <v/>
      </c>
      <c r="AH1428" s="18" t="str">
        <f t="shared" si="108"/>
        <v/>
      </c>
      <c r="AI1428" s="18" t="str">
        <f t="shared" si="109"/>
        <v/>
      </c>
      <c r="AJ1428" s="18" t="str">
        <f t="shared" si="110"/>
        <v/>
      </c>
      <c r="AK1428" s="18" t="str">
        <f t="shared" si="111"/>
        <v/>
      </c>
      <c r="AL1428" s="18" t="str">
        <f t="shared" si="112"/>
        <v/>
      </c>
      <c r="AM1428" s="18" t="str">
        <f t="shared" si="113"/>
        <v/>
      </c>
    </row>
    <row r="1429" spans="1:39" x14ac:dyDescent="0.35">
      <c r="A1429" s="56" t="s">
        <v>1497</v>
      </c>
      <c r="B1429" s="31"/>
      <c r="C1429" s="54"/>
      <c r="D1429" s="31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E1429" s="57" t="str">
        <f t="shared" si="105"/>
        <v/>
      </c>
      <c r="AF1429" s="18" t="str">
        <f t="shared" si="106"/>
        <v/>
      </c>
      <c r="AG1429" s="18" t="str">
        <f t="shared" si="107"/>
        <v/>
      </c>
      <c r="AH1429" s="18" t="str">
        <f t="shared" si="108"/>
        <v/>
      </c>
      <c r="AI1429" s="18" t="str">
        <f t="shared" si="109"/>
        <v/>
      </c>
      <c r="AJ1429" s="18" t="str">
        <f t="shared" si="110"/>
        <v/>
      </c>
      <c r="AK1429" s="18" t="str">
        <f t="shared" si="111"/>
        <v/>
      </c>
      <c r="AL1429" s="18" t="str">
        <f t="shared" si="112"/>
        <v/>
      </c>
      <c r="AM1429" s="18" t="str">
        <f t="shared" si="113"/>
        <v/>
      </c>
    </row>
    <row r="1430" spans="1:39" x14ac:dyDescent="0.35">
      <c r="A1430" s="56" t="s">
        <v>1498</v>
      </c>
      <c r="B1430" s="31"/>
      <c r="C1430" s="54"/>
      <c r="D1430" s="31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E1430" s="57" t="str">
        <f t="shared" si="105"/>
        <v/>
      </c>
      <c r="AF1430" s="18" t="str">
        <f t="shared" si="106"/>
        <v/>
      </c>
      <c r="AG1430" s="18" t="str">
        <f t="shared" si="107"/>
        <v/>
      </c>
      <c r="AH1430" s="18" t="str">
        <f t="shared" si="108"/>
        <v/>
      </c>
      <c r="AI1430" s="18" t="str">
        <f t="shared" si="109"/>
        <v/>
      </c>
      <c r="AJ1430" s="18" t="str">
        <f t="shared" si="110"/>
        <v/>
      </c>
      <c r="AK1430" s="18" t="str">
        <f t="shared" si="111"/>
        <v/>
      </c>
      <c r="AL1430" s="18" t="str">
        <f t="shared" si="112"/>
        <v/>
      </c>
      <c r="AM1430" s="18" t="str">
        <f t="shared" si="113"/>
        <v/>
      </c>
    </row>
    <row r="1431" spans="1:39" x14ac:dyDescent="0.35">
      <c r="A1431" s="56" t="s">
        <v>1499</v>
      </c>
      <c r="B1431" s="31"/>
      <c r="C1431" s="54"/>
      <c r="D1431" s="31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E1431" s="57" t="str">
        <f t="shared" si="105"/>
        <v/>
      </c>
      <c r="AF1431" s="18" t="str">
        <f t="shared" si="106"/>
        <v/>
      </c>
      <c r="AG1431" s="18" t="str">
        <f t="shared" si="107"/>
        <v/>
      </c>
      <c r="AH1431" s="18" t="str">
        <f t="shared" si="108"/>
        <v/>
      </c>
      <c r="AI1431" s="18" t="str">
        <f t="shared" si="109"/>
        <v/>
      </c>
      <c r="AJ1431" s="18" t="str">
        <f t="shared" si="110"/>
        <v/>
      </c>
      <c r="AK1431" s="18" t="str">
        <f t="shared" si="111"/>
        <v/>
      </c>
      <c r="AL1431" s="18" t="str">
        <f t="shared" si="112"/>
        <v/>
      </c>
      <c r="AM1431" s="18" t="str">
        <f t="shared" si="113"/>
        <v/>
      </c>
    </row>
    <row r="1432" spans="1:39" x14ac:dyDescent="0.35">
      <c r="A1432" s="56" t="s">
        <v>1500</v>
      </c>
      <c r="B1432" s="31"/>
      <c r="C1432" s="54"/>
      <c r="D1432" s="31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E1432" s="57" t="str">
        <f t="shared" si="105"/>
        <v/>
      </c>
      <c r="AF1432" s="18" t="str">
        <f t="shared" si="106"/>
        <v/>
      </c>
      <c r="AG1432" s="18" t="str">
        <f t="shared" si="107"/>
        <v/>
      </c>
      <c r="AH1432" s="18" t="str">
        <f t="shared" si="108"/>
        <v/>
      </c>
      <c r="AI1432" s="18" t="str">
        <f t="shared" si="109"/>
        <v/>
      </c>
      <c r="AJ1432" s="18" t="str">
        <f t="shared" si="110"/>
        <v/>
      </c>
      <c r="AK1432" s="18" t="str">
        <f t="shared" si="111"/>
        <v/>
      </c>
      <c r="AL1432" s="18" t="str">
        <f t="shared" si="112"/>
        <v/>
      </c>
      <c r="AM1432" s="18" t="str">
        <f t="shared" si="113"/>
        <v/>
      </c>
    </row>
    <row r="1433" spans="1:39" x14ac:dyDescent="0.35">
      <c r="A1433" s="56" t="s">
        <v>1501</v>
      </c>
      <c r="B1433" s="31"/>
      <c r="C1433" s="54"/>
      <c r="D1433" s="31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E1433" s="57" t="str">
        <f t="shared" si="105"/>
        <v/>
      </c>
      <c r="AF1433" s="18" t="str">
        <f t="shared" si="106"/>
        <v/>
      </c>
      <c r="AG1433" s="18" t="str">
        <f t="shared" si="107"/>
        <v/>
      </c>
      <c r="AH1433" s="18" t="str">
        <f t="shared" si="108"/>
        <v/>
      </c>
      <c r="AI1433" s="18" t="str">
        <f t="shared" si="109"/>
        <v/>
      </c>
      <c r="AJ1433" s="18" t="str">
        <f t="shared" si="110"/>
        <v/>
      </c>
      <c r="AK1433" s="18" t="str">
        <f t="shared" si="111"/>
        <v/>
      </c>
      <c r="AL1433" s="18" t="str">
        <f t="shared" si="112"/>
        <v/>
      </c>
      <c r="AM1433" s="18" t="str">
        <f t="shared" si="113"/>
        <v/>
      </c>
    </row>
    <row r="1434" spans="1:39" x14ac:dyDescent="0.35">
      <c r="A1434" s="56" t="s">
        <v>1502</v>
      </c>
      <c r="B1434" s="31"/>
      <c r="C1434" s="54"/>
      <c r="D1434" s="31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E1434" s="57" t="str">
        <f t="shared" si="105"/>
        <v/>
      </c>
      <c r="AF1434" s="18" t="str">
        <f t="shared" si="106"/>
        <v/>
      </c>
      <c r="AG1434" s="18" t="str">
        <f t="shared" si="107"/>
        <v/>
      </c>
      <c r="AH1434" s="18" t="str">
        <f t="shared" si="108"/>
        <v/>
      </c>
      <c r="AI1434" s="18" t="str">
        <f t="shared" si="109"/>
        <v/>
      </c>
      <c r="AJ1434" s="18" t="str">
        <f t="shared" si="110"/>
        <v/>
      </c>
      <c r="AK1434" s="18" t="str">
        <f t="shared" si="111"/>
        <v/>
      </c>
      <c r="AL1434" s="18" t="str">
        <f t="shared" si="112"/>
        <v/>
      </c>
      <c r="AM1434" s="18" t="str">
        <f t="shared" si="113"/>
        <v/>
      </c>
    </row>
    <row r="1435" spans="1:39" x14ac:dyDescent="0.35">
      <c r="A1435" s="56" t="s">
        <v>1503</v>
      </c>
      <c r="B1435" s="31"/>
      <c r="C1435" s="54"/>
      <c r="D1435" s="31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E1435" s="57" t="str">
        <f t="shared" si="105"/>
        <v/>
      </c>
      <c r="AF1435" s="18" t="str">
        <f t="shared" si="106"/>
        <v/>
      </c>
      <c r="AG1435" s="18" t="str">
        <f t="shared" si="107"/>
        <v/>
      </c>
      <c r="AH1435" s="18" t="str">
        <f t="shared" si="108"/>
        <v/>
      </c>
      <c r="AI1435" s="18" t="str">
        <f t="shared" si="109"/>
        <v/>
      </c>
      <c r="AJ1435" s="18" t="str">
        <f t="shared" si="110"/>
        <v/>
      </c>
      <c r="AK1435" s="18" t="str">
        <f t="shared" si="111"/>
        <v/>
      </c>
      <c r="AL1435" s="18" t="str">
        <f t="shared" si="112"/>
        <v/>
      </c>
      <c r="AM1435" s="18" t="str">
        <f t="shared" si="113"/>
        <v/>
      </c>
    </row>
    <row r="1436" spans="1:39" x14ac:dyDescent="0.35">
      <c r="A1436" s="56" t="s">
        <v>1504</v>
      </c>
      <c r="B1436" s="31"/>
      <c r="C1436" s="54"/>
      <c r="D1436" s="31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E1436" s="57" t="str">
        <f t="shared" si="105"/>
        <v/>
      </c>
      <c r="AF1436" s="18" t="str">
        <f t="shared" si="106"/>
        <v/>
      </c>
      <c r="AG1436" s="18" t="str">
        <f t="shared" si="107"/>
        <v/>
      </c>
      <c r="AH1436" s="18" t="str">
        <f t="shared" si="108"/>
        <v/>
      </c>
      <c r="AI1436" s="18" t="str">
        <f t="shared" si="109"/>
        <v/>
      </c>
      <c r="AJ1436" s="18" t="str">
        <f t="shared" si="110"/>
        <v/>
      </c>
      <c r="AK1436" s="18" t="str">
        <f t="shared" si="111"/>
        <v/>
      </c>
      <c r="AL1436" s="18" t="str">
        <f t="shared" si="112"/>
        <v/>
      </c>
      <c r="AM1436" s="18" t="str">
        <f t="shared" si="113"/>
        <v/>
      </c>
    </row>
    <row r="1437" spans="1:39" x14ac:dyDescent="0.35">
      <c r="A1437" s="56" t="s">
        <v>1505</v>
      </c>
      <c r="B1437" s="31"/>
      <c r="C1437" s="54"/>
      <c r="D1437" s="31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E1437" s="57" t="str">
        <f t="shared" si="105"/>
        <v/>
      </c>
      <c r="AF1437" s="18" t="str">
        <f t="shared" si="106"/>
        <v/>
      </c>
      <c r="AG1437" s="18" t="str">
        <f t="shared" si="107"/>
        <v/>
      </c>
      <c r="AH1437" s="18" t="str">
        <f t="shared" si="108"/>
        <v/>
      </c>
      <c r="AI1437" s="18" t="str">
        <f t="shared" si="109"/>
        <v/>
      </c>
      <c r="AJ1437" s="18" t="str">
        <f t="shared" si="110"/>
        <v/>
      </c>
      <c r="AK1437" s="18" t="str">
        <f t="shared" si="111"/>
        <v/>
      </c>
      <c r="AL1437" s="18" t="str">
        <f t="shared" si="112"/>
        <v/>
      </c>
      <c r="AM1437" s="18" t="str">
        <f t="shared" si="113"/>
        <v/>
      </c>
    </row>
    <row r="1438" spans="1:39" x14ac:dyDescent="0.35">
      <c r="A1438" s="56" t="s">
        <v>1506</v>
      </c>
      <c r="B1438" s="31"/>
      <c r="C1438" s="54"/>
      <c r="D1438" s="31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E1438" s="57" t="str">
        <f t="shared" si="105"/>
        <v/>
      </c>
      <c r="AF1438" s="18" t="str">
        <f t="shared" si="106"/>
        <v/>
      </c>
      <c r="AG1438" s="18" t="str">
        <f t="shared" si="107"/>
        <v/>
      </c>
      <c r="AH1438" s="18" t="str">
        <f t="shared" si="108"/>
        <v/>
      </c>
      <c r="AI1438" s="18" t="str">
        <f t="shared" si="109"/>
        <v/>
      </c>
      <c r="AJ1438" s="18" t="str">
        <f t="shared" si="110"/>
        <v/>
      </c>
      <c r="AK1438" s="18" t="str">
        <f t="shared" si="111"/>
        <v/>
      </c>
      <c r="AL1438" s="18" t="str">
        <f t="shared" si="112"/>
        <v/>
      </c>
      <c r="AM1438" s="18" t="str">
        <f t="shared" si="113"/>
        <v/>
      </c>
    </row>
    <row r="1439" spans="1:39" x14ac:dyDescent="0.35">
      <c r="A1439" s="56" t="s">
        <v>1507</v>
      </c>
      <c r="B1439" s="31"/>
      <c r="C1439" s="54"/>
      <c r="D1439" s="31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E1439" s="57" t="str">
        <f t="shared" si="105"/>
        <v/>
      </c>
      <c r="AF1439" s="18" t="str">
        <f t="shared" si="106"/>
        <v/>
      </c>
      <c r="AG1439" s="18" t="str">
        <f t="shared" si="107"/>
        <v/>
      </c>
      <c r="AH1439" s="18" t="str">
        <f t="shared" si="108"/>
        <v/>
      </c>
      <c r="AI1439" s="18" t="str">
        <f t="shared" si="109"/>
        <v/>
      </c>
      <c r="AJ1439" s="18" t="str">
        <f t="shared" si="110"/>
        <v/>
      </c>
      <c r="AK1439" s="18" t="str">
        <f t="shared" si="111"/>
        <v/>
      </c>
      <c r="AL1439" s="18" t="str">
        <f t="shared" si="112"/>
        <v/>
      </c>
      <c r="AM1439" s="18" t="str">
        <f t="shared" si="113"/>
        <v/>
      </c>
    </row>
    <row r="1440" spans="1:39" x14ac:dyDescent="0.35">
      <c r="A1440" s="56" t="s">
        <v>1508</v>
      </c>
      <c r="B1440" s="31"/>
      <c r="C1440" s="54"/>
      <c r="D1440" s="31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E1440" s="57" t="str">
        <f t="shared" si="105"/>
        <v/>
      </c>
      <c r="AF1440" s="18" t="str">
        <f t="shared" si="106"/>
        <v/>
      </c>
      <c r="AG1440" s="18" t="str">
        <f t="shared" si="107"/>
        <v/>
      </c>
      <c r="AH1440" s="18" t="str">
        <f t="shared" si="108"/>
        <v/>
      </c>
      <c r="AI1440" s="18" t="str">
        <f t="shared" si="109"/>
        <v/>
      </c>
      <c r="AJ1440" s="18" t="str">
        <f t="shared" si="110"/>
        <v/>
      </c>
      <c r="AK1440" s="18" t="str">
        <f t="shared" si="111"/>
        <v/>
      </c>
      <c r="AL1440" s="18" t="str">
        <f t="shared" si="112"/>
        <v/>
      </c>
      <c r="AM1440" s="18" t="str">
        <f t="shared" si="113"/>
        <v/>
      </c>
    </row>
    <row r="1441" spans="1:39" x14ac:dyDescent="0.35">
      <c r="A1441" s="56" t="s">
        <v>1509</v>
      </c>
      <c r="B1441" s="31"/>
      <c r="C1441" s="54"/>
      <c r="D1441" s="31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E1441" s="57" t="str">
        <f t="shared" si="105"/>
        <v/>
      </c>
      <c r="AF1441" s="18" t="str">
        <f t="shared" si="106"/>
        <v/>
      </c>
      <c r="AG1441" s="18" t="str">
        <f t="shared" si="107"/>
        <v/>
      </c>
      <c r="AH1441" s="18" t="str">
        <f t="shared" si="108"/>
        <v/>
      </c>
      <c r="AI1441" s="18" t="str">
        <f t="shared" si="109"/>
        <v/>
      </c>
      <c r="AJ1441" s="18" t="str">
        <f t="shared" si="110"/>
        <v/>
      </c>
      <c r="AK1441" s="18" t="str">
        <f t="shared" si="111"/>
        <v/>
      </c>
      <c r="AL1441" s="18" t="str">
        <f t="shared" si="112"/>
        <v/>
      </c>
      <c r="AM1441" s="18" t="str">
        <f t="shared" si="113"/>
        <v/>
      </c>
    </row>
    <row r="1442" spans="1:39" x14ac:dyDescent="0.35">
      <c r="A1442" s="56" t="s">
        <v>1510</v>
      </c>
      <c r="B1442" s="31"/>
      <c r="C1442" s="54"/>
      <c r="D1442" s="31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E1442" s="57" t="str">
        <f t="shared" si="105"/>
        <v/>
      </c>
      <c r="AF1442" s="18" t="str">
        <f t="shared" si="106"/>
        <v/>
      </c>
      <c r="AG1442" s="18" t="str">
        <f t="shared" si="107"/>
        <v/>
      </c>
      <c r="AH1442" s="18" t="str">
        <f t="shared" si="108"/>
        <v/>
      </c>
      <c r="AI1442" s="18" t="str">
        <f t="shared" si="109"/>
        <v/>
      </c>
      <c r="AJ1442" s="18" t="str">
        <f t="shared" si="110"/>
        <v/>
      </c>
      <c r="AK1442" s="18" t="str">
        <f t="shared" si="111"/>
        <v/>
      </c>
      <c r="AL1442" s="18" t="str">
        <f t="shared" si="112"/>
        <v/>
      </c>
      <c r="AM1442" s="18" t="str">
        <f t="shared" si="113"/>
        <v/>
      </c>
    </row>
    <row r="1443" spans="1:39" x14ac:dyDescent="0.35">
      <c r="A1443" s="56" t="s">
        <v>1511</v>
      </c>
      <c r="B1443" s="31"/>
      <c r="C1443" s="54"/>
      <c r="D1443" s="31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E1443" s="57" t="str">
        <f t="shared" si="105"/>
        <v/>
      </c>
      <c r="AF1443" s="18" t="str">
        <f t="shared" si="106"/>
        <v/>
      </c>
      <c r="AG1443" s="18" t="str">
        <f t="shared" si="107"/>
        <v/>
      </c>
      <c r="AH1443" s="18" t="str">
        <f t="shared" si="108"/>
        <v/>
      </c>
      <c r="AI1443" s="18" t="str">
        <f t="shared" si="109"/>
        <v/>
      </c>
      <c r="AJ1443" s="18" t="str">
        <f t="shared" si="110"/>
        <v/>
      </c>
      <c r="AK1443" s="18" t="str">
        <f t="shared" si="111"/>
        <v/>
      </c>
      <c r="AL1443" s="18" t="str">
        <f t="shared" si="112"/>
        <v/>
      </c>
      <c r="AM1443" s="18" t="str">
        <f t="shared" si="113"/>
        <v/>
      </c>
    </row>
    <row r="1444" spans="1:39" x14ac:dyDescent="0.35">
      <c r="A1444" s="56" t="s">
        <v>1512</v>
      </c>
      <c r="B1444" s="31"/>
      <c r="C1444" s="54"/>
      <c r="D1444" s="31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E1444" s="57" t="str">
        <f t="shared" si="105"/>
        <v/>
      </c>
      <c r="AF1444" s="18" t="str">
        <f t="shared" si="106"/>
        <v/>
      </c>
      <c r="AG1444" s="18" t="str">
        <f t="shared" si="107"/>
        <v/>
      </c>
      <c r="AH1444" s="18" t="str">
        <f t="shared" si="108"/>
        <v/>
      </c>
      <c r="AI1444" s="18" t="str">
        <f t="shared" si="109"/>
        <v/>
      </c>
      <c r="AJ1444" s="18" t="str">
        <f t="shared" si="110"/>
        <v/>
      </c>
      <c r="AK1444" s="18" t="str">
        <f t="shared" si="111"/>
        <v/>
      </c>
      <c r="AL1444" s="18" t="str">
        <f t="shared" si="112"/>
        <v/>
      </c>
      <c r="AM1444" s="18" t="str">
        <f t="shared" si="113"/>
        <v/>
      </c>
    </row>
    <row r="1445" spans="1:39" x14ac:dyDescent="0.35">
      <c r="A1445" s="56" t="s">
        <v>1513</v>
      </c>
      <c r="B1445" s="31"/>
      <c r="C1445" s="54"/>
      <c r="D1445" s="31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E1445" s="57" t="str">
        <f t="shared" si="105"/>
        <v/>
      </c>
      <c r="AF1445" s="18" t="str">
        <f t="shared" si="106"/>
        <v/>
      </c>
      <c r="AG1445" s="18" t="str">
        <f t="shared" si="107"/>
        <v/>
      </c>
      <c r="AH1445" s="18" t="str">
        <f t="shared" si="108"/>
        <v/>
      </c>
      <c r="AI1445" s="18" t="str">
        <f t="shared" si="109"/>
        <v/>
      </c>
      <c r="AJ1445" s="18" t="str">
        <f t="shared" si="110"/>
        <v/>
      </c>
      <c r="AK1445" s="18" t="str">
        <f t="shared" si="111"/>
        <v/>
      </c>
      <c r="AL1445" s="18" t="str">
        <f t="shared" si="112"/>
        <v/>
      </c>
      <c r="AM1445" s="18" t="str">
        <f t="shared" si="113"/>
        <v/>
      </c>
    </row>
    <row r="1446" spans="1:39" x14ac:dyDescent="0.35">
      <c r="A1446" s="56" t="s">
        <v>1514</v>
      </c>
      <c r="B1446" s="31"/>
      <c r="C1446" s="54"/>
      <c r="D1446" s="31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E1446" s="57" t="str">
        <f t="shared" si="105"/>
        <v/>
      </c>
      <c r="AF1446" s="18" t="str">
        <f t="shared" si="106"/>
        <v/>
      </c>
      <c r="AG1446" s="18" t="str">
        <f t="shared" si="107"/>
        <v/>
      </c>
      <c r="AH1446" s="18" t="str">
        <f t="shared" si="108"/>
        <v/>
      </c>
      <c r="AI1446" s="18" t="str">
        <f t="shared" si="109"/>
        <v/>
      </c>
      <c r="AJ1446" s="18" t="str">
        <f t="shared" si="110"/>
        <v/>
      </c>
      <c r="AK1446" s="18" t="str">
        <f t="shared" si="111"/>
        <v/>
      </c>
      <c r="AL1446" s="18" t="str">
        <f t="shared" si="112"/>
        <v/>
      </c>
      <c r="AM1446" s="18" t="str">
        <f t="shared" si="113"/>
        <v/>
      </c>
    </row>
    <row r="1447" spans="1:39" x14ac:dyDescent="0.35">
      <c r="A1447" s="56" t="s">
        <v>1515</v>
      </c>
      <c r="B1447" s="31"/>
      <c r="C1447" s="54"/>
      <c r="D1447" s="31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E1447" s="57" t="str">
        <f t="shared" si="105"/>
        <v/>
      </c>
      <c r="AF1447" s="18" t="str">
        <f t="shared" si="106"/>
        <v/>
      </c>
      <c r="AG1447" s="18" t="str">
        <f t="shared" si="107"/>
        <v/>
      </c>
      <c r="AH1447" s="18" t="str">
        <f t="shared" si="108"/>
        <v/>
      </c>
      <c r="AI1447" s="18" t="str">
        <f t="shared" si="109"/>
        <v/>
      </c>
      <c r="AJ1447" s="18" t="str">
        <f t="shared" si="110"/>
        <v/>
      </c>
      <c r="AK1447" s="18" t="str">
        <f t="shared" si="111"/>
        <v/>
      </c>
      <c r="AL1447" s="18" t="str">
        <f t="shared" si="112"/>
        <v/>
      </c>
      <c r="AM1447" s="18" t="str">
        <f t="shared" si="113"/>
        <v/>
      </c>
    </row>
    <row r="1448" spans="1:39" x14ac:dyDescent="0.35">
      <c r="A1448" s="56" t="s">
        <v>1516</v>
      </c>
      <c r="B1448" s="31"/>
      <c r="C1448" s="54"/>
      <c r="D1448" s="31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E1448" s="57" t="str">
        <f t="shared" si="105"/>
        <v/>
      </c>
      <c r="AF1448" s="18" t="str">
        <f t="shared" si="106"/>
        <v/>
      </c>
      <c r="AG1448" s="18" t="str">
        <f t="shared" si="107"/>
        <v/>
      </c>
      <c r="AH1448" s="18" t="str">
        <f t="shared" si="108"/>
        <v/>
      </c>
      <c r="AI1448" s="18" t="str">
        <f t="shared" si="109"/>
        <v/>
      </c>
      <c r="AJ1448" s="18" t="str">
        <f t="shared" si="110"/>
        <v/>
      </c>
      <c r="AK1448" s="18" t="str">
        <f t="shared" si="111"/>
        <v/>
      </c>
      <c r="AL1448" s="18" t="str">
        <f t="shared" si="112"/>
        <v/>
      </c>
      <c r="AM1448" s="18" t="str">
        <f t="shared" si="113"/>
        <v/>
      </c>
    </row>
    <row r="1449" spans="1:39" x14ac:dyDescent="0.35">
      <c r="A1449" s="56" t="s">
        <v>1517</v>
      </c>
      <c r="B1449" s="31"/>
      <c r="C1449" s="54"/>
      <c r="D1449" s="31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E1449" s="57" t="str">
        <f t="shared" si="105"/>
        <v/>
      </c>
      <c r="AF1449" s="18" t="str">
        <f t="shared" si="106"/>
        <v/>
      </c>
      <c r="AG1449" s="18" t="str">
        <f t="shared" si="107"/>
        <v/>
      </c>
      <c r="AH1449" s="18" t="str">
        <f t="shared" si="108"/>
        <v/>
      </c>
      <c r="AI1449" s="18" t="str">
        <f t="shared" si="109"/>
        <v/>
      </c>
      <c r="AJ1449" s="18" t="str">
        <f t="shared" si="110"/>
        <v/>
      </c>
      <c r="AK1449" s="18" t="str">
        <f t="shared" si="111"/>
        <v/>
      </c>
      <c r="AL1449" s="18" t="str">
        <f t="shared" si="112"/>
        <v/>
      </c>
      <c r="AM1449" s="18" t="str">
        <f t="shared" si="113"/>
        <v/>
      </c>
    </row>
    <row r="1450" spans="1:39" x14ac:dyDescent="0.35">
      <c r="A1450" s="56" t="s">
        <v>1518</v>
      </c>
      <c r="B1450" s="31"/>
      <c r="C1450" s="54"/>
      <c r="D1450" s="31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E1450" s="57" t="str">
        <f t="shared" si="105"/>
        <v/>
      </c>
      <c r="AF1450" s="18" t="str">
        <f t="shared" si="106"/>
        <v/>
      </c>
      <c r="AG1450" s="18" t="str">
        <f t="shared" si="107"/>
        <v/>
      </c>
      <c r="AH1450" s="18" t="str">
        <f t="shared" si="108"/>
        <v/>
      </c>
      <c r="AI1450" s="18" t="str">
        <f t="shared" si="109"/>
        <v/>
      </c>
      <c r="AJ1450" s="18" t="str">
        <f t="shared" si="110"/>
        <v/>
      </c>
      <c r="AK1450" s="18" t="str">
        <f t="shared" si="111"/>
        <v/>
      </c>
      <c r="AL1450" s="18" t="str">
        <f t="shared" si="112"/>
        <v/>
      </c>
      <c r="AM1450" s="18" t="str">
        <f t="shared" si="113"/>
        <v/>
      </c>
    </row>
    <row r="1451" spans="1:39" x14ac:dyDescent="0.35">
      <c r="A1451" s="56" t="s">
        <v>1519</v>
      </c>
      <c r="B1451" s="31"/>
      <c r="C1451" s="54"/>
      <c r="D1451" s="31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E1451" s="57" t="str">
        <f t="shared" si="105"/>
        <v/>
      </c>
      <c r="AF1451" s="18" t="str">
        <f t="shared" si="106"/>
        <v/>
      </c>
      <c r="AG1451" s="18" t="str">
        <f t="shared" si="107"/>
        <v/>
      </c>
      <c r="AH1451" s="18" t="str">
        <f t="shared" si="108"/>
        <v/>
      </c>
      <c r="AI1451" s="18" t="str">
        <f t="shared" si="109"/>
        <v/>
      </c>
      <c r="AJ1451" s="18" t="str">
        <f t="shared" si="110"/>
        <v/>
      </c>
      <c r="AK1451" s="18" t="str">
        <f t="shared" si="111"/>
        <v/>
      </c>
      <c r="AL1451" s="18" t="str">
        <f t="shared" si="112"/>
        <v/>
      </c>
      <c r="AM1451" s="18" t="str">
        <f t="shared" si="113"/>
        <v/>
      </c>
    </row>
    <row r="1452" spans="1:39" x14ac:dyDescent="0.35">
      <c r="A1452" s="56" t="s">
        <v>1520</v>
      </c>
      <c r="B1452" s="31"/>
      <c r="C1452" s="54"/>
      <c r="D1452" s="31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E1452" s="57" t="str">
        <f t="shared" si="105"/>
        <v/>
      </c>
      <c r="AF1452" s="18" t="str">
        <f t="shared" si="106"/>
        <v/>
      </c>
      <c r="AG1452" s="18" t="str">
        <f t="shared" si="107"/>
        <v/>
      </c>
      <c r="AH1452" s="18" t="str">
        <f t="shared" si="108"/>
        <v/>
      </c>
      <c r="AI1452" s="18" t="str">
        <f t="shared" si="109"/>
        <v/>
      </c>
      <c r="AJ1452" s="18" t="str">
        <f t="shared" si="110"/>
        <v/>
      </c>
      <c r="AK1452" s="18" t="str">
        <f t="shared" si="111"/>
        <v/>
      </c>
      <c r="AL1452" s="18" t="str">
        <f t="shared" si="112"/>
        <v/>
      </c>
      <c r="AM1452" s="18" t="str">
        <f t="shared" si="113"/>
        <v/>
      </c>
    </row>
    <row r="1453" spans="1:39" x14ac:dyDescent="0.35">
      <c r="A1453" s="56" t="s">
        <v>1521</v>
      </c>
      <c r="B1453" s="31"/>
      <c r="C1453" s="54"/>
      <c r="D1453" s="31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E1453" s="57" t="str">
        <f t="shared" si="105"/>
        <v/>
      </c>
      <c r="AF1453" s="18" t="str">
        <f t="shared" si="106"/>
        <v/>
      </c>
      <c r="AG1453" s="18" t="str">
        <f t="shared" si="107"/>
        <v/>
      </c>
      <c r="AH1453" s="18" t="str">
        <f t="shared" si="108"/>
        <v/>
      </c>
      <c r="AI1453" s="18" t="str">
        <f t="shared" si="109"/>
        <v/>
      </c>
      <c r="AJ1453" s="18" t="str">
        <f t="shared" si="110"/>
        <v/>
      </c>
      <c r="AK1453" s="18" t="str">
        <f t="shared" si="111"/>
        <v/>
      </c>
      <c r="AL1453" s="18" t="str">
        <f t="shared" si="112"/>
        <v/>
      </c>
      <c r="AM1453" s="18" t="str">
        <f t="shared" si="113"/>
        <v/>
      </c>
    </row>
    <row r="1454" spans="1:39" x14ac:dyDescent="0.35">
      <c r="A1454" s="56" t="s">
        <v>1522</v>
      </c>
      <c r="B1454" s="31"/>
      <c r="C1454" s="54"/>
      <c r="D1454" s="31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E1454" s="57" t="str">
        <f t="shared" si="105"/>
        <v/>
      </c>
      <c r="AF1454" s="18" t="str">
        <f t="shared" si="106"/>
        <v/>
      </c>
      <c r="AG1454" s="18" t="str">
        <f t="shared" si="107"/>
        <v/>
      </c>
      <c r="AH1454" s="18" t="str">
        <f t="shared" si="108"/>
        <v/>
      </c>
      <c r="AI1454" s="18" t="str">
        <f t="shared" si="109"/>
        <v/>
      </c>
      <c r="AJ1454" s="18" t="str">
        <f t="shared" si="110"/>
        <v/>
      </c>
      <c r="AK1454" s="18" t="str">
        <f t="shared" si="111"/>
        <v/>
      </c>
      <c r="AL1454" s="18" t="str">
        <f t="shared" si="112"/>
        <v/>
      </c>
      <c r="AM1454" s="18" t="str">
        <f t="shared" si="113"/>
        <v/>
      </c>
    </row>
    <row r="1455" spans="1:39" x14ac:dyDescent="0.35">
      <c r="A1455" s="56" t="s">
        <v>1523</v>
      </c>
      <c r="B1455" s="31"/>
      <c r="C1455" s="54"/>
      <c r="D1455" s="31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E1455" s="57" t="str">
        <f t="shared" si="105"/>
        <v/>
      </c>
      <c r="AF1455" s="18" t="str">
        <f t="shared" si="106"/>
        <v/>
      </c>
      <c r="AG1455" s="18" t="str">
        <f t="shared" si="107"/>
        <v/>
      </c>
      <c r="AH1455" s="18" t="str">
        <f t="shared" si="108"/>
        <v/>
      </c>
      <c r="AI1455" s="18" t="str">
        <f t="shared" si="109"/>
        <v/>
      </c>
      <c r="AJ1455" s="18" t="str">
        <f t="shared" si="110"/>
        <v/>
      </c>
      <c r="AK1455" s="18" t="str">
        <f t="shared" si="111"/>
        <v/>
      </c>
      <c r="AL1455" s="18" t="str">
        <f t="shared" si="112"/>
        <v/>
      </c>
      <c r="AM1455" s="18" t="str">
        <f t="shared" si="113"/>
        <v/>
      </c>
    </row>
    <row r="1456" spans="1:39" x14ac:dyDescent="0.35">
      <c r="A1456" s="56" t="s">
        <v>1524</v>
      </c>
      <c r="B1456" s="31"/>
      <c r="C1456" s="54"/>
      <c r="D1456" s="31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E1456" s="57" t="str">
        <f t="shared" si="105"/>
        <v/>
      </c>
      <c r="AF1456" s="18" t="str">
        <f t="shared" si="106"/>
        <v/>
      </c>
      <c r="AG1456" s="18" t="str">
        <f t="shared" si="107"/>
        <v/>
      </c>
      <c r="AH1456" s="18" t="str">
        <f t="shared" si="108"/>
        <v/>
      </c>
      <c r="AI1456" s="18" t="str">
        <f t="shared" si="109"/>
        <v/>
      </c>
      <c r="AJ1456" s="18" t="str">
        <f t="shared" si="110"/>
        <v/>
      </c>
      <c r="AK1456" s="18" t="str">
        <f t="shared" si="111"/>
        <v/>
      </c>
      <c r="AL1456" s="18" t="str">
        <f t="shared" si="112"/>
        <v/>
      </c>
      <c r="AM1456" s="18" t="str">
        <f t="shared" si="113"/>
        <v/>
      </c>
    </row>
    <row r="1457" spans="1:39" x14ac:dyDescent="0.35">
      <c r="A1457" s="56" t="s">
        <v>1525</v>
      </c>
      <c r="B1457" s="31"/>
      <c r="C1457" s="54"/>
      <c r="D1457" s="31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E1457" s="57" t="str">
        <f t="shared" si="105"/>
        <v/>
      </c>
      <c r="AF1457" s="18" t="str">
        <f t="shared" si="106"/>
        <v/>
      </c>
      <c r="AG1457" s="18" t="str">
        <f t="shared" si="107"/>
        <v/>
      </c>
      <c r="AH1457" s="18" t="str">
        <f t="shared" si="108"/>
        <v/>
      </c>
      <c r="AI1457" s="18" t="str">
        <f t="shared" si="109"/>
        <v/>
      </c>
      <c r="AJ1457" s="18" t="str">
        <f t="shared" si="110"/>
        <v/>
      </c>
      <c r="AK1457" s="18" t="str">
        <f t="shared" si="111"/>
        <v/>
      </c>
      <c r="AL1457" s="18" t="str">
        <f t="shared" si="112"/>
        <v/>
      </c>
      <c r="AM1457" s="18" t="str">
        <f t="shared" si="113"/>
        <v/>
      </c>
    </row>
    <row r="1458" spans="1:39" x14ac:dyDescent="0.35">
      <c r="A1458" s="56" t="s">
        <v>1526</v>
      </c>
      <c r="B1458" s="31"/>
      <c r="C1458" s="54"/>
      <c r="D1458" s="31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E1458" s="57" t="str">
        <f t="shared" si="105"/>
        <v/>
      </c>
      <c r="AF1458" s="18" t="str">
        <f t="shared" si="106"/>
        <v/>
      </c>
      <c r="AG1458" s="18" t="str">
        <f t="shared" si="107"/>
        <v/>
      </c>
      <c r="AH1458" s="18" t="str">
        <f t="shared" si="108"/>
        <v/>
      </c>
      <c r="AI1458" s="18" t="str">
        <f t="shared" si="109"/>
        <v/>
      </c>
      <c r="AJ1458" s="18" t="str">
        <f t="shared" si="110"/>
        <v/>
      </c>
      <c r="AK1458" s="18" t="str">
        <f t="shared" si="111"/>
        <v/>
      </c>
      <c r="AL1458" s="18" t="str">
        <f t="shared" si="112"/>
        <v/>
      </c>
      <c r="AM1458" s="18" t="str">
        <f t="shared" si="113"/>
        <v/>
      </c>
    </row>
    <row r="1459" spans="1:39" x14ac:dyDescent="0.35">
      <c r="A1459" s="56" t="s">
        <v>1527</v>
      </c>
      <c r="B1459" s="31"/>
      <c r="C1459" s="54"/>
      <c r="D1459" s="31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E1459" s="57" t="str">
        <f t="shared" si="105"/>
        <v/>
      </c>
      <c r="AF1459" s="18" t="str">
        <f t="shared" si="106"/>
        <v/>
      </c>
      <c r="AG1459" s="18" t="str">
        <f t="shared" si="107"/>
        <v/>
      </c>
      <c r="AH1459" s="18" t="str">
        <f t="shared" si="108"/>
        <v/>
      </c>
      <c r="AI1459" s="18" t="str">
        <f t="shared" si="109"/>
        <v/>
      </c>
      <c r="AJ1459" s="18" t="str">
        <f t="shared" si="110"/>
        <v/>
      </c>
      <c r="AK1459" s="18" t="str">
        <f t="shared" si="111"/>
        <v/>
      </c>
      <c r="AL1459" s="18" t="str">
        <f t="shared" si="112"/>
        <v/>
      </c>
      <c r="AM1459" s="18" t="str">
        <f t="shared" si="113"/>
        <v/>
      </c>
    </row>
    <row r="1460" spans="1:39" x14ac:dyDescent="0.35">
      <c r="A1460" s="56" t="s">
        <v>1528</v>
      </c>
      <c r="B1460" s="31"/>
      <c r="C1460" s="54"/>
      <c r="D1460" s="31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E1460" s="57" t="str">
        <f t="shared" si="105"/>
        <v/>
      </c>
      <c r="AF1460" s="18" t="str">
        <f t="shared" si="106"/>
        <v/>
      </c>
      <c r="AG1460" s="18" t="str">
        <f t="shared" si="107"/>
        <v/>
      </c>
      <c r="AH1460" s="18" t="str">
        <f t="shared" si="108"/>
        <v/>
      </c>
      <c r="AI1460" s="18" t="str">
        <f t="shared" si="109"/>
        <v/>
      </c>
      <c r="AJ1460" s="18" t="str">
        <f t="shared" si="110"/>
        <v/>
      </c>
      <c r="AK1460" s="18" t="str">
        <f t="shared" si="111"/>
        <v/>
      </c>
      <c r="AL1460" s="18" t="str">
        <f t="shared" si="112"/>
        <v/>
      </c>
      <c r="AM1460" s="18" t="str">
        <f t="shared" si="113"/>
        <v/>
      </c>
    </row>
    <row r="1461" spans="1:39" x14ac:dyDescent="0.35">
      <c r="A1461" s="56" t="s">
        <v>1529</v>
      </c>
      <c r="B1461" s="31"/>
      <c r="C1461" s="54"/>
      <c r="D1461" s="31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E1461" s="57" t="str">
        <f t="shared" si="105"/>
        <v/>
      </c>
      <c r="AF1461" s="18" t="str">
        <f t="shared" si="106"/>
        <v/>
      </c>
      <c r="AG1461" s="18" t="str">
        <f t="shared" si="107"/>
        <v/>
      </c>
      <c r="AH1461" s="18" t="str">
        <f t="shared" si="108"/>
        <v/>
      </c>
      <c r="AI1461" s="18" t="str">
        <f t="shared" si="109"/>
        <v/>
      </c>
      <c r="AJ1461" s="18" t="str">
        <f t="shared" si="110"/>
        <v/>
      </c>
      <c r="AK1461" s="18" t="str">
        <f t="shared" si="111"/>
        <v/>
      </c>
      <c r="AL1461" s="18" t="str">
        <f t="shared" si="112"/>
        <v/>
      </c>
      <c r="AM1461" s="18" t="str">
        <f t="shared" si="113"/>
        <v/>
      </c>
    </row>
    <row r="1462" spans="1:39" x14ac:dyDescent="0.35">
      <c r="A1462" s="56" t="s">
        <v>1530</v>
      </c>
      <c r="B1462" s="31"/>
      <c r="C1462" s="54"/>
      <c r="D1462" s="31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E1462" s="57" t="str">
        <f t="shared" si="105"/>
        <v/>
      </c>
      <c r="AF1462" s="18" t="str">
        <f t="shared" si="106"/>
        <v/>
      </c>
      <c r="AG1462" s="18" t="str">
        <f t="shared" si="107"/>
        <v/>
      </c>
      <c r="AH1462" s="18" t="str">
        <f t="shared" si="108"/>
        <v/>
      </c>
      <c r="AI1462" s="18" t="str">
        <f t="shared" si="109"/>
        <v/>
      </c>
      <c r="AJ1462" s="18" t="str">
        <f t="shared" si="110"/>
        <v/>
      </c>
      <c r="AK1462" s="18" t="str">
        <f t="shared" si="111"/>
        <v/>
      </c>
      <c r="AL1462" s="18" t="str">
        <f t="shared" si="112"/>
        <v/>
      </c>
      <c r="AM1462" s="18" t="str">
        <f t="shared" si="113"/>
        <v/>
      </c>
    </row>
    <row r="1463" spans="1:39" x14ac:dyDescent="0.35">
      <c r="A1463" s="56" t="s">
        <v>1531</v>
      </c>
      <c r="B1463" s="31"/>
      <c r="C1463" s="54"/>
      <c r="D1463" s="31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E1463" s="57" t="str">
        <f t="shared" si="105"/>
        <v/>
      </c>
      <c r="AF1463" s="18" t="str">
        <f t="shared" si="106"/>
        <v/>
      </c>
      <c r="AG1463" s="18" t="str">
        <f t="shared" si="107"/>
        <v/>
      </c>
      <c r="AH1463" s="18" t="str">
        <f t="shared" si="108"/>
        <v/>
      </c>
      <c r="AI1463" s="18" t="str">
        <f t="shared" si="109"/>
        <v/>
      </c>
      <c r="AJ1463" s="18" t="str">
        <f t="shared" si="110"/>
        <v/>
      </c>
      <c r="AK1463" s="18" t="str">
        <f t="shared" si="111"/>
        <v/>
      </c>
      <c r="AL1463" s="18" t="str">
        <f t="shared" si="112"/>
        <v/>
      </c>
      <c r="AM1463" s="18" t="str">
        <f t="shared" si="113"/>
        <v/>
      </c>
    </row>
    <row r="1464" spans="1:39" x14ac:dyDescent="0.35">
      <c r="A1464" s="56" t="s">
        <v>1532</v>
      </c>
      <c r="B1464" s="31"/>
      <c r="C1464" s="54"/>
      <c r="D1464" s="31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E1464" s="57" t="str">
        <f t="shared" si="105"/>
        <v/>
      </c>
      <c r="AF1464" s="18" t="str">
        <f t="shared" si="106"/>
        <v/>
      </c>
      <c r="AG1464" s="18" t="str">
        <f t="shared" si="107"/>
        <v/>
      </c>
      <c r="AH1464" s="18" t="str">
        <f t="shared" si="108"/>
        <v/>
      </c>
      <c r="AI1464" s="18" t="str">
        <f t="shared" si="109"/>
        <v/>
      </c>
      <c r="AJ1464" s="18" t="str">
        <f t="shared" si="110"/>
        <v/>
      </c>
      <c r="AK1464" s="18" t="str">
        <f t="shared" si="111"/>
        <v/>
      </c>
      <c r="AL1464" s="18" t="str">
        <f t="shared" si="112"/>
        <v/>
      </c>
      <c r="AM1464" s="18" t="str">
        <f t="shared" si="113"/>
        <v/>
      </c>
    </row>
    <row r="1465" spans="1:39" x14ac:dyDescent="0.35">
      <c r="A1465" s="56" t="s">
        <v>1533</v>
      </c>
      <c r="B1465" s="31"/>
      <c r="C1465" s="54"/>
      <c r="D1465" s="31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E1465" s="57" t="str">
        <f t="shared" si="105"/>
        <v/>
      </c>
      <c r="AF1465" s="18" t="str">
        <f t="shared" si="106"/>
        <v/>
      </c>
      <c r="AG1465" s="18" t="str">
        <f t="shared" si="107"/>
        <v/>
      </c>
      <c r="AH1465" s="18" t="str">
        <f t="shared" si="108"/>
        <v/>
      </c>
      <c r="AI1465" s="18" t="str">
        <f t="shared" si="109"/>
        <v/>
      </c>
      <c r="AJ1465" s="18" t="str">
        <f t="shared" si="110"/>
        <v/>
      </c>
      <c r="AK1465" s="18" t="str">
        <f t="shared" si="111"/>
        <v/>
      </c>
      <c r="AL1465" s="18" t="str">
        <f t="shared" si="112"/>
        <v/>
      </c>
      <c r="AM1465" s="18" t="str">
        <f t="shared" si="113"/>
        <v/>
      </c>
    </row>
    <row r="1466" spans="1:39" x14ac:dyDescent="0.35">
      <c r="A1466" s="56" t="s">
        <v>1534</v>
      </c>
      <c r="B1466" s="31"/>
      <c r="C1466" s="54"/>
      <c r="D1466" s="31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E1466" s="57" t="str">
        <f t="shared" si="105"/>
        <v/>
      </c>
      <c r="AF1466" s="18" t="str">
        <f t="shared" si="106"/>
        <v/>
      </c>
      <c r="AG1466" s="18" t="str">
        <f t="shared" si="107"/>
        <v/>
      </c>
      <c r="AH1466" s="18" t="str">
        <f t="shared" si="108"/>
        <v/>
      </c>
      <c r="AI1466" s="18" t="str">
        <f t="shared" si="109"/>
        <v/>
      </c>
      <c r="AJ1466" s="18" t="str">
        <f t="shared" si="110"/>
        <v/>
      </c>
      <c r="AK1466" s="18" t="str">
        <f t="shared" si="111"/>
        <v/>
      </c>
      <c r="AL1466" s="18" t="str">
        <f t="shared" si="112"/>
        <v/>
      </c>
      <c r="AM1466" s="18" t="str">
        <f t="shared" si="113"/>
        <v/>
      </c>
    </row>
    <row r="1467" spans="1:39" x14ac:dyDescent="0.35">
      <c r="A1467" s="56" t="s">
        <v>1535</v>
      </c>
      <c r="B1467" s="31"/>
      <c r="C1467" s="54"/>
      <c r="D1467" s="31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E1467" s="57" t="str">
        <f t="shared" si="105"/>
        <v/>
      </c>
      <c r="AF1467" s="18" t="str">
        <f t="shared" si="106"/>
        <v/>
      </c>
      <c r="AG1467" s="18" t="str">
        <f t="shared" si="107"/>
        <v/>
      </c>
      <c r="AH1467" s="18" t="str">
        <f t="shared" si="108"/>
        <v/>
      </c>
      <c r="AI1467" s="18" t="str">
        <f t="shared" si="109"/>
        <v/>
      </c>
      <c r="AJ1467" s="18" t="str">
        <f t="shared" si="110"/>
        <v/>
      </c>
      <c r="AK1467" s="18" t="str">
        <f t="shared" si="111"/>
        <v/>
      </c>
      <c r="AL1467" s="18" t="str">
        <f t="shared" si="112"/>
        <v/>
      </c>
      <c r="AM1467" s="18" t="str">
        <f t="shared" si="113"/>
        <v/>
      </c>
    </row>
    <row r="1468" spans="1:39" x14ac:dyDescent="0.35">
      <c r="A1468" s="56" t="s">
        <v>1536</v>
      </c>
      <c r="B1468" s="31"/>
      <c r="C1468" s="54"/>
      <c r="D1468" s="31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E1468" s="57" t="str">
        <f t="shared" si="105"/>
        <v/>
      </c>
      <c r="AF1468" s="18" t="str">
        <f t="shared" si="106"/>
        <v/>
      </c>
      <c r="AG1468" s="18" t="str">
        <f t="shared" si="107"/>
        <v/>
      </c>
      <c r="AH1468" s="18" t="str">
        <f t="shared" si="108"/>
        <v/>
      </c>
      <c r="AI1468" s="18" t="str">
        <f t="shared" si="109"/>
        <v/>
      </c>
      <c r="AJ1468" s="18" t="str">
        <f t="shared" si="110"/>
        <v/>
      </c>
      <c r="AK1468" s="18" t="str">
        <f t="shared" si="111"/>
        <v/>
      </c>
      <c r="AL1468" s="18" t="str">
        <f t="shared" si="112"/>
        <v/>
      </c>
      <c r="AM1468" s="18" t="str">
        <f t="shared" si="113"/>
        <v/>
      </c>
    </row>
    <row r="1469" spans="1:39" x14ac:dyDescent="0.35">
      <c r="A1469" s="56" t="s">
        <v>1537</v>
      </c>
      <c r="B1469" s="31"/>
      <c r="C1469" s="54"/>
      <c r="D1469" s="31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E1469" s="57" t="str">
        <f t="shared" si="105"/>
        <v/>
      </c>
      <c r="AF1469" s="18" t="str">
        <f t="shared" si="106"/>
        <v/>
      </c>
      <c r="AG1469" s="18" t="str">
        <f t="shared" si="107"/>
        <v/>
      </c>
      <c r="AH1469" s="18" t="str">
        <f t="shared" si="108"/>
        <v/>
      </c>
      <c r="AI1469" s="18" t="str">
        <f t="shared" si="109"/>
        <v/>
      </c>
      <c r="AJ1469" s="18" t="str">
        <f t="shared" si="110"/>
        <v/>
      </c>
      <c r="AK1469" s="18" t="str">
        <f t="shared" si="111"/>
        <v/>
      </c>
      <c r="AL1469" s="18" t="str">
        <f t="shared" si="112"/>
        <v/>
      </c>
      <c r="AM1469" s="18" t="str">
        <f t="shared" si="113"/>
        <v/>
      </c>
    </row>
    <row r="1470" spans="1:39" x14ac:dyDescent="0.35">
      <c r="A1470" s="56" t="s">
        <v>1538</v>
      </c>
      <c r="B1470" s="31"/>
      <c r="C1470" s="54"/>
      <c r="D1470" s="31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E1470" s="57" t="str">
        <f t="shared" si="105"/>
        <v/>
      </c>
      <c r="AF1470" s="18" t="str">
        <f t="shared" si="106"/>
        <v/>
      </c>
      <c r="AG1470" s="18" t="str">
        <f t="shared" si="107"/>
        <v/>
      </c>
      <c r="AH1470" s="18" t="str">
        <f t="shared" si="108"/>
        <v/>
      </c>
      <c r="AI1470" s="18" t="str">
        <f t="shared" si="109"/>
        <v/>
      </c>
      <c r="AJ1470" s="18" t="str">
        <f t="shared" si="110"/>
        <v/>
      </c>
      <c r="AK1470" s="18" t="str">
        <f t="shared" si="111"/>
        <v/>
      </c>
      <c r="AL1470" s="18" t="str">
        <f t="shared" si="112"/>
        <v/>
      </c>
      <c r="AM1470" s="18" t="str">
        <f t="shared" si="113"/>
        <v/>
      </c>
    </row>
    <row r="1471" spans="1:39" x14ac:dyDescent="0.35">
      <c r="A1471" s="56" t="s">
        <v>1539</v>
      </c>
      <c r="B1471" s="31"/>
      <c r="C1471" s="54"/>
      <c r="D1471" s="31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E1471" s="57" t="str">
        <f t="shared" si="105"/>
        <v/>
      </c>
      <c r="AF1471" s="18" t="str">
        <f t="shared" si="106"/>
        <v/>
      </c>
      <c r="AG1471" s="18" t="str">
        <f t="shared" si="107"/>
        <v/>
      </c>
      <c r="AH1471" s="18" t="str">
        <f t="shared" si="108"/>
        <v/>
      </c>
      <c r="AI1471" s="18" t="str">
        <f t="shared" si="109"/>
        <v/>
      </c>
      <c r="AJ1471" s="18" t="str">
        <f t="shared" si="110"/>
        <v/>
      </c>
      <c r="AK1471" s="18" t="str">
        <f t="shared" si="111"/>
        <v/>
      </c>
      <c r="AL1471" s="18" t="str">
        <f t="shared" si="112"/>
        <v/>
      </c>
      <c r="AM1471" s="18" t="str">
        <f t="shared" si="113"/>
        <v/>
      </c>
    </row>
    <row r="1472" spans="1:39" x14ac:dyDescent="0.35">
      <c r="A1472" s="56" t="s">
        <v>1540</v>
      </c>
      <c r="B1472" s="31"/>
      <c r="C1472" s="54"/>
      <c r="D1472" s="31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E1472" s="57" t="str">
        <f t="shared" si="105"/>
        <v/>
      </c>
      <c r="AF1472" s="18" t="str">
        <f t="shared" si="106"/>
        <v/>
      </c>
      <c r="AG1472" s="18" t="str">
        <f t="shared" si="107"/>
        <v/>
      </c>
      <c r="AH1472" s="18" t="str">
        <f t="shared" si="108"/>
        <v/>
      </c>
      <c r="AI1472" s="18" t="str">
        <f t="shared" si="109"/>
        <v/>
      </c>
      <c r="AJ1472" s="18" t="str">
        <f t="shared" si="110"/>
        <v/>
      </c>
      <c r="AK1472" s="18" t="str">
        <f t="shared" si="111"/>
        <v/>
      </c>
      <c r="AL1472" s="18" t="str">
        <f t="shared" si="112"/>
        <v/>
      </c>
      <c r="AM1472" s="18" t="str">
        <f t="shared" si="113"/>
        <v/>
      </c>
    </row>
    <row r="1473" spans="1:39" x14ac:dyDescent="0.35">
      <c r="A1473" s="56" t="s">
        <v>1541</v>
      </c>
      <c r="B1473" s="31"/>
      <c r="C1473" s="54"/>
      <c r="D1473" s="31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E1473" s="57" t="str">
        <f t="shared" si="105"/>
        <v/>
      </c>
      <c r="AF1473" s="18" t="str">
        <f t="shared" si="106"/>
        <v/>
      </c>
      <c r="AG1473" s="18" t="str">
        <f t="shared" si="107"/>
        <v/>
      </c>
      <c r="AH1473" s="18" t="str">
        <f t="shared" si="108"/>
        <v/>
      </c>
      <c r="AI1473" s="18" t="str">
        <f t="shared" si="109"/>
        <v/>
      </c>
      <c r="AJ1473" s="18" t="str">
        <f t="shared" si="110"/>
        <v/>
      </c>
      <c r="AK1473" s="18" t="str">
        <f t="shared" si="111"/>
        <v/>
      </c>
      <c r="AL1473" s="18" t="str">
        <f t="shared" si="112"/>
        <v/>
      </c>
      <c r="AM1473" s="18" t="str">
        <f t="shared" si="113"/>
        <v/>
      </c>
    </row>
    <row r="1474" spans="1:39" x14ac:dyDescent="0.35">
      <c r="A1474" s="56" t="s">
        <v>1542</v>
      </c>
      <c r="B1474" s="31"/>
      <c r="C1474" s="54"/>
      <c r="D1474" s="31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E1474" s="57" t="str">
        <f t="shared" si="105"/>
        <v/>
      </c>
      <c r="AF1474" s="18" t="str">
        <f t="shared" si="106"/>
        <v/>
      </c>
      <c r="AG1474" s="18" t="str">
        <f t="shared" si="107"/>
        <v/>
      </c>
      <c r="AH1474" s="18" t="str">
        <f t="shared" si="108"/>
        <v/>
      </c>
      <c r="AI1474" s="18" t="str">
        <f t="shared" si="109"/>
        <v/>
      </c>
      <c r="AJ1474" s="18" t="str">
        <f t="shared" si="110"/>
        <v/>
      </c>
      <c r="AK1474" s="18" t="str">
        <f t="shared" si="111"/>
        <v/>
      </c>
      <c r="AL1474" s="18" t="str">
        <f t="shared" si="112"/>
        <v/>
      </c>
      <c r="AM1474" s="18" t="str">
        <f t="shared" si="113"/>
        <v/>
      </c>
    </row>
    <row r="1475" spans="1:39" x14ac:dyDescent="0.35">
      <c r="A1475" s="56" t="s">
        <v>1543</v>
      </c>
      <c r="B1475" s="31"/>
      <c r="C1475" s="54"/>
      <c r="D1475" s="31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E1475" s="57" t="str">
        <f t="shared" ref="AE1475:AE1538" si="114">IFERROR(VLOOKUP(AD1475,$A$2:$AA$2000,2,0),"")</f>
        <v/>
      </c>
      <c r="AF1475" s="18" t="str">
        <f t="shared" ref="AF1475:AF1538" si="115">IFERROR(VLOOKUP(AD1475,$A$2:$AA$2000,22,0),"")</f>
        <v/>
      </c>
      <c r="AG1475" s="18" t="str">
        <f t="shared" ref="AG1475:AG1538" si="116">IFERROR(VLOOKUP(AD1475,$A$2:$AA$2000,18,0),"")</f>
        <v/>
      </c>
      <c r="AH1475" s="18" t="str">
        <f t="shared" ref="AH1475:AH1538" si="117">IFERROR(VLOOKUP(AD1475,$A$2:$AA$2000,17,0),"")</f>
        <v/>
      </c>
      <c r="AI1475" s="18" t="str">
        <f t="shared" ref="AI1475:AI1538" si="118">IFERROR(VLOOKUP(AD1475,$A$2:$AA$2000,20,0),"")</f>
        <v/>
      </c>
      <c r="AJ1475" s="18" t="str">
        <f t="shared" ref="AJ1475:AJ1538" si="119">IFERROR(VLOOKUP(AD1475,$A$2:$AA$2000,9,0),"")</f>
        <v/>
      </c>
      <c r="AK1475" s="18" t="str">
        <f t="shared" ref="AK1475:AK1538" si="120">IFERROR(VLOOKUP(AD1475,$A$2:$AA$2000,5,0),"")</f>
        <v/>
      </c>
      <c r="AL1475" s="18" t="str">
        <f t="shared" ref="AL1475:AL1538" si="121">IFERROR(VLOOKUP(AD1475,$A$2:$AA$2000,4,0),"")</f>
        <v/>
      </c>
      <c r="AM1475" s="18" t="str">
        <f t="shared" ref="AM1475:AM1538" si="122">IFERROR(VLOOKUP(AD1475,$A$2:$AA$2000,7,0),"")</f>
        <v/>
      </c>
    </row>
    <row r="1476" spans="1:39" x14ac:dyDescent="0.35">
      <c r="A1476" s="56" t="s">
        <v>1544</v>
      </c>
      <c r="B1476" s="31"/>
      <c r="C1476" s="54"/>
      <c r="D1476" s="31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E1476" s="57" t="str">
        <f t="shared" si="114"/>
        <v/>
      </c>
      <c r="AF1476" s="18" t="str">
        <f t="shared" si="115"/>
        <v/>
      </c>
      <c r="AG1476" s="18" t="str">
        <f t="shared" si="116"/>
        <v/>
      </c>
      <c r="AH1476" s="18" t="str">
        <f t="shared" si="117"/>
        <v/>
      </c>
      <c r="AI1476" s="18" t="str">
        <f t="shared" si="118"/>
        <v/>
      </c>
      <c r="AJ1476" s="18" t="str">
        <f t="shared" si="119"/>
        <v/>
      </c>
      <c r="AK1476" s="18" t="str">
        <f t="shared" si="120"/>
        <v/>
      </c>
      <c r="AL1476" s="18" t="str">
        <f t="shared" si="121"/>
        <v/>
      </c>
      <c r="AM1476" s="18" t="str">
        <f t="shared" si="122"/>
        <v/>
      </c>
    </row>
    <row r="1477" spans="1:39" x14ac:dyDescent="0.35">
      <c r="A1477" s="56" t="s">
        <v>1545</v>
      </c>
      <c r="B1477" s="31"/>
      <c r="C1477" s="54"/>
      <c r="D1477" s="31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E1477" s="57" t="str">
        <f t="shared" si="114"/>
        <v/>
      </c>
      <c r="AF1477" s="18" t="str">
        <f t="shared" si="115"/>
        <v/>
      </c>
      <c r="AG1477" s="18" t="str">
        <f t="shared" si="116"/>
        <v/>
      </c>
      <c r="AH1477" s="18" t="str">
        <f t="shared" si="117"/>
        <v/>
      </c>
      <c r="AI1477" s="18" t="str">
        <f t="shared" si="118"/>
        <v/>
      </c>
      <c r="AJ1477" s="18" t="str">
        <f t="shared" si="119"/>
        <v/>
      </c>
      <c r="AK1477" s="18" t="str">
        <f t="shared" si="120"/>
        <v/>
      </c>
      <c r="AL1477" s="18" t="str">
        <f t="shared" si="121"/>
        <v/>
      </c>
      <c r="AM1477" s="18" t="str">
        <f t="shared" si="122"/>
        <v/>
      </c>
    </row>
    <row r="1478" spans="1:39" x14ac:dyDescent="0.35">
      <c r="A1478" s="56" t="s">
        <v>1546</v>
      </c>
      <c r="B1478" s="31"/>
      <c r="C1478" s="54"/>
      <c r="D1478" s="31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E1478" s="57" t="str">
        <f t="shared" si="114"/>
        <v/>
      </c>
      <c r="AF1478" s="18" t="str">
        <f t="shared" si="115"/>
        <v/>
      </c>
      <c r="AG1478" s="18" t="str">
        <f t="shared" si="116"/>
        <v/>
      </c>
      <c r="AH1478" s="18" t="str">
        <f t="shared" si="117"/>
        <v/>
      </c>
      <c r="AI1478" s="18" t="str">
        <f t="shared" si="118"/>
        <v/>
      </c>
      <c r="AJ1478" s="18" t="str">
        <f t="shared" si="119"/>
        <v/>
      </c>
      <c r="AK1478" s="18" t="str">
        <f t="shared" si="120"/>
        <v/>
      </c>
      <c r="AL1478" s="18" t="str">
        <f t="shared" si="121"/>
        <v/>
      </c>
      <c r="AM1478" s="18" t="str">
        <f t="shared" si="122"/>
        <v/>
      </c>
    </row>
    <row r="1479" spans="1:39" x14ac:dyDescent="0.35">
      <c r="A1479" s="56" t="s">
        <v>1547</v>
      </c>
      <c r="B1479" s="31"/>
      <c r="C1479" s="54"/>
      <c r="D1479" s="31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E1479" s="57" t="str">
        <f t="shared" si="114"/>
        <v/>
      </c>
      <c r="AF1479" s="18" t="str">
        <f t="shared" si="115"/>
        <v/>
      </c>
      <c r="AG1479" s="18" t="str">
        <f t="shared" si="116"/>
        <v/>
      </c>
      <c r="AH1479" s="18" t="str">
        <f t="shared" si="117"/>
        <v/>
      </c>
      <c r="AI1479" s="18" t="str">
        <f t="shared" si="118"/>
        <v/>
      </c>
      <c r="AJ1479" s="18" t="str">
        <f t="shared" si="119"/>
        <v/>
      </c>
      <c r="AK1479" s="18" t="str">
        <f t="shared" si="120"/>
        <v/>
      </c>
      <c r="AL1479" s="18" t="str">
        <f t="shared" si="121"/>
        <v/>
      </c>
      <c r="AM1479" s="18" t="str">
        <f t="shared" si="122"/>
        <v/>
      </c>
    </row>
    <row r="1480" spans="1:39" x14ac:dyDescent="0.35">
      <c r="A1480" s="56" t="s">
        <v>1548</v>
      </c>
      <c r="B1480" s="31"/>
      <c r="C1480" s="54"/>
      <c r="D1480" s="31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E1480" s="57" t="str">
        <f t="shared" si="114"/>
        <v/>
      </c>
      <c r="AF1480" s="18" t="str">
        <f t="shared" si="115"/>
        <v/>
      </c>
      <c r="AG1480" s="18" t="str">
        <f t="shared" si="116"/>
        <v/>
      </c>
      <c r="AH1480" s="18" t="str">
        <f t="shared" si="117"/>
        <v/>
      </c>
      <c r="AI1480" s="18" t="str">
        <f t="shared" si="118"/>
        <v/>
      </c>
      <c r="AJ1480" s="18" t="str">
        <f t="shared" si="119"/>
        <v/>
      </c>
      <c r="AK1480" s="18" t="str">
        <f t="shared" si="120"/>
        <v/>
      </c>
      <c r="AL1480" s="18" t="str">
        <f t="shared" si="121"/>
        <v/>
      </c>
      <c r="AM1480" s="18" t="str">
        <f t="shared" si="122"/>
        <v/>
      </c>
    </row>
    <row r="1481" spans="1:39" x14ac:dyDescent="0.35">
      <c r="A1481" s="56" t="s">
        <v>1549</v>
      </c>
      <c r="B1481" s="31"/>
      <c r="C1481" s="54"/>
      <c r="D1481" s="31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E1481" s="57" t="str">
        <f t="shared" si="114"/>
        <v/>
      </c>
      <c r="AF1481" s="18" t="str">
        <f t="shared" si="115"/>
        <v/>
      </c>
      <c r="AG1481" s="18" t="str">
        <f t="shared" si="116"/>
        <v/>
      </c>
      <c r="AH1481" s="18" t="str">
        <f t="shared" si="117"/>
        <v/>
      </c>
      <c r="AI1481" s="18" t="str">
        <f t="shared" si="118"/>
        <v/>
      </c>
      <c r="AJ1481" s="18" t="str">
        <f t="shared" si="119"/>
        <v/>
      </c>
      <c r="AK1481" s="18" t="str">
        <f t="shared" si="120"/>
        <v/>
      </c>
      <c r="AL1481" s="18" t="str">
        <f t="shared" si="121"/>
        <v/>
      </c>
      <c r="AM1481" s="18" t="str">
        <f t="shared" si="122"/>
        <v/>
      </c>
    </row>
    <row r="1482" spans="1:39" x14ac:dyDescent="0.35">
      <c r="A1482" s="56" t="s">
        <v>1550</v>
      </c>
      <c r="B1482" s="31"/>
      <c r="C1482" s="54"/>
      <c r="D1482" s="31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E1482" s="57" t="str">
        <f t="shared" si="114"/>
        <v/>
      </c>
      <c r="AF1482" s="18" t="str">
        <f t="shared" si="115"/>
        <v/>
      </c>
      <c r="AG1482" s="18" t="str">
        <f t="shared" si="116"/>
        <v/>
      </c>
      <c r="AH1482" s="18" t="str">
        <f t="shared" si="117"/>
        <v/>
      </c>
      <c r="AI1482" s="18" t="str">
        <f t="shared" si="118"/>
        <v/>
      </c>
      <c r="AJ1482" s="18" t="str">
        <f t="shared" si="119"/>
        <v/>
      </c>
      <c r="AK1482" s="18" t="str">
        <f t="shared" si="120"/>
        <v/>
      </c>
      <c r="AL1482" s="18" t="str">
        <f t="shared" si="121"/>
        <v/>
      </c>
      <c r="AM1482" s="18" t="str">
        <f t="shared" si="122"/>
        <v/>
      </c>
    </row>
    <row r="1483" spans="1:39" x14ac:dyDescent="0.35">
      <c r="A1483" s="56" t="s">
        <v>1551</v>
      </c>
      <c r="B1483" s="31"/>
      <c r="C1483" s="54"/>
      <c r="D1483" s="31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E1483" s="57" t="str">
        <f t="shared" si="114"/>
        <v/>
      </c>
      <c r="AF1483" s="18" t="str">
        <f t="shared" si="115"/>
        <v/>
      </c>
      <c r="AG1483" s="18" t="str">
        <f t="shared" si="116"/>
        <v/>
      </c>
      <c r="AH1483" s="18" t="str">
        <f t="shared" si="117"/>
        <v/>
      </c>
      <c r="AI1483" s="18" t="str">
        <f t="shared" si="118"/>
        <v/>
      </c>
      <c r="AJ1483" s="18" t="str">
        <f t="shared" si="119"/>
        <v/>
      </c>
      <c r="AK1483" s="18" t="str">
        <f t="shared" si="120"/>
        <v/>
      </c>
      <c r="AL1483" s="18" t="str">
        <f t="shared" si="121"/>
        <v/>
      </c>
      <c r="AM1483" s="18" t="str">
        <f t="shared" si="122"/>
        <v/>
      </c>
    </row>
    <row r="1484" spans="1:39" x14ac:dyDescent="0.35">
      <c r="A1484" s="56" t="s">
        <v>1552</v>
      </c>
      <c r="B1484" s="31"/>
      <c r="C1484" s="54"/>
      <c r="D1484" s="31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E1484" s="57" t="str">
        <f t="shared" si="114"/>
        <v/>
      </c>
      <c r="AF1484" s="18" t="str">
        <f t="shared" si="115"/>
        <v/>
      </c>
      <c r="AG1484" s="18" t="str">
        <f t="shared" si="116"/>
        <v/>
      </c>
      <c r="AH1484" s="18" t="str">
        <f t="shared" si="117"/>
        <v/>
      </c>
      <c r="AI1484" s="18" t="str">
        <f t="shared" si="118"/>
        <v/>
      </c>
      <c r="AJ1484" s="18" t="str">
        <f t="shared" si="119"/>
        <v/>
      </c>
      <c r="AK1484" s="18" t="str">
        <f t="shared" si="120"/>
        <v/>
      </c>
      <c r="AL1484" s="18" t="str">
        <f t="shared" si="121"/>
        <v/>
      </c>
      <c r="AM1484" s="18" t="str">
        <f t="shared" si="122"/>
        <v/>
      </c>
    </row>
    <row r="1485" spans="1:39" x14ac:dyDescent="0.35">
      <c r="A1485" s="56" t="s">
        <v>1553</v>
      </c>
      <c r="B1485" s="31"/>
      <c r="C1485" s="54"/>
      <c r="D1485" s="31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E1485" s="57" t="str">
        <f t="shared" si="114"/>
        <v/>
      </c>
      <c r="AF1485" s="18" t="str">
        <f t="shared" si="115"/>
        <v/>
      </c>
      <c r="AG1485" s="18" t="str">
        <f t="shared" si="116"/>
        <v/>
      </c>
      <c r="AH1485" s="18" t="str">
        <f t="shared" si="117"/>
        <v/>
      </c>
      <c r="AI1485" s="18" t="str">
        <f t="shared" si="118"/>
        <v/>
      </c>
      <c r="AJ1485" s="18" t="str">
        <f t="shared" si="119"/>
        <v/>
      </c>
      <c r="AK1485" s="18" t="str">
        <f t="shared" si="120"/>
        <v/>
      </c>
      <c r="AL1485" s="18" t="str">
        <f t="shared" si="121"/>
        <v/>
      </c>
      <c r="AM1485" s="18" t="str">
        <f t="shared" si="122"/>
        <v/>
      </c>
    </row>
    <row r="1486" spans="1:39" x14ac:dyDescent="0.35">
      <c r="A1486" s="56" t="s">
        <v>1554</v>
      </c>
      <c r="B1486" s="31"/>
      <c r="C1486" s="54"/>
      <c r="D1486" s="31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E1486" s="57" t="str">
        <f t="shared" si="114"/>
        <v/>
      </c>
      <c r="AF1486" s="18" t="str">
        <f t="shared" si="115"/>
        <v/>
      </c>
      <c r="AG1486" s="18" t="str">
        <f t="shared" si="116"/>
        <v/>
      </c>
      <c r="AH1486" s="18" t="str">
        <f t="shared" si="117"/>
        <v/>
      </c>
      <c r="AI1486" s="18" t="str">
        <f t="shared" si="118"/>
        <v/>
      </c>
      <c r="AJ1486" s="18" t="str">
        <f t="shared" si="119"/>
        <v/>
      </c>
      <c r="AK1486" s="18" t="str">
        <f t="shared" si="120"/>
        <v/>
      </c>
      <c r="AL1486" s="18" t="str">
        <f t="shared" si="121"/>
        <v/>
      </c>
      <c r="AM1486" s="18" t="str">
        <f t="shared" si="122"/>
        <v/>
      </c>
    </row>
    <row r="1487" spans="1:39" x14ac:dyDescent="0.35">
      <c r="A1487" s="56" t="s">
        <v>1555</v>
      </c>
      <c r="B1487" s="31"/>
      <c r="C1487" s="54"/>
      <c r="D1487" s="31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E1487" s="57" t="str">
        <f t="shared" si="114"/>
        <v/>
      </c>
      <c r="AF1487" s="18" t="str">
        <f t="shared" si="115"/>
        <v/>
      </c>
      <c r="AG1487" s="18" t="str">
        <f t="shared" si="116"/>
        <v/>
      </c>
      <c r="AH1487" s="18" t="str">
        <f t="shared" si="117"/>
        <v/>
      </c>
      <c r="AI1487" s="18" t="str">
        <f t="shared" si="118"/>
        <v/>
      </c>
      <c r="AJ1487" s="18" t="str">
        <f t="shared" si="119"/>
        <v/>
      </c>
      <c r="AK1487" s="18" t="str">
        <f t="shared" si="120"/>
        <v/>
      </c>
      <c r="AL1487" s="18" t="str">
        <f t="shared" si="121"/>
        <v/>
      </c>
      <c r="AM1487" s="18" t="str">
        <f t="shared" si="122"/>
        <v/>
      </c>
    </row>
    <row r="1488" spans="1:39" x14ac:dyDescent="0.35">
      <c r="A1488" s="56" t="s">
        <v>1556</v>
      </c>
      <c r="B1488" s="31"/>
      <c r="C1488" s="54"/>
      <c r="D1488" s="31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E1488" s="57" t="str">
        <f t="shared" si="114"/>
        <v/>
      </c>
      <c r="AF1488" s="18" t="str">
        <f t="shared" si="115"/>
        <v/>
      </c>
      <c r="AG1488" s="18" t="str">
        <f t="shared" si="116"/>
        <v/>
      </c>
      <c r="AH1488" s="18" t="str">
        <f t="shared" si="117"/>
        <v/>
      </c>
      <c r="AI1488" s="18" t="str">
        <f t="shared" si="118"/>
        <v/>
      </c>
      <c r="AJ1488" s="18" t="str">
        <f t="shared" si="119"/>
        <v/>
      </c>
      <c r="AK1488" s="18" t="str">
        <f t="shared" si="120"/>
        <v/>
      </c>
      <c r="AL1488" s="18" t="str">
        <f t="shared" si="121"/>
        <v/>
      </c>
      <c r="AM1488" s="18" t="str">
        <f t="shared" si="122"/>
        <v/>
      </c>
    </row>
    <row r="1489" spans="1:39" x14ac:dyDescent="0.35">
      <c r="A1489" s="56" t="s">
        <v>1557</v>
      </c>
      <c r="B1489" s="31"/>
      <c r="C1489" s="54"/>
      <c r="D1489" s="31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E1489" s="57" t="str">
        <f t="shared" si="114"/>
        <v/>
      </c>
      <c r="AF1489" s="18" t="str">
        <f t="shared" si="115"/>
        <v/>
      </c>
      <c r="AG1489" s="18" t="str">
        <f t="shared" si="116"/>
        <v/>
      </c>
      <c r="AH1489" s="18" t="str">
        <f t="shared" si="117"/>
        <v/>
      </c>
      <c r="AI1489" s="18" t="str">
        <f t="shared" si="118"/>
        <v/>
      </c>
      <c r="AJ1489" s="18" t="str">
        <f t="shared" si="119"/>
        <v/>
      </c>
      <c r="AK1489" s="18" t="str">
        <f t="shared" si="120"/>
        <v/>
      </c>
      <c r="AL1489" s="18" t="str">
        <f t="shared" si="121"/>
        <v/>
      </c>
      <c r="AM1489" s="18" t="str">
        <f t="shared" si="122"/>
        <v/>
      </c>
    </row>
    <row r="1490" spans="1:39" x14ac:dyDescent="0.35">
      <c r="A1490" s="56" t="s">
        <v>1558</v>
      </c>
      <c r="B1490" s="31"/>
      <c r="C1490" s="54"/>
      <c r="D1490" s="31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E1490" s="57" t="str">
        <f t="shared" si="114"/>
        <v/>
      </c>
      <c r="AF1490" s="18" t="str">
        <f t="shared" si="115"/>
        <v/>
      </c>
      <c r="AG1490" s="18" t="str">
        <f t="shared" si="116"/>
        <v/>
      </c>
      <c r="AH1490" s="18" t="str">
        <f t="shared" si="117"/>
        <v/>
      </c>
      <c r="AI1490" s="18" t="str">
        <f t="shared" si="118"/>
        <v/>
      </c>
      <c r="AJ1490" s="18" t="str">
        <f t="shared" si="119"/>
        <v/>
      </c>
      <c r="AK1490" s="18" t="str">
        <f t="shared" si="120"/>
        <v/>
      </c>
      <c r="AL1490" s="18" t="str">
        <f t="shared" si="121"/>
        <v/>
      </c>
      <c r="AM1490" s="18" t="str">
        <f t="shared" si="122"/>
        <v/>
      </c>
    </row>
    <row r="1491" spans="1:39" x14ac:dyDescent="0.35">
      <c r="A1491" s="56" t="s">
        <v>1559</v>
      </c>
      <c r="B1491" s="31"/>
      <c r="C1491" s="54"/>
      <c r="D1491" s="31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E1491" s="57" t="str">
        <f t="shared" si="114"/>
        <v/>
      </c>
      <c r="AF1491" s="18" t="str">
        <f t="shared" si="115"/>
        <v/>
      </c>
      <c r="AG1491" s="18" t="str">
        <f t="shared" si="116"/>
        <v/>
      </c>
      <c r="AH1491" s="18" t="str">
        <f t="shared" si="117"/>
        <v/>
      </c>
      <c r="AI1491" s="18" t="str">
        <f t="shared" si="118"/>
        <v/>
      </c>
      <c r="AJ1491" s="18" t="str">
        <f t="shared" si="119"/>
        <v/>
      </c>
      <c r="AK1491" s="18" t="str">
        <f t="shared" si="120"/>
        <v/>
      </c>
      <c r="AL1491" s="18" t="str">
        <f t="shared" si="121"/>
        <v/>
      </c>
      <c r="AM1491" s="18" t="str">
        <f t="shared" si="122"/>
        <v/>
      </c>
    </row>
    <row r="1492" spans="1:39" x14ac:dyDescent="0.35">
      <c r="A1492" s="56" t="s">
        <v>1560</v>
      </c>
      <c r="B1492" s="31"/>
      <c r="C1492" s="54"/>
      <c r="D1492" s="31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E1492" s="57" t="str">
        <f t="shared" si="114"/>
        <v/>
      </c>
      <c r="AF1492" s="18" t="str">
        <f t="shared" si="115"/>
        <v/>
      </c>
      <c r="AG1492" s="18" t="str">
        <f t="shared" si="116"/>
        <v/>
      </c>
      <c r="AH1492" s="18" t="str">
        <f t="shared" si="117"/>
        <v/>
      </c>
      <c r="AI1492" s="18" t="str">
        <f t="shared" si="118"/>
        <v/>
      </c>
      <c r="AJ1492" s="18" t="str">
        <f t="shared" si="119"/>
        <v/>
      </c>
      <c r="AK1492" s="18" t="str">
        <f t="shared" si="120"/>
        <v/>
      </c>
      <c r="AL1492" s="18" t="str">
        <f t="shared" si="121"/>
        <v/>
      </c>
      <c r="AM1492" s="18" t="str">
        <f t="shared" si="122"/>
        <v/>
      </c>
    </row>
    <row r="1493" spans="1:39" x14ac:dyDescent="0.35">
      <c r="A1493" s="56" t="s">
        <v>1561</v>
      </c>
      <c r="B1493" s="31"/>
      <c r="C1493" s="54"/>
      <c r="D1493" s="31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E1493" s="57" t="str">
        <f t="shared" si="114"/>
        <v/>
      </c>
      <c r="AF1493" s="18" t="str">
        <f t="shared" si="115"/>
        <v/>
      </c>
      <c r="AG1493" s="18" t="str">
        <f t="shared" si="116"/>
        <v/>
      </c>
      <c r="AH1493" s="18" t="str">
        <f t="shared" si="117"/>
        <v/>
      </c>
      <c r="AI1493" s="18" t="str">
        <f t="shared" si="118"/>
        <v/>
      </c>
      <c r="AJ1493" s="18" t="str">
        <f t="shared" si="119"/>
        <v/>
      </c>
      <c r="AK1493" s="18" t="str">
        <f t="shared" si="120"/>
        <v/>
      </c>
      <c r="AL1493" s="18" t="str">
        <f t="shared" si="121"/>
        <v/>
      </c>
      <c r="AM1493" s="18" t="str">
        <f t="shared" si="122"/>
        <v/>
      </c>
    </row>
    <row r="1494" spans="1:39" x14ac:dyDescent="0.35">
      <c r="A1494" s="56" t="s">
        <v>1562</v>
      </c>
      <c r="B1494" s="31"/>
      <c r="C1494" s="54"/>
      <c r="D1494" s="31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E1494" s="57" t="str">
        <f t="shared" si="114"/>
        <v/>
      </c>
      <c r="AF1494" s="18" t="str">
        <f t="shared" si="115"/>
        <v/>
      </c>
      <c r="AG1494" s="18" t="str">
        <f t="shared" si="116"/>
        <v/>
      </c>
      <c r="AH1494" s="18" t="str">
        <f t="shared" si="117"/>
        <v/>
      </c>
      <c r="AI1494" s="18" t="str">
        <f t="shared" si="118"/>
        <v/>
      </c>
      <c r="AJ1494" s="18" t="str">
        <f t="shared" si="119"/>
        <v/>
      </c>
      <c r="AK1494" s="18" t="str">
        <f t="shared" si="120"/>
        <v/>
      </c>
      <c r="AL1494" s="18" t="str">
        <f t="shared" si="121"/>
        <v/>
      </c>
      <c r="AM1494" s="18" t="str">
        <f t="shared" si="122"/>
        <v/>
      </c>
    </row>
    <row r="1495" spans="1:39" x14ac:dyDescent="0.35">
      <c r="A1495" s="56" t="s">
        <v>1563</v>
      </c>
      <c r="B1495" s="31"/>
      <c r="C1495" s="54"/>
      <c r="D1495" s="31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E1495" s="57" t="str">
        <f t="shared" si="114"/>
        <v/>
      </c>
      <c r="AF1495" s="18" t="str">
        <f t="shared" si="115"/>
        <v/>
      </c>
      <c r="AG1495" s="18" t="str">
        <f t="shared" si="116"/>
        <v/>
      </c>
      <c r="AH1495" s="18" t="str">
        <f t="shared" si="117"/>
        <v/>
      </c>
      <c r="AI1495" s="18" t="str">
        <f t="shared" si="118"/>
        <v/>
      </c>
      <c r="AJ1495" s="18" t="str">
        <f t="shared" si="119"/>
        <v/>
      </c>
      <c r="AK1495" s="18" t="str">
        <f t="shared" si="120"/>
        <v/>
      </c>
      <c r="AL1495" s="18" t="str">
        <f t="shared" si="121"/>
        <v/>
      </c>
      <c r="AM1495" s="18" t="str">
        <f t="shared" si="122"/>
        <v/>
      </c>
    </row>
    <row r="1496" spans="1:39" x14ac:dyDescent="0.35">
      <c r="A1496" s="56" t="s">
        <v>1564</v>
      </c>
      <c r="B1496" s="31"/>
      <c r="C1496" s="54"/>
      <c r="D1496" s="31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E1496" s="57" t="str">
        <f t="shared" si="114"/>
        <v/>
      </c>
      <c r="AF1496" s="18" t="str">
        <f t="shared" si="115"/>
        <v/>
      </c>
      <c r="AG1496" s="18" t="str">
        <f t="shared" si="116"/>
        <v/>
      </c>
      <c r="AH1496" s="18" t="str">
        <f t="shared" si="117"/>
        <v/>
      </c>
      <c r="AI1496" s="18" t="str">
        <f t="shared" si="118"/>
        <v/>
      </c>
      <c r="AJ1496" s="18" t="str">
        <f t="shared" si="119"/>
        <v/>
      </c>
      <c r="AK1496" s="18" t="str">
        <f t="shared" si="120"/>
        <v/>
      </c>
      <c r="AL1496" s="18" t="str">
        <f t="shared" si="121"/>
        <v/>
      </c>
      <c r="AM1496" s="18" t="str">
        <f t="shared" si="122"/>
        <v/>
      </c>
    </row>
    <row r="1497" spans="1:39" x14ac:dyDescent="0.35">
      <c r="A1497" s="56" t="s">
        <v>1565</v>
      </c>
      <c r="B1497" s="31"/>
      <c r="C1497" s="54"/>
      <c r="D1497" s="31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E1497" s="57" t="str">
        <f t="shared" si="114"/>
        <v/>
      </c>
      <c r="AF1497" s="18" t="str">
        <f t="shared" si="115"/>
        <v/>
      </c>
      <c r="AG1497" s="18" t="str">
        <f t="shared" si="116"/>
        <v/>
      </c>
      <c r="AH1497" s="18" t="str">
        <f t="shared" si="117"/>
        <v/>
      </c>
      <c r="AI1497" s="18" t="str">
        <f t="shared" si="118"/>
        <v/>
      </c>
      <c r="AJ1497" s="18" t="str">
        <f t="shared" si="119"/>
        <v/>
      </c>
      <c r="AK1497" s="18" t="str">
        <f t="shared" si="120"/>
        <v/>
      </c>
      <c r="AL1497" s="18" t="str">
        <f t="shared" si="121"/>
        <v/>
      </c>
      <c r="AM1497" s="18" t="str">
        <f t="shared" si="122"/>
        <v/>
      </c>
    </row>
    <row r="1498" spans="1:39" x14ac:dyDescent="0.35">
      <c r="A1498" s="56" t="s">
        <v>1566</v>
      </c>
      <c r="B1498" s="31"/>
      <c r="C1498" s="54"/>
      <c r="D1498" s="31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E1498" s="57" t="str">
        <f t="shared" si="114"/>
        <v/>
      </c>
      <c r="AF1498" s="18" t="str">
        <f t="shared" si="115"/>
        <v/>
      </c>
      <c r="AG1498" s="18" t="str">
        <f t="shared" si="116"/>
        <v/>
      </c>
      <c r="AH1498" s="18" t="str">
        <f t="shared" si="117"/>
        <v/>
      </c>
      <c r="AI1498" s="18" t="str">
        <f t="shared" si="118"/>
        <v/>
      </c>
      <c r="AJ1498" s="18" t="str">
        <f t="shared" si="119"/>
        <v/>
      </c>
      <c r="AK1498" s="18" t="str">
        <f t="shared" si="120"/>
        <v/>
      </c>
      <c r="AL1498" s="18" t="str">
        <f t="shared" si="121"/>
        <v/>
      </c>
      <c r="AM1498" s="18" t="str">
        <f t="shared" si="122"/>
        <v/>
      </c>
    </row>
    <row r="1499" spans="1:39" x14ac:dyDescent="0.35">
      <c r="A1499" s="56" t="s">
        <v>1567</v>
      </c>
      <c r="B1499" s="31"/>
      <c r="C1499" s="54"/>
      <c r="D1499" s="31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E1499" s="57" t="str">
        <f t="shared" si="114"/>
        <v/>
      </c>
      <c r="AF1499" s="18" t="str">
        <f t="shared" si="115"/>
        <v/>
      </c>
      <c r="AG1499" s="18" t="str">
        <f t="shared" si="116"/>
        <v/>
      </c>
      <c r="AH1499" s="18" t="str">
        <f t="shared" si="117"/>
        <v/>
      </c>
      <c r="AI1499" s="18" t="str">
        <f t="shared" si="118"/>
        <v/>
      </c>
      <c r="AJ1499" s="18" t="str">
        <f t="shared" si="119"/>
        <v/>
      </c>
      <c r="AK1499" s="18" t="str">
        <f t="shared" si="120"/>
        <v/>
      </c>
      <c r="AL1499" s="18" t="str">
        <f t="shared" si="121"/>
        <v/>
      </c>
      <c r="AM1499" s="18" t="str">
        <f t="shared" si="122"/>
        <v/>
      </c>
    </row>
    <row r="1500" spans="1:39" x14ac:dyDescent="0.35">
      <c r="A1500" s="56" t="s">
        <v>1568</v>
      </c>
      <c r="B1500" s="31"/>
      <c r="C1500" s="54"/>
      <c r="D1500" s="31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E1500" s="57" t="str">
        <f t="shared" si="114"/>
        <v/>
      </c>
      <c r="AF1500" s="18" t="str">
        <f t="shared" si="115"/>
        <v/>
      </c>
      <c r="AG1500" s="18" t="str">
        <f t="shared" si="116"/>
        <v/>
      </c>
      <c r="AH1500" s="18" t="str">
        <f t="shared" si="117"/>
        <v/>
      </c>
      <c r="AI1500" s="18" t="str">
        <f t="shared" si="118"/>
        <v/>
      </c>
      <c r="AJ1500" s="18" t="str">
        <f t="shared" si="119"/>
        <v/>
      </c>
      <c r="AK1500" s="18" t="str">
        <f t="shared" si="120"/>
        <v/>
      </c>
      <c r="AL1500" s="18" t="str">
        <f t="shared" si="121"/>
        <v/>
      </c>
      <c r="AM1500" s="18" t="str">
        <f t="shared" si="122"/>
        <v/>
      </c>
    </row>
    <row r="1501" spans="1:39" x14ac:dyDescent="0.35">
      <c r="A1501" s="56" t="s">
        <v>1569</v>
      </c>
      <c r="B1501" s="31"/>
      <c r="C1501" s="54"/>
      <c r="D1501" s="31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E1501" s="57" t="str">
        <f t="shared" si="114"/>
        <v/>
      </c>
      <c r="AF1501" s="18" t="str">
        <f t="shared" si="115"/>
        <v/>
      </c>
      <c r="AG1501" s="18" t="str">
        <f t="shared" si="116"/>
        <v/>
      </c>
      <c r="AH1501" s="18" t="str">
        <f t="shared" si="117"/>
        <v/>
      </c>
      <c r="AI1501" s="18" t="str">
        <f t="shared" si="118"/>
        <v/>
      </c>
      <c r="AJ1501" s="18" t="str">
        <f t="shared" si="119"/>
        <v/>
      </c>
      <c r="AK1501" s="18" t="str">
        <f t="shared" si="120"/>
        <v/>
      </c>
      <c r="AL1501" s="18" t="str">
        <f t="shared" si="121"/>
        <v/>
      </c>
      <c r="AM1501" s="18" t="str">
        <f t="shared" si="122"/>
        <v/>
      </c>
    </row>
    <row r="1502" spans="1:39" x14ac:dyDescent="0.35">
      <c r="A1502" s="56" t="s">
        <v>1570</v>
      </c>
      <c r="B1502" s="31"/>
      <c r="C1502" s="54"/>
      <c r="D1502" s="31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E1502" s="57" t="str">
        <f t="shared" si="114"/>
        <v/>
      </c>
      <c r="AF1502" s="18" t="str">
        <f t="shared" si="115"/>
        <v/>
      </c>
      <c r="AG1502" s="18" t="str">
        <f t="shared" si="116"/>
        <v/>
      </c>
      <c r="AH1502" s="18" t="str">
        <f t="shared" si="117"/>
        <v/>
      </c>
      <c r="AI1502" s="18" t="str">
        <f t="shared" si="118"/>
        <v/>
      </c>
      <c r="AJ1502" s="18" t="str">
        <f t="shared" si="119"/>
        <v/>
      </c>
      <c r="AK1502" s="18" t="str">
        <f t="shared" si="120"/>
        <v/>
      </c>
      <c r="AL1502" s="18" t="str">
        <f t="shared" si="121"/>
        <v/>
      </c>
      <c r="AM1502" s="18" t="str">
        <f t="shared" si="122"/>
        <v/>
      </c>
    </row>
    <row r="1503" spans="1:39" x14ac:dyDescent="0.35">
      <c r="A1503" s="56" t="s">
        <v>1571</v>
      </c>
      <c r="B1503" s="31"/>
      <c r="C1503" s="54"/>
      <c r="D1503" s="31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E1503" s="57" t="str">
        <f t="shared" si="114"/>
        <v/>
      </c>
      <c r="AF1503" s="18" t="str">
        <f t="shared" si="115"/>
        <v/>
      </c>
      <c r="AG1503" s="18" t="str">
        <f t="shared" si="116"/>
        <v/>
      </c>
      <c r="AH1503" s="18" t="str">
        <f t="shared" si="117"/>
        <v/>
      </c>
      <c r="AI1503" s="18" t="str">
        <f t="shared" si="118"/>
        <v/>
      </c>
      <c r="AJ1503" s="18" t="str">
        <f t="shared" si="119"/>
        <v/>
      </c>
      <c r="AK1503" s="18" t="str">
        <f t="shared" si="120"/>
        <v/>
      </c>
      <c r="AL1503" s="18" t="str">
        <f t="shared" si="121"/>
        <v/>
      </c>
      <c r="AM1503" s="18" t="str">
        <f t="shared" si="122"/>
        <v/>
      </c>
    </row>
    <row r="1504" spans="1:39" x14ac:dyDescent="0.35">
      <c r="A1504" s="56" t="s">
        <v>1572</v>
      </c>
      <c r="B1504" s="31"/>
      <c r="C1504" s="54"/>
      <c r="D1504" s="31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E1504" s="57" t="str">
        <f t="shared" si="114"/>
        <v/>
      </c>
      <c r="AF1504" s="18" t="str">
        <f t="shared" si="115"/>
        <v/>
      </c>
      <c r="AG1504" s="18" t="str">
        <f t="shared" si="116"/>
        <v/>
      </c>
      <c r="AH1504" s="18" t="str">
        <f t="shared" si="117"/>
        <v/>
      </c>
      <c r="AI1504" s="18" t="str">
        <f t="shared" si="118"/>
        <v/>
      </c>
      <c r="AJ1504" s="18" t="str">
        <f t="shared" si="119"/>
        <v/>
      </c>
      <c r="AK1504" s="18" t="str">
        <f t="shared" si="120"/>
        <v/>
      </c>
      <c r="AL1504" s="18" t="str">
        <f t="shared" si="121"/>
        <v/>
      </c>
      <c r="AM1504" s="18" t="str">
        <f t="shared" si="122"/>
        <v/>
      </c>
    </row>
    <row r="1505" spans="1:39" x14ac:dyDescent="0.35">
      <c r="A1505" s="56" t="s">
        <v>1573</v>
      </c>
      <c r="B1505" s="31"/>
      <c r="C1505" s="54"/>
      <c r="D1505" s="31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E1505" s="57" t="str">
        <f t="shared" si="114"/>
        <v/>
      </c>
      <c r="AF1505" s="18" t="str">
        <f t="shared" si="115"/>
        <v/>
      </c>
      <c r="AG1505" s="18" t="str">
        <f t="shared" si="116"/>
        <v/>
      </c>
      <c r="AH1505" s="18" t="str">
        <f t="shared" si="117"/>
        <v/>
      </c>
      <c r="AI1505" s="18" t="str">
        <f t="shared" si="118"/>
        <v/>
      </c>
      <c r="AJ1505" s="18" t="str">
        <f t="shared" si="119"/>
        <v/>
      </c>
      <c r="AK1505" s="18" t="str">
        <f t="shared" si="120"/>
        <v/>
      </c>
      <c r="AL1505" s="18" t="str">
        <f t="shared" si="121"/>
        <v/>
      </c>
      <c r="AM1505" s="18" t="str">
        <f t="shared" si="122"/>
        <v/>
      </c>
    </row>
    <row r="1506" spans="1:39" x14ac:dyDescent="0.35">
      <c r="A1506" s="56" t="s">
        <v>1574</v>
      </c>
      <c r="B1506" s="31"/>
      <c r="C1506" s="54"/>
      <c r="D1506" s="31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E1506" s="57" t="str">
        <f t="shared" si="114"/>
        <v/>
      </c>
      <c r="AF1506" s="18" t="str">
        <f t="shared" si="115"/>
        <v/>
      </c>
      <c r="AG1506" s="18" t="str">
        <f t="shared" si="116"/>
        <v/>
      </c>
      <c r="AH1506" s="18" t="str">
        <f t="shared" si="117"/>
        <v/>
      </c>
      <c r="AI1506" s="18" t="str">
        <f t="shared" si="118"/>
        <v/>
      </c>
      <c r="AJ1506" s="18" t="str">
        <f t="shared" si="119"/>
        <v/>
      </c>
      <c r="AK1506" s="18" t="str">
        <f t="shared" si="120"/>
        <v/>
      </c>
      <c r="AL1506" s="18" t="str">
        <f t="shared" si="121"/>
        <v/>
      </c>
      <c r="AM1506" s="18" t="str">
        <f t="shared" si="122"/>
        <v/>
      </c>
    </row>
    <row r="1507" spans="1:39" x14ac:dyDescent="0.35">
      <c r="A1507" s="56" t="s">
        <v>1575</v>
      </c>
      <c r="B1507" s="31"/>
      <c r="C1507" s="54"/>
      <c r="D1507" s="31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E1507" s="57" t="str">
        <f t="shared" si="114"/>
        <v/>
      </c>
      <c r="AF1507" s="18" t="str">
        <f t="shared" si="115"/>
        <v/>
      </c>
      <c r="AG1507" s="18" t="str">
        <f t="shared" si="116"/>
        <v/>
      </c>
      <c r="AH1507" s="18" t="str">
        <f t="shared" si="117"/>
        <v/>
      </c>
      <c r="AI1507" s="18" t="str">
        <f t="shared" si="118"/>
        <v/>
      </c>
      <c r="AJ1507" s="18" t="str">
        <f t="shared" si="119"/>
        <v/>
      </c>
      <c r="AK1507" s="18" t="str">
        <f t="shared" si="120"/>
        <v/>
      </c>
      <c r="AL1507" s="18" t="str">
        <f t="shared" si="121"/>
        <v/>
      </c>
      <c r="AM1507" s="18" t="str">
        <f t="shared" si="122"/>
        <v/>
      </c>
    </row>
    <row r="1508" spans="1:39" x14ac:dyDescent="0.35">
      <c r="A1508" s="56" t="s">
        <v>1576</v>
      </c>
      <c r="B1508" s="31"/>
      <c r="C1508" s="54"/>
      <c r="D1508" s="31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E1508" s="57" t="str">
        <f t="shared" si="114"/>
        <v/>
      </c>
      <c r="AF1508" s="18" t="str">
        <f t="shared" si="115"/>
        <v/>
      </c>
      <c r="AG1508" s="18" t="str">
        <f t="shared" si="116"/>
        <v/>
      </c>
      <c r="AH1508" s="18" t="str">
        <f t="shared" si="117"/>
        <v/>
      </c>
      <c r="AI1508" s="18" t="str">
        <f t="shared" si="118"/>
        <v/>
      </c>
      <c r="AJ1508" s="18" t="str">
        <f t="shared" si="119"/>
        <v/>
      </c>
      <c r="AK1508" s="18" t="str">
        <f t="shared" si="120"/>
        <v/>
      </c>
      <c r="AL1508" s="18" t="str">
        <f t="shared" si="121"/>
        <v/>
      </c>
      <c r="AM1508" s="18" t="str">
        <f t="shared" si="122"/>
        <v/>
      </c>
    </row>
    <row r="1509" spans="1:39" x14ac:dyDescent="0.35">
      <c r="A1509" s="56" t="s">
        <v>1577</v>
      </c>
      <c r="B1509" s="31"/>
      <c r="C1509" s="54"/>
      <c r="D1509" s="31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E1509" s="57" t="str">
        <f t="shared" si="114"/>
        <v/>
      </c>
      <c r="AF1509" s="18" t="str">
        <f t="shared" si="115"/>
        <v/>
      </c>
      <c r="AG1509" s="18" t="str">
        <f t="shared" si="116"/>
        <v/>
      </c>
      <c r="AH1509" s="18" t="str">
        <f t="shared" si="117"/>
        <v/>
      </c>
      <c r="AI1509" s="18" t="str">
        <f t="shared" si="118"/>
        <v/>
      </c>
      <c r="AJ1509" s="18" t="str">
        <f t="shared" si="119"/>
        <v/>
      </c>
      <c r="AK1509" s="18" t="str">
        <f t="shared" si="120"/>
        <v/>
      </c>
      <c r="AL1509" s="18" t="str">
        <f t="shared" si="121"/>
        <v/>
      </c>
      <c r="AM1509" s="18" t="str">
        <f t="shared" si="122"/>
        <v/>
      </c>
    </row>
    <row r="1510" spans="1:39" x14ac:dyDescent="0.35">
      <c r="A1510" s="56" t="s">
        <v>1578</v>
      </c>
      <c r="B1510" s="31"/>
      <c r="C1510" s="54"/>
      <c r="D1510" s="31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E1510" s="57" t="str">
        <f t="shared" si="114"/>
        <v/>
      </c>
      <c r="AF1510" s="18" t="str">
        <f t="shared" si="115"/>
        <v/>
      </c>
      <c r="AG1510" s="18" t="str">
        <f t="shared" si="116"/>
        <v/>
      </c>
      <c r="AH1510" s="18" t="str">
        <f t="shared" si="117"/>
        <v/>
      </c>
      <c r="AI1510" s="18" t="str">
        <f t="shared" si="118"/>
        <v/>
      </c>
      <c r="AJ1510" s="18" t="str">
        <f t="shared" si="119"/>
        <v/>
      </c>
      <c r="AK1510" s="18" t="str">
        <f t="shared" si="120"/>
        <v/>
      </c>
      <c r="AL1510" s="18" t="str">
        <f t="shared" si="121"/>
        <v/>
      </c>
      <c r="AM1510" s="18" t="str">
        <f t="shared" si="122"/>
        <v/>
      </c>
    </row>
    <row r="1511" spans="1:39" x14ac:dyDescent="0.35">
      <c r="A1511" s="56" t="s">
        <v>1579</v>
      </c>
      <c r="B1511" s="31"/>
      <c r="C1511" s="54"/>
      <c r="D1511" s="31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E1511" s="57" t="str">
        <f t="shared" si="114"/>
        <v/>
      </c>
      <c r="AF1511" s="18" t="str">
        <f t="shared" si="115"/>
        <v/>
      </c>
      <c r="AG1511" s="18" t="str">
        <f t="shared" si="116"/>
        <v/>
      </c>
      <c r="AH1511" s="18" t="str">
        <f t="shared" si="117"/>
        <v/>
      </c>
      <c r="AI1511" s="18" t="str">
        <f t="shared" si="118"/>
        <v/>
      </c>
      <c r="AJ1511" s="18" t="str">
        <f t="shared" si="119"/>
        <v/>
      </c>
      <c r="AK1511" s="18" t="str">
        <f t="shared" si="120"/>
        <v/>
      </c>
      <c r="AL1511" s="18" t="str">
        <f t="shared" si="121"/>
        <v/>
      </c>
      <c r="AM1511" s="18" t="str">
        <f t="shared" si="122"/>
        <v/>
      </c>
    </row>
    <row r="1512" spans="1:39" x14ac:dyDescent="0.35">
      <c r="A1512" s="56" t="s">
        <v>1580</v>
      </c>
      <c r="B1512" s="31"/>
      <c r="C1512" s="54"/>
      <c r="D1512" s="31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E1512" s="57" t="str">
        <f t="shared" si="114"/>
        <v/>
      </c>
      <c r="AF1512" s="18" t="str">
        <f t="shared" si="115"/>
        <v/>
      </c>
      <c r="AG1512" s="18" t="str">
        <f t="shared" si="116"/>
        <v/>
      </c>
      <c r="AH1512" s="18" t="str">
        <f t="shared" si="117"/>
        <v/>
      </c>
      <c r="AI1512" s="18" t="str">
        <f t="shared" si="118"/>
        <v/>
      </c>
      <c r="AJ1512" s="18" t="str">
        <f t="shared" si="119"/>
        <v/>
      </c>
      <c r="AK1512" s="18" t="str">
        <f t="shared" si="120"/>
        <v/>
      </c>
      <c r="AL1512" s="18" t="str">
        <f t="shared" si="121"/>
        <v/>
      </c>
      <c r="AM1512" s="18" t="str">
        <f t="shared" si="122"/>
        <v/>
      </c>
    </row>
    <row r="1513" spans="1:39" x14ac:dyDescent="0.35">
      <c r="A1513" s="56" t="s">
        <v>1581</v>
      </c>
      <c r="B1513" s="31"/>
      <c r="C1513" s="54"/>
      <c r="D1513" s="31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E1513" s="57" t="str">
        <f t="shared" si="114"/>
        <v/>
      </c>
      <c r="AF1513" s="18" t="str">
        <f t="shared" si="115"/>
        <v/>
      </c>
      <c r="AG1513" s="18" t="str">
        <f t="shared" si="116"/>
        <v/>
      </c>
      <c r="AH1513" s="18" t="str">
        <f t="shared" si="117"/>
        <v/>
      </c>
      <c r="AI1513" s="18" t="str">
        <f t="shared" si="118"/>
        <v/>
      </c>
      <c r="AJ1513" s="18" t="str">
        <f t="shared" si="119"/>
        <v/>
      </c>
      <c r="AK1513" s="18" t="str">
        <f t="shared" si="120"/>
        <v/>
      </c>
      <c r="AL1513" s="18" t="str">
        <f t="shared" si="121"/>
        <v/>
      </c>
      <c r="AM1513" s="18" t="str">
        <f t="shared" si="122"/>
        <v/>
      </c>
    </row>
    <row r="1514" spans="1:39" x14ac:dyDescent="0.35">
      <c r="A1514" s="56" t="s">
        <v>1582</v>
      </c>
      <c r="B1514" s="31"/>
      <c r="C1514" s="54"/>
      <c r="D1514" s="31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E1514" s="57" t="str">
        <f t="shared" si="114"/>
        <v/>
      </c>
      <c r="AF1514" s="18" t="str">
        <f t="shared" si="115"/>
        <v/>
      </c>
      <c r="AG1514" s="18" t="str">
        <f t="shared" si="116"/>
        <v/>
      </c>
      <c r="AH1514" s="18" t="str">
        <f t="shared" si="117"/>
        <v/>
      </c>
      <c r="AI1514" s="18" t="str">
        <f t="shared" si="118"/>
        <v/>
      </c>
      <c r="AJ1514" s="18" t="str">
        <f t="shared" si="119"/>
        <v/>
      </c>
      <c r="AK1514" s="18" t="str">
        <f t="shared" si="120"/>
        <v/>
      </c>
      <c r="AL1514" s="18" t="str">
        <f t="shared" si="121"/>
        <v/>
      </c>
      <c r="AM1514" s="18" t="str">
        <f t="shared" si="122"/>
        <v/>
      </c>
    </row>
    <row r="1515" spans="1:39" x14ac:dyDescent="0.35">
      <c r="A1515" s="56" t="s">
        <v>1583</v>
      </c>
      <c r="B1515" s="31"/>
      <c r="C1515" s="54"/>
      <c r="D1515" s="31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E1515" s="57" t="str">
        <f t="shared" si="114"/>
        <v/>
      </c>
      <c r="AF1515" s="18" t="str">
        <f t="shared" si="115"/>
        <v/>
      </c>
      <c r="AG1515" s="18" t="str">
        <f t="shared" si="116"/>
        <v/>
      </c>
      <c r="AH1515" s="18" t="str">
        <f t="shared" si="117"/>
        <v/>
      </c>
      <c r="AI1515" s="18" t="str">
        <f t="shared" si="118"/>
        <v/>
      </c>
      <c r="AJ1515" s="18" t="str">
        <f t="shared" si="119"/>
        <v/>
      </c>
      <c r="AK1515" s="18" t="str">
        <f t="shared" si="120"/>
        <v/>
      </c>
      <c r="AL1515" s="18" t="str">
        <f t="shared" si="121"/>
        <v/>
      </c>
      <c r="AM1515" s="18" t="str">
        <f t="shared" si="122"/>
        <v/>
      </c>
    </row>
    <row r="1516" spans="1:39" x14ac:dyDescent="0.35">
      <c r="A1516" s="56" t="s">
        <v>1584</v>
      </c>
      <c r="B1516" s="31"/>
      <c r="C1516" s="54"/>
      <c r="D1516" s="31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E1516" s="57" t="str">
        <f t="shared" si="114"/>
        <v/>
      </c>
      <c r="AF1516" s="18" t="str">
        <f t="shared" si="115"/>
        <v/>
      </c>
      <c r="AG1516" s="18" t="str">
        <f t="shared" si="116"/>
        <v/>
      </c>
      <c r="AH1516" s="18" t="str">
        <f t="shared" si="117"/>
        <v/>
      </c>
      <c r="AI1516" s="18" t="str">
        <f t="shared" si="118"/>
        <v/>
      </c>
      <c r="AJ1516" s="18" t="str">
        <f t="shared" si="119"/>
        <v/>
      </c>
      <c r="AK1516" s="18" t="str">
        <f t="shared" si="120"/>
        <v/>
      </c>
      <c r="AL1516" s="18" t="str">
        <f t="shared" si="121"/>
        <v/>
      </c>
      <c r="AM1516" s="18" t="str">
        <f t="shared" si="122"/>
        <v/>
      </c>
    </row>
    <row r="1517" spans="1:39" x14ac:dyDescent="0.35">
      <c r="A1517" s="56" t="s">
        <v>1585</v>
      </c>
      <c r="B1517" s="31"/>
      <c r="C1517" s="54"/>
      <c r="D1517" s="31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E1517" s="57" t="str">
        <f t="shared" si="114"/>
        <v/>
      </c>
      <c r="AF1517" s="18" t="str">
        <f t="shared" si="115"/>
        <v/>
      </c>
      <c r="AG1517" s="18" t="str">
        <f t="shared" si="116"/>
        <v/>
      </c>
      <c r="AH1517" s="18" t="str">
        <f t="shared" si="117"/>
        <v/>
      </c>
      <c r="AI1517" s="18" t="str">
        <f t="shared" si="118"/>
        <v/>
      </c>
      <c r="AJ1517" s="18" t="str">
        <f t="shared" si="119"/>
        <v/>
      </c>
      <c r="AK1517" s="18" t="str">
        <f t="shared" si="120"/>
        <v/>
      </c>
      <c r="AL1517" s="18" t="str">
        <f t="shared" si="121"/>
        <v/>
      </c>
      <c r="AM1517" s="18" t="str">
        <f t="shared" si="122"/>
        <v/>
      </c>
    </row>
    <row r="1518" spans="1:39" x14ac:dyDescent="0.35">
      <c r="A1518" s="56" t="s">
        <v>1586</v>
      </c>
      <c r="B1518" s="31"/>
      <c r="C1518" s="54"/>
      <c r="D1518" s="31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E1518" s="57" t="str">
        <f t="shared" si="114"/>
        <v/>
      </c>
      <c r="AF1518" s="18" t="str">
        <f t="shared" si="115"/>
        <v/>
      </c>
      <c r="AG1518" s="18" t="str">
        <f t="shared" si="116"/>
        <v/>
      </c>
      <c r="AH1518" s="18" t="str">
        <f t="shared" si="117"/>
        <v/>
      </c>
      <c r="AI1518" s="18" t="str">
        <f t="shared" si="118"/>
        <v/>
      </c>
      <c r="AJ1518" s="18" t="str">
        <f t="shared" si="119"/>
        <v/>
      </c>
      <c r="AK1518" s="18" t="str">
        <f t="shared" si="120"/>
        <v/>
      </c>
      <c r="AL1518" s="18" t="str">
        <f t="shared" si="121"/>
        <v/>
      </c>
      <c r="AM1518" s="18" t="str">
        <f t="shared" si="122"/>
        <v/>
      </c>
    </row>
    <row r="1519" spans="1:39" x14ac:dyDescent="0.35">
      <c r="A1519" s="56" t="s">
        <v>1587</v>
      </c>
      <c r="B1519" s="31"/>
      <c r="C1519" s="54"/>
      <c r="D1519" s="31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E1519" s="57" t="str">
        <f t="shared" si="114"/>
        <v/>
      </c>
      <c r="AF1519" s="18" t="str">
        <f t="shared" si="115"/>
        <v/>
      </c>
      <c r="AG1519" s="18" t="str">
        <f t="shared" si="116"/>
        <v/>
      </c>
      <c r="AH1519" s="18" t="str">
        <f t="shared" si="117"/>
        <v/>
      </c>
      <c r="AI1519" s="18" t="str">
        <f t="shared" si="118"/>
        <v/>
      </c>
      <c r="AJ1519" s="18" t="str">
        <f t="shared" si="119"/>
        <v/>
      </c>
      <c r="AK1519" s="18" t="str">
        <f t="shared" si="120"/>
        <v/>
      </c>
      <c r="AL1519" s="18" t="str">
        <f t="shared" si="121"/>
        <v/>
      </c>
      <c r="AM1519" s="18" t="str">
        <f t="shared" si="122"/>
        <v/>
      </c>
    </row>
    <row r="1520" spans="1:39" x14ac:dyDescent="0.35">
      <c r="A1520" s="56" t="s">
        <v>1588</v>
      </c>
      <c r="B1520" s="31"/>
      <c r="C1520" s="54"/>
      <c r="D1520" s="31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E1520" s="57" t="str">
        <f t="shared" si="114"/>
        <v/>
      </c>
      <c r="AF1520" s="18" t="str">
        <f t="shared" si="115"/>
        <v/>
      </c>
      <c r="AG1520" s="18" t="str">
        <f t="shared" si="116"/>
        <v/>
      </c>
      <c r="AH1520" s="18" t="str">
        <f t="shared" si="117"/>
        <v/>
      </c>
      <c r="AI1520" s="18" t="str">
        <f t="shared" si="118"/>
        <v/>
      </c>
      <c r="AJ1520" s="18" t="str">
        <f t="shared" si="119"/>
        <v/>
      </c>
      <c r="AK1520" s="18" t="str">
        <f t="shared" si="120"/>
        <v/>
      </c>
      <c r="AL1520" s="18" t="str">
        <f t="shared" si="121"/>
        <v/>
      </c>
      <c r="AM1520" s="18" t="str">
        <f t="shared" si="122"/>
        <v/>
      </c>
    </row>
    <row r="1521" spans="1:39" x14ac:dyDescent="0.35">
      <c r="A1521" s="56" t="s">
        <v>1589</v>
      </c>
      <c r="B1521" s="31"/>
      <c r="C1521" s="54"/>
      <c r="D1521" s="31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E1521" s="57" t="str">
        <f t="shared" si="114"/>
        <v/>
      </c>
      <c r="AF1521" s="18" t="str">
        <f t="shared" si="115"/>
        <v/>
      </c>
      <c r="AG1521" s="18" t="str">
        <f t="shared" si="116"/>
        <v/>
      </c>
      <c r="AH1521" s="18" t="str">
        <f t="shared" si="117"/>
        <v/>
      </c>
      <c r="AI1521" s="18" t="str">
        <f t="shared" si="118"/>
        <v/>
      </c>
      <c r="AJ1521" s="18" t="str">
        <f t="shared" si="119"/>
        <v/>
      </c>
      <c r="AK1521" s="18" t="str">
        <f t="shared" si="120"/>
        <v/>
      </c>
      <c r="AL1521" s="18" t="str">
        <f t="shared" si="121"/>
        <v/>
      </c>
      <c r="AM1521" s="18" t="str">
        <f t="shared" si="122"/>
        <v/>
      </c>
    </row>
    <row r="1522" spans="1:39" x14ac:dyDescent="0.35">
      <c r="A1522" s="56" t="s">
        <v>1590</v>
      </c>
      <c r="B1522" s="31"/>
      <c r="C1522" s="54"/>
      <c r="D1522" s="31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E1522" s="57" t="str">
        <f t="shared" si="114"/>
        <v/>
      </c>
      <c r="AF1522" s="18" t="str">
        <f t="shared" si="115"/>
        <v/>
      </c>
      <c r="AG1522" s="18" t="str">
        <f t="shared" si="116"/>
        <v/>
      </c>
      <c r="AH1522" s="18" t="str">
        <f t="shared" si="117"/>
        <v/>
      </c>
      <c r="AI1522" s="18" t="str">
        <f t="shared" si="118"/>
        <v/>
      </c>
      <c r="AJ1522" s="18" t="str">
        <f t="shared" si="119"/>
        <v/>
      </c>
      <c r="AK1522" s="18" t="str">
        <f t="shared" si="120"/>
        <v/>
      </c>
      <c r="AL1522" s="18" t="str">
        <f t="shared" si="121"/>
        <v/>
      </c>
      <c r="AM1522" s="18" t="str">
        <f t="shared" si="122"/>
        <v/>
      </c>
    </row>
    <row r="1523" spans="1:39" x14ac:dyDescent="0.35">
      <c r="A1523" s="56" t="s">
        <v>1591</v>
      </c>
      <c r="B1523" s="31"/>
      <c r="C1523" s="54"/>
      <c r="D1523" s="31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E1523" s="57" t="str">
        <f t="shared" si="114"/>
        <v/>
      </c>
      <c r="AF1523" s="18" t="str">
        <f t="shared" si="115"/>
        <v/>
      </c>
      <c r="AG1523" s="18" t="str">
        <f t="shared" si="116"/>
        <v/>
      </c>
      <c r="AH1523" s="18" t="str">
        <f t="shared" si="117"/>
        <v/>
      </c>
      <c r="AI1523" s="18" t="str">
        <f t="shared" si="118"/>
        <v/>
      </c>
      <c r="AJ1523" s="18" t="str">
        <f t="shared" si="119"/>
        <v/>
      </c>
      <c r="AK1523" s="18" t="str">
        <f t="shared" si="120"/>
        <v/>
      </c>
      <c r="AL1523" s="18" t="str">
        <f t="shared" si="121"/>
        <v/>
      </c>
      <c r="AM1523" s="18" t="str">
        <f t="shared" si="122"/>
        <v/>
      </c>
    </row>
    <row r="1524" spans="1:39" x14ac:dyDescent="0.35">
      <c r="A1524" s="56" t="s">
        <v>1592</v>
      </c>
      <c r="B1524" s="31"/>
      <c r="C1524" s="54"/>
      <c r="D1524" s="31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E1524" s="57" t="str">
        <f t="shared" si="114"/>
        <v/>
      </c>
      <c r="AF1524" s="18" t="str">
        <f t="shared" si="115"/>
        <v/>
      </c>
      <c r="AG1524" s="18" t="str">
        <f t="shared" si="116"/>
        <v/>
      </c>
      <c r="AH1524" s="18" t="str">
        <f t="shared" si="117"/>
        <v/>
      </c>
      <c r="AI1524" s="18" t="str">
        <f t="shared" si="118"/>
        <v/>
      </c>
      <c r="AJ1524" s="18" t="str">
        <f t="shared" si="119"/>
        <v/>
      </c>
      <c r="AK1524" s="18" t="str">
        <f t="shared" si="120"/>
        <v/>
      </c>
      <c r="AL1524" s="18" t="str">
        <f t="shared" si="121"/>
        <v/>
      </c>
      <c r="AM1524" s="18" t="str">
        <f t="shared" si="122"/>
        <v/>
      </c>
    </row>
    <row r="1525" spans="1:39" x14ac:dyDescent="0.35">
      <c r="A1525" s="56" t="s">
        <v>1593</v>
      </c>
      <c r="B1525" s="31"/>
      <c r="C1525" s="54"/>
      <c r="D1525" s="31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E1525" s="57" t="str">
        <f t="shared" si="114"/>
        <v/>
      </c>
      <c r="AF1525" s="18" t="str">
        <f t="shared" si="115"/>
        <v/>
      </c>
      <c r="AG1525" s="18" t="str">
        <f t="shared" si="116"/>
        <v/>
      </c>
      <c r="AH1525" s="18" t="str">
        <f t="shared" si="117"/>
        <v/>
      </c>
      <c r="AI1525" s="18" t="str">
        <f t="shared" si="118"/>
        <v/>
      </c>
      <c r="AJ1525" s="18" t="str">
        <f t="shared" si="119"/>
        <v/>
      </c>
      <c r="AK1525" s="18" t="str">
        <f t="shared" si="120"/>
        <v/>
      </c>
      <c r="AL1525" s="18" t="str">
        <f t="shared" si="121"/>
        <v/>
      </c>
      <c r="AM1525" s="18" t="str">
        <f t="shared" si="122"/>
        <v/>
      </c>
    </row>
    <row r="1526" spans="1:39" x14ac:dyDescent="0.35">
      <c r="A1526" s="56" t="s">
        <v>1594</v>
      </c>
      <c r="B1526" s="31"/>
      <c r="C1526" s="54"/>
      <c r="D1526" s="31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E1526" s="57" t="str">
        <f t="shared" si="114"/>
        <v/>
      </c>
      <c r="AF1526" s="18" t="str">
        <f t="shared" si="115"/>
        <v/>
      </c>
      <c r="AG1526" s="18" t="str">
        <f t="shared" si="116"/>
        <v/>
      </c>
      <c r="AH1526" s="18" t="str">
        <f t="shared" si="117"/>
        <v/>
      </c>
      <c r="AI1526" s="18" t="str">
        <f t="shared" si="118"/>
        <v/>
      </c>
      <c r="AJ1526" s="18" t="str">
        <f t="shared" si="119"/>
        <v/>
      </c>
      <c r="AK1526" s="18" t="str">
        <f t="shared" si="120"/>
        <v/>
      </c>
      <c r="AL1526" s="18" t="str">
        <f t="shared" si="121"/>
        <v/>
      </c>
      <c r="AM1526" s="18" t="str">
        <f t="shared" si="122"/>
        <v/>
      </c>
    </row>
    <row r="1527" spans="1:39" x14ac:dyDescent="0.35">
      <c r="A1527" s="56" t="s">
        <v>1595</v>
      </c>
      <c r="B1527" s="31"/>
      <c r="C1527" s="54"/>
      <c r="D1527" s="31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E1527" s="57" t="str">
        <f t="shared" si="114"/>
        <v/>
      </c>
      <c r="AF1527" s="18" t="str">
        <f t="shared" si="115"/>
        <v/>
      </c>
      <c r="AG1527" s="18" t="str">
        <f t="shared" si="116"/>
        <v/>
      </c>
      <c r="AH1527" s="18" t="str">
        <f t="shared" si="117"/>
        <v/>
      </c>
      <c r="AI1527" s="18" t="str">
        <f t="shared" si="118"/>
        <v/>
      </c>
      <c r="AJ1527" s="18" t="str">
        <f t="shared" si="119"/>
        <v/>
      </c>
      <c r="AK1527" s="18" t="str">
        <f t="shared" si="120"/>
        <v/>
      </c>
      <c r="AL1527" s="18" t="str">
        <f t="shared" si="121"/>
        <v/>
      </c>
      <c r="AM1527" s="18" t="str">
        <f t="shared" si="122"/>
        <v/>
      </c>
    </row>
    <row r="1528" spans="1:39" x14ac:dyDescent="0.35">
      <c r="A1528" s="56" t="s">
        <v>1596</v>
      </c>
      <c r="B1528" s="31"/>
      <c r="C1528" s="54"/>
      <c r="D1528" s="31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E1528" s="57" t="str">
        <f t="shared" si="114"/>
        <v/>
      </c>
      <c r="AF1528" s="18" t="str">
        <f t="shared" si="115"/>
        <v/>
      </c>
      <c r="AG1528" s="18" t="str">
        <f t="shared" si="116"/>
        <v/>
      </c>
      <c r="AH1528" s="18" t="str">
        <f t="shared" si="117"/>
        <v/>
      </c>
      <c r="AI1528" s="18" t="str">
        <f t="shared" si="118"/>
        <v/>
      </c>
      <c r="AJ1528" s="18" t="str">
        <f t="shared" si="119"/>
        <v/>
      </c>
      <c r="AK1528" s="18" t="str">
        <f t="shared" si="120"/>
        <v/>
      </c>
      <c r="AL1528" s="18" t="str">
        <f t="shared" si="121"/>
        <v/>
      </c>
      <c r="AM1528" s="18" t="str">
        <f t="shared" si="122"/>
        <v/>
      </c>
    </row>
    <row r="1529" spans="1:39" x14ac:dyDescent="0.35">
      <c r="A1529" s="56" t="s">
        <v>1597</v>
      </c>
      <c r="B1529" s="31"/>
      <c r="C1529" s="54"/>
      <c r="D1529" s="31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E1529" s="57" t="str">
        <f t="shared" si="114"/>
        <v/>
      </c>
      <c r="AF1529" s="18" t="str">
        <f t="shared" si="115"/>
        <v/>
      </c>
      <c r="AG1529" s="18" t="str">
        <f t="shared" si="116"/>
        <v/>
      </c>
      <c r="AH1529" s="18" t="str">
        <f t="shared" si="117"/>
        <v/>
      </c>
      <c r="AI1529" s="18" t="str">
        <f t="shared" si="118"/>
        <v/>
      </c>
      <c r="AJ1529" s="18" t="str">
        <f t="shared" si="119"/>
        <v/>
      </c>
      <c r="AK1529" s="18" t="str">
        <f t="shared" si="120"/>
        <v/>
      </c>
      <c r="AL1529" s="18" t="str">
        <f t="shared" si="121"/>
        <v/>
      </c>
      <c r="AM1529" s="18" t="str">
        <f t="shared" si="122"/>
        <v/>
      </c>
    </row>
    <row r="1530" spans="1:39" x14ac:dyDescent="0.35">
      <c r="A1530" s="56" t="s">
        <v>1598</v>
      </c>
      <c r="B1530" s="31"/>
      <c r="C1530" s="54"/>
      <c r="D1530" s="31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E1530" s="57" t="str">
        <f t="shared" si="114"/>
        <v/>
      </c>
      <c r="AF1530" s="18" t="str">
        <f t="shared" si="115"/>
        <v/>
      </c>
      <c r="AG1530" s="18" t="str">
        <f t="shared" si="116"/>
        <v/>
      </c>
      <c r="AH1530" s="18" t="str">
        <f t="shared" si="117"/>
        <v/>
      </c>
      <c r="AI1530" s="18" t="str">
        <f t="shared" si="118"/>
        <v/>
      </c>
      <c r="AJ1530" s="18" t="str">
        <f t="shared" si="119"/>
        <v/>
      </c>
      <c r="AK1530" s="18" t="str">
        <f t="shared" si="120"/>
        <v/>
      </c>
      <c r="AL1530" s="18" t="str">
        <f t="shared" si="121"/>
        <v/>
      </c>
      <c r="AM1530" s="18" t="str">
        <f t="shared" si="122"/>
        <v/>
      </c>
    </row>
    <row r="1531" spans="1:39" x14ac:dyDescent="0.35">
      <c r="A1531" s="56" t="s">
        <v>1599</v>
      </c>
      <c r="B1531" s="31"/>
      <c r="C1531" s="54"/>
      <c r="D1531" s="31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E1531" s="57" t="str">
        <f t="shared" si="114"/>
        <v/>
      </c>
      <c r="AF1531" s="18" t="str">
        <f t="shared" si="115"/>
        <v/>
      </c>
      <c r="AG1531" s="18" t="str">
        <f t="shared" si="116"/>
        <v/>
      </c>
      <c r="AH1531" s="18" t="str">
        <f t="shared" si="117"/>
        <v/>
      </c>
      <c r="AI1531" s="18" t="str">
        <f t="shared" si="118"/>
        <v/>
      </c>
      <c r="AJ1531" s="18" t="str">
        <f t="shared" si="119"/>
        <v/>
      </c>
      <c r="AK1531" s="18" t="str">
        <f t="shared" si="120"/>
        <v/>
      </c>
      <c r="AL1531" s="18" t="str">
        <f t="shared" si="121"/>
        <v/>
      </c>
      <c r="AM1531" s="18" t="str">
        <f t="shared" si="122"/>
        <v/>
      </c>
    </row>
    <row r="1532" spans="1:39" x14ac:dyDescent="0.35">
      <c r="A1532" s="56" t="s">
        <v>1600</v>
      </c>
      <c r="B1532" s="31"/>
      <c r="C1532" s="54"/>
      <c r="D1532" s="31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E1532" s="57" t="str">
        <f t="shared" si="114"/>
        <v/>
      </c>
      <c r="AF1532" s="18" t="str">
        <f t="shared" si="115"/>
        <v/>
      </c>
      <c r="AG1532" s="18" t="str">
        <f t="shared" si="116"/>
        <v/>
      </c>
      <c r="AH1532" s="18" t="str">
        <f t="shared" si="117"/>
        <v/>
      </c>
      <c r="AI1532" s="18" t="str">
        <f t="shared" si="118"/>
        <v/>
      </c>
      <c r="AJ1532" s="18" t="str">
        <f t="shared" si="119"/>
        <v/>
      </c>
      <c r="AK1532" s="18" t="str">
        <f t="shared" si="120"/>
        <v/>
      </c>
      <c r="AL1532" s="18" t="str">
        <f t="shared" si="121"/>
        <v/>
      </c>
      <c r="AM1532" s="18" t="str">
        <f t="shared" si="122"/>
        <v/>
      </c>
    </row>
    <row r="1533" spans="1:39" x14ac:dyDescent="0.35">
      <c r="A1533" s="56" t="s">
        <v>1601</v>
      </c>
      <c r="B1533" s="31"/>
      <c r="C1533" s="54"/>
      <c r="D1533" s="31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E1533" s="57" t="str">
        <f t="shared" si="114"/>
        <v/>
      </c>
      <c r="AF1533" s="18" t="str">
        <f t="shared" si="115"/>
        <v/>
      </c>
      <c r="AG1533" s="18" t="str">
        <f t="shared" si="116"/>
        <v/>
      </c>
      <c r="AH1533" s="18" t="str">
        <f t="shared" si="117"/>
        <v/>
      </c>
      <c r="AI1533" s="18" t="str">
        <f t="shared" si="118"/>
        <v/>
      </c>
      <c r="AJ1533" s="18" t="str">
        <f t="shared" si="119"/>
        <v/>
      </c>
      <c r="AK1533" s="18" t="str">
        <f t="shared" si="120"/>
        <v/>
      </c>
      <c r="AL1533" s="18" t="str">
        <f t="shared" si="121"/>
        <v/>
      </c>
      <c r="AM1533" s="18" t="str">
        <f t="shared" si="122"/>
        <v/>
      </c>
    </row>
    <row r="1534" spans="1:39" x14ac:dyDescent="0.35">
      <c r="A1534" s="56" t="s">
        <v>1602</v>
      </c>
      <c r="B1534" s="31"/>
      <c r="C1534" s="54"/>
      <c r="D1534" s="31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E1534" s="57" t="str">
        <f t="shared" si="114"/>
        <v/>
      </c>
      <c r="AF1534" s="18" t="str">
        <f t="shared" si="115"/>
        <v/>
      </c>
      <c r="AG1534" s="18" t="str">
        <f t="shared" si="116"/>
        <v/>
      </c>
      <c r="AH1534" s="18" t="str">
        <f t="shared" si="117"/>
        <v/>
      </c>
      <c r="AI1534" s="18" t="str">
        <f t="shared" si="118"/>
        <v/>
      </c>
      <c r="AJ1534" s="18" t="str">
        <f t="shared" si="119"/>
        <v/>
      </c>
      <c r="AK1534" s="18" t="str">
        <f t="shared" si="120"/>
        <v/>
      </c>
      <c r="AL1534" s="18" t="str">
        <f t="shared" si="121"/>
        <v/>
      </c>
      <c r="AM1534" s="18" t="str">
        <f t="shared" si="122"/>
        <v/>
      </c>
    </row>
    <row r="1535" spans="1:39" x14ac:dyDescent="0.35">
      <c r="A1535" s="56" t="s">
        <v>1603</v>
      </c>
      <c r="B1535" s="31"/>
      <c r="C1535" s="54"/>
      <c r="D1535" s="31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E1535" s="57" t="str">
        <f t="shared" si="114"/>
        <v/>
      </c>
      <c r="AF1535" s="18" t="str">
        <f t="shared" si="115"/>
        <v/>
      </c>
      <c r="AG1535" s="18" t="str">
        <f t="shared" si="116"/>
        <v/>
      </c>
      <c r="AH1535" s="18" t="str">
        <f t="shared" si="117"/>
        <v/>
      </c>
      <c r="AI1535" s="18" t="str">
        <f t="shared" si="118"/>
        <v/>
      </c>
      <c r="AJ1535" s="18" t="str">
        <f t="shared" si="119"/>
        <v/>
      </c>
      <c r="AK1535" s="18" t="str">
        <f t="shared" si="120"/>
        <v/>
      </c>
      <c r="AL1535" s="18" t="str">
        <f t="shared" si="121"/>
        <v/>
      </c>
      <c r="AM1535" s="18" t="str">
        <f t="shared" si="122"/>
        <v/>
      </c>
    </row>
    <row r="1536" spans="1:39" x14ac:dyDescent="0.35">
      <c r="A1536" s="56" t="s">
        <v>1604</v>
      </c>
      <c r="B1536" s="31"/>
      <c r="C1536" s="54"/>
      <c r="D1536" s="31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E1536" s="57" t="str">
        <f t="shared" si="114"/>
        <v/>
      </c>
      <c r="AF1536" s="18" t="str">
        <f t="shared" si="115"/>
        <v/>
      </c>
      <c r="AG1536" s="18" t="str">
        <f t="shared" si="116"/>
        <v/>
      </c>
      <c r="AH1536" s="18" t="str">
        <f t="shared" si="117"/>
        <v/>
      </c>
      <c r="AI1536" s="18" t="str">
        <f t="shared" si="118"/>
        <v/>
      </c>
      <c r="AJ1536" s="18" t="str">
        <f t="shared" si="119"/>
        <v/>
      </c>
      <c r="AK1536" s="18" t="str">
        <f t="shared" si="120"/>
        <v/>
      </c>
      <c r="AL1536" s="18" t="str">
        <f t="shared" si="121"/>
        <v/>
      </c>
      <c r="AM1536" s="18" t="str">
        <f t="shared" si="122"/>
        <v/>
      </c>
    </row>
    <row r="1537" spans="1:39" x14ac:dyDescent="0.35">
      <c r="A1537" s="56" t="s">
        <v>1605</v>
      </c>
      <c r="B1537" s="31"/>
      <c r="C1537" s="54"/>
      <c r="D1537" s="31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E1537" s="57" t="str">
        <f t="shared" si="114"/>
        <v/>
      </c>
      <c r="AF1537" s="18" t="str">
        <f t="shared" si="115"/>
        <v/>
      </c>
      <c r="AG1537" s="18" t="str">
        <f t="shared" si="116"/>
        <v/>
      </c>
      <c r="AH1537" s="18" t="str">
        <f t="shared" si="117"/>
        <v/>
      </c>
      <c r="AI1537" s="18" t="str">
        <f t="shared" si="118"/>
        <v/>
      </c>
      <c r="AJ1537" s="18" t="str">
        <f t="shared" si="119"/>
        <v/>
      </c>
      <c r="AK1537" s="18" t="str">
        <f t="shared" si="120"/>
        <v/>
      </c>
      <c r="AL1537" s="18" t="str">
        <f t="shared" si="121"/>
        <v/>
      </c>
      <c r="AM1537" s="18" t="str">
        <f t="shared" si="122"/>
        <v/>
      </c>
    </row>
    <row r="1538" spans="1:39" x14ac:dyDescent="0.35">
      <c r="A1538" s="56" t="s">
        <v>1606</v>
      </c>
      <c r="B1538" s="31"/>
      <c r="C1538" s="54"/>
      <c r="D1538" s="31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E1538" s="57" t="str">
        <f t="shared" si="114"/>
        <v/>
      </c>
      <c r="AF1538" s="18" t="str">
        <f t="shared" si="115"/>
        <v/>
      </c>
      <c r="AG1538" s="18" t="str">
        <f t="shared" si="116"/>
        <v/>
      </c>
      <c r="AH1538" s="18" t="str">
        <f t="shared" si="117"/>
        <v/>
      </c>
      <c r="AI1538" s="18" t="str">
        <f t="shared" si="118"/>
        <v/>
      </c>
      <c r="AJ1538" s="18" t="str">
        <f t="shared" si="119"/>
        <v/>
      </c>
      <c r="AK1538" s="18" t="str">
        <f t="shared" si="120"/>
        <v/>
      </c>
      <c r="AL1538" s="18" t="str">
        <f t="shared" si="121"/>
        <v/>
      </c>
      <c r="AM1538" s="18" t="str">
        <f t="shared" si="122"/>
        <v/>
      </c>
    </row>
    <row r="1539" spans="1:39" x14ac:dyDescent="0.35">
      <c r="A1539" s="56" t="s">
        <v>1607</v>
      </c>
      <c r="B1539" s="31"/>
      <c r="C1539" s="54"/>
      <c r="D1539" s="31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E1539" s="57" t="str">
        <f t="shared" ref="AE1539:AE1602" si="123">IFERROR(VLOOKUP(AD1539,$A$2:$AA$2000,2,0),"")</f>
        <v/>
      </c>
      <c r="AF1539" s="18" t="str">
        <f t="shared" ref="AF1539:AF1602" si="124">IFERROR(VLOOKUP(AD1539,$A$2:$AA$2000,22,0),"")</f>
        <v/>
      </c>
      <c r="AG1539" s="18" t="str">
        <f t="shared" ref="AG1539:AG1602" si="125">IFERROR(VLOOKUP(AD1539,$A$2:$AA$2000,18,0),"")</f>
        <v/>
      </c>
      <c r="AH1539" s="18" t="str">
        <f t="shared" ref="AH1539:AH1602" si="126">IFERROR(VLOOKUP(AD1539,$A$2:$AA$2000,17,0),"")</f>
        <v/>
      </c>
      <c r="AI1539" s="18" t="str">
        <f t="shared" ref="AI1539:AI1602" si="127">IFERROR(VLOOKUP(AD1539,$A$2:$AA$2000,20,0),"")</f>
        <v/>
      </c>
      <c r="AJ1539" s="18" t="str">
        <f t="shared" ref="AJ1539:AJ1602" si="128">IFERROR(VLOOKUP(AD1539,$A$2:$AA$2000,9,0),"")</f>
        <v/>
      </c>
      <c r="AK1539" s="18" t="str">
        <f t="shared" ref="AK1539:AK1602" si="129">IFERROR(VLOOKUP(AD1539,$A$2:$AA$2000,5,0),"")</f>
        <v/>
      </c>
      <c r="AL1539" s="18" t="str">
        <f t="shared" ref="AL1539:AL1602" si="130">IFERROR(VLOOKUP(AD1539,$A$2:$AA$2000,4,0),"")</f>
        <v/>
      </c>
      <c r="AM1539" s="18" t="str">
        <f t="shared" ref="AM1539:AM1602" si="131">IFERROR(VLOOKUP(AD1539,$A$2:$AA$2000,7,0),"")</f>
        <v/>
      </c>
    </row>
    <row r="1540" spans="1:39" x14ac:dyDescent="0.35">
      <c r="A1540" s="56" t="s">
        <v>1608</v>
      </c>
      <c r="B1540" s="31"/>
      <c r="C1540" s="54"/>
      <c r="D1540" s="31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E1540" s="57" t="str">
        <f t="shared" si="123"/>
        <v/>
      </c>
      <c r="AF1540" s="18" t="str">
        <f t="shared" si="124"/>
        <v/>
      </c>
      <c r="AG1540" s="18" t="str">
        <f t="shared" si="125"/>
        <v/>
      </c>
      <c r="AH1540" s="18" t="str">
        <f t="shared" si="126"/>
        <v/>
      </c>
      <c r="AI1540" s="18" t="str">
        <f t="shared" si="127"/>
        <v/>
      </c>
      <c r="AJ1540" s="18" t="str">
        <f t="shared" si="128"/>
        <v/>
      </c>
      <c r="AK1540" s="18" t="str">
        <f t="shared" si="129"/>
        <v/>
      </c>
      <c r="AL1540" s="18" t="str">
        <f t="shared" si="130"/>
        <v/>
      </c>
      <c r="AM1540" s="18" t="str">
        <f t="shared" si="131"/>
        <v/>
      </c>
    </row>
    <row r="1541" spans="1:39" x14ac:dyDescent="0.35">
      <c r="A1541" s="56" t="s">
        <v>1609</v>
      </c>
      <c r="B1541" s="31"/>
      <c r="C1541" s="54"/>
      <c r="D1541" s="31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E1541" s="57" t="str">
        <f t="shared" si="123"/>
        <v/>
      </c>
      <c r="AF1541" s="18" t="str">
        <f t="shared" si="124"/>
        <v/>
      </c>
      <c r="AG1541" s="18" t="str">
        <f t="shared" si="125"/>
        <v/>
      </c>
      <c r="AH1541" s="18" t="str">
        <f t="shared" si="126"/>
        <v/>
      </c>
      <c r="AI1541" s="18" t="str">
        <f t="shared" si="127"/>
        <v/>
      </c>
      <c r="AJ1541" s="18" t="str">
        <f t="shared" si="128"/>
        <v/>
      </c>
      <c r="AK1541" s="18" t="str">
        <f t="shared" si="129"/>
        <v/>
      </c>
      <c r="AL1541" s="18" t="str">
        <f t="shared" si="130"/>
        <v/>
      </c>
      <c r="AM1541" s="18" t="str">
        <f t="shared" si="131"/>
        <v/>
      </c>
    </row>
    <row r="1542" spans="1:39" x14ac:dyDescent="0.35">
      <c r="A1542" s="56" t="s">
        <v>1610</v>
      </c>
      <c r="B1542" s="31"/>
      <c r="C1542" s="54"/>
      <c r="D1542" s="31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E1542" s="57" t="str">
        <f t="shared" si="123"/>
        <v/>
      </c>
      <c r="AF1542" s="18" t="str">
        <f t="shared" si="124"/>
        <v/>
      </c>
      <c r="AG1542" s="18" t="str">
        <f t="shared" si="125"/>
        <v/>
      </c>
      <c r="AH1542" s="18" t="str">
        <f t="shared" si="126"/>
        <v/>
      </c>
      <c r="AI1542" s="18" t="str">
        <f t="shared" si="127"/>
        <v/>
      </c>
      <c r="AJ1542" s="18" t="str">
        <f t="shared" si="128"/>
        <v/>
      </c>
      <c r="AK1542" s="18" t="str">
        <f t="shared" si="129"/>
        <v/>
      </c>
      <c r="AL1542" s="18" t="str">
        <f t="shared" si="130"/>
        <v/>
      </c>
      <c r="AM1542" s="18" t="str">
        <f t="shared" si="131"/>
        <v/>
      </c>
    </row>
    <row r="1543" spans="1:39" x14ac:dyDescent="0.35">
      <c r="A1543" s="56" t="s">
        <v>1611</v>
      </c>
      <c r="B1543" s="31"/>
      <c r="C1543" s="54"/>
      <c r="D1543" s="31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E1543" s="57" t="str">
        <f t="shared" si="123"/>
        <v/>
      </c>
      <c r="AF1543" s="18" t="str">
        <f t="shared" si="124"/>
        <v/>
      </c>
      <c r="AG1543" s="18" t="str">
        <f t="shared" si="125"/>
        <v/>
      </c>
      <c r="AH1543" s="18" t="str">
        <f t="shared" si="126"/>
        <v/>
      </c>
      <c r="AI1543" s="18" t="str">
        <f t="shared" si="127"/>
        <v/>
      </c>
      <c r="AJ1543" s="18" t="str">
        <f t="shared" si="128"/>
        <v/>
      </c>
      <c r="AK1543" s="18" t="str">
        <f t="shared" si="129"/>
        <v/>
      </c>
      <c r="AL1543" s="18" t="str">
        <f t="shared" si="130"/>
        <v/>
      </c>
      <c r="AM1543" s="18" t="str">
        <f t="shared" si="131"/>
        <v/>
      </c>
    </row>
    <row r="1544" spans="1:39" x14ac:dyDescent="0.35">
      <c r="A1544" s="56" t="s">
        <v>1612</v>
      </c>
      <c r="B1544" s="31"/>
      <c r="C1544" s="54"/>
      <c r="D1544" s="31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E1544" s="57" t="str">
        <f t="shared" si="123"/>
        <v/>
      </c>
      <c r="AF1544" s="18" t="str">
        <f t="shared" si="124"/>
        <v/>
      </c>
      <c r="AG1544" s="18" t="str">
        <f t="shared" si="125"/>
        <v/>
      </c>
      <c r="AH1544" s="18" t="str">
        <f t="shared" si="126"/>
        <v/>
      </c>
      <c r="AI1544" s="18" t="str">
        <f t="shared" si="127"/>
        <v/>
      </c>
      <c r="AJ1544" s="18" t="str">
        <f t="shared" si="128"/>
        <v/>
      </c>
      <c r="AK1544" s="18" t="str">
        <f t="shared" si="129"/>
        <v/>
      </c>
      <c r="AL1544" s="18" t="str">
        <f t="shared" si="130"/>
        <v/>
      </c>
      <c r="AM1544" s="18" t="str">
        <f t="shared" si="131"/>
        <v/>
      </c>
    </row>
    <row r="1545" spans="1:39" x14ac:dyDescent="0.35">
      <c r="A1545" s="56" t="s">
        <v>1613</v>
      </c>
      <c r="B1545" s="31"/>
      <c r="C1545" s="54"/>
      <c r="D1545" s="31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E1545" s="57" t="str">
        <f t="shared" si="123"/>
        <v/>
      </c>
      <c r="AF1545" s="18" t="str">
        <f t="shared" si="124"/>
        <v/>
      </c>
      <c r="AG1545" s="18" t="str">
        <f t="shared" si="125"/>
        <v/>
      </c>
      <c r="AH1545" s="18" t="str">
        <f t="shared" si="126"/>
        <v/>
      </c>
      <c r="AI1545" s="18" t="str">
        <f t="shared" si="127"/>
        <v/>
      </c>
      <c r="AJ1545" s="18" t="str">
        <f t="shared" si="128"/>
        <v/>
      </c>
      <c r="AK1545" s="18" t="str">
        <f t="shared" si="129"/>
        <v/>
      </c>
      <c r="AL1545" s="18" t="str">
        <f t="shared" si="130"/>
        <v/>
      </c>
      <c r="AM1545" s="18" t="str">
        <f t="shared" si="131"/>
        <v/>
      </c>
    </row>
    <row r="1546" spans="1:39" x14ac:dyDescent="0.35">
      <c r="A1546" s="56" t="s">
        <v>1614</v>
      </c>
      <c r="B1546" s="31"/>
      <c r="C1546" s="54"/>
      <c r="D1546" s="31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E1546" s="57" t="str">
        <f t="shared" si="123"/>
        <v/>
      </c>
      <c r="AF1546" s="18" t="str">
        <f t="shared" si="124"/>
        <v/>
      </c>
      <c r="AG1546" s="18" t="str">
        <f t="shared" si="125"/>
        <v/>
      </c>
      <c r="AH1546" s="18" t="str">
        <f t="shared" si="126"/>
        <v/>
      </c>
      <c r="AI1546" s="18" t="str">
        <f t="shared" si="127"/>
        <v/>
      </c>
      <c r="AJ1546" s="18" t="str">
        <f t="shared" si="128"/>
        <v/>
      </c>
      <c r="AK1546" s="18" t="str">
        <f t="shared" si="129"/>
        <v/>
      </c>
      <c r="AL1546" s="18" t="str">
        <f t="shared" si="130"/>
        <v/>
      </c>
      <c r="AM1546" s="18" t="str">
        <f t="shared" si="131"/>
        <v/>
      </c>
    </row>
    <row r="1547" spans="1:39" x14ac:dyDescent="0.35">
      <c r="A1547" s="56" t="s">
        <v>1615</v>
      </c>
      <c r="B1547" s="31"/>
      <c r="C1547" s="54"/>
      <c r="D1547" s="31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E1547" s="57" t="str">
        <f t="shared" si="123"/>
        <v/>
      </c>
      <c r="AF1547" s="18" t="str">
        <f t="shared" si="124"/>
        <v/>
      </c>
      <c r="AG1547" s="18" t="str">
        <f t="shared" si="125"/>
        <v/>
      </c>
      <c r="AH1547" s="18" t="str">
        <f t="shared" si="126"/>
        <v/>
      </c>
      <c r="AI1547" s="18" t="str">
        <f t="shared" si="127"/>
        <v/>
      </c>
      <c r="AJ1547" s="18" t="str">
        <f t="shared" si="128"/>
        <v/>
      </c>
      <c r="AK1547" s="18" t="str">
        <f t="shared" si="129"/>
        <v/>
      </c>
      <c r="AL1547" s="18" t="str">
        <f t="shared" si="130"/>
        <v/>
      </c>
      <c r="AM1547" s="18" t="str">
        <f t="shared" si="131"/>
        <v/>
      </c>
    </row>
    <row r="1548" spans="1:39" x14ac:dyDescent="0.35">
      <c r="A1548" s="56" t="s">
        <v>1616</v>
      </c>
      <c r="B1548" s="31"/>
      <c r="C1548" s="54"/>
      <c r="D1548" s="31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E1548" s="57" t="str">
        <f t="shared" si="123"/>
        <v/>
      </c>
      <c r="AF1548" s="18" t="str">
        <f t="shared" si="124"/>
        <v/>
      </c>
      <c r="AG1548" s="18" t="str">
        <f t="shared" si="125"/>
        <v/>
      </c>
      <c r="AH1548" s="18" t="str">
        <f t="shared" si="126"/>
        <v/>
      </c>
      <c r="AI1548" s="18" t="str">
        <f t="shared" si="127"/>
        <v/>
      </c>
      <c r="AJ1548" s="18" t="str">
        <f t="shared" si="128"/>
        <v/>
      </c>
      <c r="AK1548" s="18" t="str">
        <f t="shared" si="129"/>
        <v/>
      </c>
      <c r="AL1548" s="18" t="str">
        <f t="shared" si="130"/>
        <v/>
      </c>
      <c r="AM1548" s="18" t="str">
        <f t="shared" si="131"/>
        <v/>
      </c>
    </row>
    <row r="1549" spans="1:39" x14ac:dyDescent="0.35">
      <c r="A1549" s="56" t="s">
        <v>1617</v>
      </c>
      <c r="B1549" s="31"/>
      <c r="C1549" s="54"/>
      <c r="D1549" s="31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E1549" s="57" t="str">
        <f t="shared" si="123"/>
        <v/>
      </c>
      <c r="AF1549" s="18" t="str">
        <f t="shared" si="124"/>
        <v/>
      </c>
      <c r="AG1549" s="18" t="str">
        <f t="shared" si="125"/>
        <v/>
      </c>
      <c r="AH1549" s="18" t="str">
        <f t="shared" si="126"/>
        <v/>
      </c>
      <c r="AI1549" s="18" t="str">
        <f t="shared" si="127"/>
        <v/>
      </c>
      <c r="AJ1549" s="18" t="str">
        <f t="shared" si="128"/>
        <v/>
      </c>
      <c r="AK1549" s="18" t="str">
        <f t="shared" si="129"/>
        <v/>
      </c>
      <c r="AL1549" s="18" t="str">
        <f t="shared" si="130"/>
        <v/>
      </c>
      <c r="AM1549" s="18" t="str">
        <f t="shared" si="131"/>
        <v/>
      </c>
    </row>
    <row r="1550" spans="1:39" x14ac:dyDescent="0.35">
      <c r="A1550" s="56" t="s">
        <v>1618</v>
      </c>
      <c r="B1550" s="31"/>
      <c r="C1550" s="54"/>
      <c r="D1550" s="31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E1550" s="57" t="str">
        <f t="shared" si="123"/>
        <v/>
      </c>
      <c r="AF1550" s="18" t="str">
        <f t="shared" si="124"/>
        <v/>
      </c>
      <c r="AG1550" s="18" t="str">
        <f t="shared" si="125"/>
        <v/>
      </c>
      <c r="AH1550" s="18" t="str">
        <f t="shared" si="126"/>
        <v/>
      </c>
      <c r="AI1550" s="18" t="str">
        <f t="shared" si="127"/>
        <v/>
      </c>
      <c r="AJ1550" s="18" t="str">
        <f t="shared" si="128"/>
        <v/>
      </c>
      <c r="AK1550" s="18" t="str">
        <f t="shared" si="129"/>
        <v/>
      </c>
      <c r="AL1550" s="18" t="str">
        <f t="shared" si="130"/>
        <v/>
      </c>
      <c r="AM1550" s="18" t="str">
        <f t="shared" si="131"/>
        <v/>
      </c>
    </row>
    <row r="1551" spans="1:39" x14ac:dyDescent="0.35">
      <c r="A1551" s="56" t="s">
        <v>1619</v>
      </c>
      <c r="B1551" s="31"/>
      <c r="C1551" s="54"/>
      <c r="D1551" s="31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E1551" s="57" t="str">
        <f t="shared" si="123"/>
        <v/>
      </c>
      <c r="AF1551" s="18" t="str">
        <f t="shared" si="124"/>
        <v/>
      </c>
      <c r="AG1551" s="18" t="str">
        <f t="shared" si="125"/>
        <v/>
      </c>
      <c r="AH1551" s="18" t="str">
        <f t="shared" si="126"/>
        <v/>
      </c>
      <c r="AI1551" s="18" t="str">
        <f t="shared" si="127"/>
        <v/>
      </c>
      <c r="AJ1551" s="18" t="str">
        <f t="shared" si="128"/>
        <v/>
      </c>
      <c r="AK1551" s="18" t="str">
        <f t="shared" si="129"/>
        <v/>
      </c>
      <c r="AL1551" s="18" t="str">
        <f t="shared" si="130"/>
        <v/>
      </c>
      <c r="AM1551" s="18" t="str">
        <f t="shared" si="131"/>
        <v/>
      </c>
    </row>
    <row r="1552" spans="1:39" x14ac:dyDescent="0.35">
      <c r="A1552" s="56" t="s">
        <v>1620</v>
      </c>
      <c r="B1552" s="31"/>
      <c r="C1552" s="54"/>
      <c r="D1552" s="31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E1552" s="57" t="str">
        <f t="shared" si="123"/>
        <v/>
      </c>
      <c r="AF1552" s="18" t="str">
        <f t="shared" si="124"/>
        <v/>
      </c>
      <c r="AG1552" s="18" t="str">
        <f t="shared" si="125"/>
        <v/>
      </c>
      <c r="AH1552" s="18" t="str">
        <f t="shared" si="126"/>
        <v/>
      </c>
      <c r="AI1552" s="18" t="str">
        <f t="shared" si="127"/>
        <v/>
      </c>
      <c r="AJ1552" s="18" t="str">
        <f t="shared" si="128"/>
        <v/>
      </c>
      <c r="AK1552" s="18" t="str">
        <f t="shared" si="129"/>
        <v/>
      </c>
      <c r="AL1552" s="18" t="str">
        <f t="shared" si="130"/>
        <v/>
      </c>
      <c r="AM1552" s="18" t="str">
        <f t="shared" si="131"/>
        <v/>
      </c>
    </row>
    <row r="1553" spans="1:39" x14ac:dyDescent="0.35">
      <c r="A1553" s="56" t="s">
        <v>1621</v>
      </c>
      <c r="B1553" s="31"/>
      <c r="C1553" s="54"/>
      <c r="D1553" s="31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E1553" s="57" t="str">
        <f t="shared" si="123"/>
        <v/>
      </c>
      <c r="AF1553" s="18" t="str">
        <f t="shared" si="124"/>
        <v/>
      </c>
      <c r="AG1553" s="18" t="str">
        <f t="shared" si="125"/>
        <v/>
      </c>
      <c r="AH1553" s="18" t="str">
        <f t="shared" si="126"/>
        <v/>
      </c>
      <c r="AI1553" s="18" t="str">
        <f t="shared" si="127"/>
        <v/>
      </c>
      <c r="AJ1553" s="18" t="str">
        <f t="shared" si="128"/>
        <v/>
      </c>
      <c r="AK1553" s="18" t="str">
        <f t="shared" si="129"/>
        <v/>
      </c>
      <c r="AL1553" s="18" t="str">
        <f t="shared" si="130"/>
        <v/>
      </c>
      <c r="AM1553" s="18" t="str">
        <f t="shared" si="131"/>
        <v/>
      </c>
    </row>
    <row r="1554" spans="1:39" x14ac:dyDescent="0.35">
      <c r="A1554" s="56" t="s">
        <v>1622</v>
      </c>
      <c r="B1554" s="31"/>
      <c r="C1554" s="54"/>
      <c r="D1554" s="31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E1554" s="57" t="str">
        <f t="shared" si="123"/>
        <v/>
      </c>
      <c r="AF1554" s="18" t="str">
        <f t="shared" si="124"/>
        <v/>
      </c>
      <c r="AG1554" s="18" t="str">
        <f t="shared" si="125"/>
        <v/>
      </c>
      <c r="AH1554" s="18" t="str">
        <f t="shared" si="126"/>
        <v/>
      </c>
      <c r="AI1554" s="18" t="str">
        <f t="shared" si="127"/>
        <v/>
      </c>
      <c r="AJ1554" s="18" t="str">
        <f t="shared" si="128"/>
        <v/>
      </c>
      <c r="AK1554" s="18" t="str">
        <f t="shared" si="129"/>
        <v/>
      </c>
      <c r="AL1554" s="18" t="str">
        <f t="shared" si="130"/>
        <v/>
      </c>
      <c r="AM1554" s="18" t="str">
        <f t="shared" si="131"/>
        <v/>
      </c>
    </row>
    <row r="1555" spans="1:39" x14ac:dyDescent="0.35">
      <c r="A1555" s="56" t="s">
        <v>1623</v>
      </c>
      <c r="B1555" s="31"/>
      <c r="C1555" s="54"/>
      <c r="D1555" s="31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E1555" s="57" t="str">
        <f t="shared" si="123"/>
        <v/>
      </c>
      <c r="AF1555" s="18" t="str">
        <f t="shared" si="124"/>
        <v/>
      </c>
      <c r="AG1555" s="18" t="str">
        <f t="shared" si="125"/>
        <v/>
      </c>
      <c r="AH1555" s="18" t="str">
        <f t="shared" si="126"/>
        <v/>
      </c>
      <c r="AI1555" s="18" t="str">
        <f t="shared" si="127"/>
        <v/>
      </c>
      <c r="AJ1555" s="18" t="str">
        <f t="shared" si="128"/>
        <v/>
      </c>
      <c r="AK1555" s="18" t="str">
        <f t="shared" si="129"/>
        <v/>
      </c>
      <c r="AL1555" s="18" t="str">
        <f t="shared" si="130"/>
        <v/>
      </c>
      <c r="AM1555" s="18" t="str">
        <f t="shared" si="131"/>
        <v/>
      </c>
    </row>
    <row r="1556" spans="1:39" x14ac:dyDescent="0.35">
      <c r="A1556" s="56" t="s">
        <v>1624</v>
      </c>
      <c r="B1556" s="31"/>
      <c r="C1556" s="54"/>
      <c r="D1556" s="31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E1556" s="57" t="str">
        <f t="shared" si="123"/>
        <v/>
      </c>
      <c r="AF1556" s="18" t="str">
        <f t="shared" si="124"/>
        <v/>
      </c>
      <c r="AG1556" s="18" t="str">
        <f t="shared" si="125"/>
        <v/>
      </c>
      <c r="AH1556" s="18" t="str">
        <f t="shared" si="126"/>
        <v/>
      </c>
      <c r="AI1556" s="18" t="str">
        <f t="shared" si="127"/>
        <v/>
      </c>
      <c r="AJ1556" s="18" t="str">
        <f t="shared" si="128"/>
        <v/>
      </c>
      <c r="AK1556" s="18" t="str">
        <f t="shared" si="129"/>
        <v/>
      </c>
      <c r="AL1556" s="18" t="str">
        <f t="shared" si="130"/>
        <v/>
      </c>
      <c r="AM1556" s="18" t="str">
        <f t="shared" si="131"/>
        <v/>
      </c>
    </row>
    <row r="1557" spans="1:39" x14ac:dyDescent="0.35">
      <c r="A1557" s="56" t="s">
        <v>1625</v>
      </c>
      <c r="B1557" s="31"/>
      <c r="C1557" s="54"/>
      <c r="D1557" s="31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E1557" s="57" t="str">
        <f t="shared" si="123"/>
        <v/>
      </c>
      <c r="AF1557" s="18" t="str">
        <f t="shared" si="124"/>
        <v/>
      </c>
      <c r="AG1557" s="18" t="str">
        <f t="shared" si="125"/>
        <v/>
      </c>
      <c r="AH1557" s="18" t="str">
        <f t="shared" si="126"/>
        <v/>
      </c>
      <c r="AI1557" s="18" t="str">
        <f t="shared" si="127"/>
        <v/>
      </c>
      <c r="AJ1557" s="18" t="str">
        <f t="shared" si="128"/>
        <v/>
      </c>
      <c r="AK1557" s="18" t="str">
        <f t="shared" si="129"/>
        <v/>
      </c>
      <c r="AL1557" s="18" t="str">
        <f t="shared" si="130"/>
        <v/>
      </c>
      <c r="AM1557" s="18" t="str">
        <f t="shared" si="131"/>
        <v/>
      </c>
    </row>
    <row r="1558" spans="1:39" x14ac:dyDescent="0.35">
      <c r="A1558" s="56" t="s">
        <v>1626</v>
      </c>
      <c r="B1558" s="31"/>
      <c r="C1558" s="54"/>
      <c r="D1558" s="31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E1558" s="57" t="str">
        <f t="shared" si="123"/>
        <v/>
      </c>
      <c r="AF1558" s="18" t="str">
        <f t="shared" si="124"/>
        <v/>
      </c>
      <c r="AG1558" s="18" t="str">
        <f t="shared" si="125"/>
        <v/>
      </c>
      <c r="AH1558" s="18" t="str">
        <f t="shared" si="126"/>
        <v/>
      </c>
      <c r="AI1558" s="18" t="str">
        <f t="shared" si="127"/>
        <v/>
      </c>
      <c r="AJ1558" s="18" t="str">
        <f t="shared" si="128"/>
        <v/>
      </c>
      <c r="AK1558" s="18" t="str">
        <f t="shared" si="129"/>
        <v/>
      </c>
      <c r="AL1558" s="18" t="str">
        <f t="shared" si="130"/>
        <v/>
      </c>
      <c r="AM1558" s="18" t="str">
        <f t="shared" si="131"/>
        <v/>
      </c>
    </row>
    <row r="1559" spans="1:39" x14ac:dyDescent="0.35">
      <c r="A1559" s="56" t="s">
        <v>1627</v>
      </c>
      <c r="B1559" s="31"/>
      <c r="C1559" s="54"/>
      <c r="D1559" s="31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E1559" s="57" t="str">
        <f t="shared" si="123"/>
        <v/>
      </c>
      <c r="AF1559" s="18" t="str">
        <f t="shared" si="124"/>
        <v/>
      </c>
      <c r="AG1559" s="18" t="str">
        <f t="shared" si="125"/>
        <v/>
      </c>
      <c r="AH1559" s="18" t="str">
        <f t="shared" si="126"/>
        <v/>
      </c>
      <c r="AI1559" s="18" t="str">
        <f t="shared" si="127"/>
        <v/>
      </c>
      <c r="AJ1559" s="18" t="str">
        <f t="shared" si="128"/>
        <v/>
      </c>
      <c r="AK1559" s="18" t="str">
        <f t="shared" si="129"/>
        <v/>
      </c>
      <c r="AL1559" s="18" t="str">
        <f t="shared" si="130"/>
        <v/>
      </c>
      <c r="AM1559" s="18" t="str">
        <f t="shared" si="131"/>
        <v/>
      </c>
    </row>
    <row r="1560" spans="1:39" x14ac:dyDescent="0.35">
      <c r="A1560" s="56" t="s">
        <v>1628</v>
      </c>
      <c r="B1560" s="31"/>
      <c r="C1560" s="54"/>
      <c r="D1560" s="31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E1560" s="57" t="str">
        <f t="shared" si="123"/>
        <v/>
      </c>
      <c r="AF1560" s="18" t="str">
        <f t="shared" si="124"/>
        <v/>
      </c>
      <c r="AG1560" s="18" t="str">
        <f t="shared" si="125"/>
        <v/>
      </c>
      <c r="AH1560" s="18" t="str">
        <f t="shared" si="126"/>
        <v/>
      </c>
      <c r="AI1560" s="18" t="str">
        <f t="shared" si="127"/>
        <v/>
      </c>
      <c r="AJ1560" s="18" t="str">
        <f t="shared" si="128"/>
        <v/>
      </c>
      <c r="AK1560" s="18" t="str">
        <f t="shared" si="129"/>
        <v/>
      </c>
      <c r="AL1560" s="18" t="str">
        <f t="shared" si="130"/>
        <v/>
      </c>
      <c r="AM1560" s="18" t="str">
        <f t="shared" si="131"/>
        <v/>
      </c>
    </row>
    <row r="1561" spans="1:39" x14ac:dyDescent="0.35">
      <c r="A1561" s="56" t="s">
        <v>1629</v>
      </c>
      <c r="B1561" s="31"/>
      <c r="C1561" s="54"/>
      <c r="D1561" s="31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E1561" s="57" t="str">
        <f t="shared" si="123"/>
        <v/>
      </c>
      <c r="AF1561" s="18" t="str">
        <f t="shared" si="124"/>
        <v/>
      </c>
      <c r="AG1561" s="18" t="str">
        <f t="shared" si="125"/>
        <v/>
      </c>
      <c r="AH1561" s="18" t="str">
        <f t="shared" si="126"/>
        <v/>
      </c>
      <c r="AI1561" s="18" t="str">
        <f t="shared" si="127"/>
        <v/>
      </c>
      <c r="AJ1561" s="18" t="str">
        <f t="shared" si="128"/>
        <v/>
      </c>
      <c r="AK1561" s="18" t="str">
        <f t="shared" si="129"/>
        <v/>
      </c>
      <c r="AL1561" s="18" t="str">
        <f t="shared" si="130"/>
        <v/>
      </c>
      <c r="AM1561" s="18" t="str">
        <f t="shared" si="131"/>
        <v/>
      </c>
    </row>
    <row r="1562" spans="1:39" x14ac:dyDescent="0.35">
      <c r="A1562" s="56" t="s">
        <v>1630</v>
      </c>
      <c r="B1562" s="31"/>
      <c r="C1562" s="54"/>
      <c r="D1562" s="31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E1562" s="57" t="str">
        <f t="shared" si="123"/>
        <v/>
      </c>
      <c r="AF1562" s="18" t="str">
        <f t="shared" si="124"/>
        <v/>
      </c>
      <c r="AG1562" s="18" t="str">
        <f t="shared" si="125"/>
        <v/>
      </c>
      <c r="AH1562" s="18" t="str">
        <f t="shared" si="126"/>
        <v/>
      </c>
      <c r="AI1562" s="18" t="str">
        <f t="shared" si="127"/>
        <v/>
      </c>
      <c r="AJ1562" s="18" t="str">
        <f t="shared" si="128"/>
        <v/>
      </c>
      <c r="AK1562" s="18" t="str">
        <f t="shared" si="129"/>
        <v/>
      </c>
      <c r="AL1562" s="18" t="str">
        <f t="shared" si="130"/>
        <v/>
      </c>
      <c r="AM1562" s="18" t="str">
        <f t="shared" si="131"/>
        <v/>
      </c>
    </row>
    <row r="1563" spans="1:39" x14ac:dyDescent="0.35">
      <c r="A1563" s="56" t="s">
        <v>1631</v>
      </c>
      <c r="B1563" s="31"/>
      <c r="C1563" s="54"/>
      <c r="D1563" s="31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E1563" s="57" t="str">
        <f t="shared" si="123"/>
        <v/>
      </c>
      <c r="AF1563" s="18" t="str">
        <f t="shared" si="124"/>
        <v/>
      </c>
      <c r="AG1563" s="18" t="str">
        <f t="shared" si="125"/>
        <v/>
      </c>
      <c r="AH1563" s="18" t="str">
        <f t="shared" si="126"/>
        <v/>
      </c>
      <c r="AI1563" s="18" t="str">
        <f t="shared" si="127"/>
        <v/>
      </c>
      <c r="AJ1563" s="18" t="str">
        <f t="shared" si="128"/>
        <v/>
      </c>
      <c r="AK1563" s="18" t="str">
        <f t="shared" si="129"/>
        <v/>
      </c>
      <c r="AL1563" s="18" t="str">
        <f t="shared" si="130"/>
        <v/>
      </c>
      <c r="AM1563" s="18" t="str">
        <f t="shared" si="131"/>
        <v/>
      </c>
    </row>
    <row r="1564" spans="1:39" x14ac:dyDescent="0.35">
      <c r="A1564" s="56" t="s">
        <v>1632</v>
      </c>
      <c r="B1564" s="31"/>
      <c r="C1564" s="54"/>
      <c r="D1564" s="31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E1564" s="57" t="str">
        <f t="shared" si="123"/>
        <v/>
      </c>
      <c r="AF1564" s="18" t="str">
        <f t="shared" si="124"/>
        <v/>
      </c>
      <c r="AG1564" s="18" t="str">
        <f t="shared" si="125"/>
        <v/>
      </c>
      <c r="AH1564" s="18" t="str">
        <f t="shared" si="126"/>
        <v/>
      </c>
      <c r="AI1564" s="18" t="str">
        <f t="shared" si="127"/>
        <v/>
      </c>
      <c r="AJ1564" s="18" t="str">
        <f t="shared" si="128"/>
        <v/>
      </c>
      <c r="AK1564" s="18" t="str">
        <f t="shared" si="129"/>
        <v/>
      </c>
      <c r="AL1564" s="18" t="str">
        <f t="shared" si="130"/>
        <v/>
      </c>
      <c r="AM1564" s="18" t="str">
        <f t="shared" si="131"/>
        <v/>
      </c>
    </row>
    <row r="1565" spans="1:39" x14ac:dyDescent="0.35">
      <c r="A1565" s="56" t="s">
        <v>1633</v>
      </c>
      <c r="B1565" s="31"/>
      <c r="C1565" s="54"/>
      <c r="D1565" s="31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E1565" s="57" t="str">
        <f t="shared" si="123"/>
        <v/>
      </c>
      <c r="AF1565" s="18" t="str">
        <f t="shared" si="124"/>
        <v/>
      </c>
      <c r="AG1565" s="18" t="str">
        <f t="shared" si="125"/>
        <v/>
      </c>
      <c r="AH1565" s="18" t="str">
        <f t="shared" si="126"/>
        <v/>
      </c>
      <c r="AI1565" s="18" t="str">
        <f t="shared" si="127"/>
        <v/>
      </c>
      <c r="AJ1565" s="18" t="str">
        <f t="shared" si="128"/>
        <v/>
      </c>
      <c r="AK1565" s="18" t="str">
        <f t="shared" si="129"/>
        <v/>
      </c>
      <c r="AL1565" s="18" t="str">
        <f t="shared" si="130"/>
        <v/>
      </c>
      <c r="AM1565" s="18" t="str">
        <f t="shared" si="131"/>
        <v/>
      </c>
    </row>
    <row r="1566" spans="1:39" x14ac:dyDescent="0.35">
      <c r="A1566" s="56" t="s">
        <v>1634</v>
      </c>
      <c r="B1566" s="31"/>
      <c r="C1566" s="54"/>
      <c r="D1566" s="31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E1566" s="57" t="str">
        <f t="shared" si="123"/>
        <v/>
      </c>
      <c r="AF1566" s="18" t="str">
        <f t="shared" si="124"/>
        <v/>
      </c>
      <c r="AG1566" s="18" t="str">
        <f t="shared" si="125"/>
        <v/>
      </c>
      <c r="AH1566" s="18" t="str">
        <f t="shared" si="126"/>
        <v/>
      </c>
      <c r="AI1566" s="18" t="str">
        <f t="shared" si="127"/>
        <v/>
      </c>
      <c r="AJ1566" s="18" t="str">
        <f t="shared" si="128"/>
        <v/>
      </c>
      <c r="AK1566" s="18" t="str">
        <f t="shared" si="129"/>
        <v/>
      </c>
      <c r="AL1566" s="18" t="str">
        <f t="shared" si="130"/>
        <v/>
      </c>
      <c r="AM1566" s="18" t="str">
        <f t="shared" si="131"/>
        <v/>
      </c>
    </row>
    <row r="1567" spans="1:39" x14ac:dyDescent="0.35">
      <c r="A1567" s="56" t="s">
        <v>1635</v>
      </c>
      <c r="B1567" s="31"/>
      <c r="C1567" s="54"/>
      <c r="D1567" s="31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E1567" s="57" t="str">
        <f t="shared" si="123"/>
        <v/>
      </c>
      <c r="AF1567" s="18" t="str">
        <f t="shared" si="124"/>
        <v/>
      </c>
      <c r="AG1567" s="18" t="str">
        <f t="shared" si="125"/>
        <v/>
      </c>
      <c r="AH1567" s="18" t="str">
        <f t="shared" si="126"/>
        <v/>
      </c>
      <c r="AI1567" s="18" t="str">
        <f t="shared" si="127"/>
        <v/>
      </c>
      <c r="AJ1567" s="18" t="str">
        <f t="shared" si="128"/>
        <v/>
      </c>
      <c r="AK1567" s="18" t="str">
        <f t="shared" si="129"/>
        <v/>
      </c>
      <c r="AL1567" s="18" t="str">
        <f t="shared" si="130"/>
        <v/>
      </c>
      <c r="AM1567" s="18" t="str">
        <f t="shared" si="131"/>
        <v/>
      </c>
    </row>
    <row r="1568" spans="1:39" x14ac:dyDescent="0.35">
      <c r="A1568" s="56" t="s">
        <v>1636</v>
      </c>
      <c r="B1568" s="31"/>
      <c r="C1568" s="54"/>
      <c r="D1568" s="31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E1568" s="57" t="str">
        <f t="shared" si="123"/>
        <v/>
      </c>
      <c r="AF1568" s="18" t="str">
        <f t="shared" si="124"/>
        <v/>
      </c>
      <c r="AG1568" s="18" t="str">
        <f t="shared" si="125"/>
        <v/>
      </c>
      <c r="AH1568" s="18" t="str">
        <f t="shared" si="126"/>
        <v/>
      </c>
      <c r="AI1568" s="18" t="str">
        <f t="shared" si="127"/>
        <v/>
      </c>
      <c r="AJ1568" s="18" t="str">
        <f t="shared" si="128"/>
        <v/>
      </c>
      <c r="AK1568" s="18" t="str">
        <f t="shared" si="129"/>
        <v/>
      </c>
      <c r="AL1568" s="18" t="str">
        <f t="shared" si="130"/>
        <v/>
      </c>
      <c r="AM1568" s="18" t="str">
        <f t="shared" si="131"/>
        <v/>
      </c>
    </row>
    <row r="1569" spans="1:39" x14ac:dyDescent="0.35">
      <c r="A1569" s="56" t="s">
        <v>1637</v>
      </c>
      <c r="B1569" s="31"/>
      <c r="C1569" s="54"/>
      <c r="D1569" s="31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E1569" s="57" t="str">
        <f t="shared" si="123"/>
        <v/>
      </c>
      <c r="AF1569" s="18" t="str">
        <f t="shared" si="124"/>
        <v/>
      </c>
      <c r="AG1569" s="18" t="str">
        <f t="shared" si="125"/>
        <v/>
      </c>
      <c r="AH1569" s="18" t="str">
        <f t="shared" si="126"/>
        <v/>
      </c>
      <c r="AI1569" s="18" t="str">
        <f t="shared" si="127"/>
        <v/>
      </c>
      <c r="AJ1569" s="18" t="str">
        <f t="shared" si="128"/>
        <v/>
      </c>
      <c r="AK1569" s="18" t="str">
        <f t="shared" si="129"/>
        <v/>
      </c>
      <c r="AL1569" s="18" t="str">
        <f t="shared" si="130"/>
        <v/>
      </c>
      <c r="AM1569" s="18" t="str">
        <f t="shared" si="131"/>
        <v/>
      </c>
    </row>
    <row r="1570" spans="1:39" x14ac:dyDescent="0.35">
      <c r="A1570" s="56" t="s">
        <v>1638</v>
      </c>
      <c r="B1570" s="31"/>
      <c r="C1570" s="54"/>
      <c r="D1570" s="31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E1570" s="57" t="str">
        <f t="shared" si="123"/>
        <v/>
      </c>
      <c r="AF1570" s="18" t="str">
        <f t="shared" si="124"/>
        <v/>
      </c>
      <c r="AG1570" s="18" t="str">
        <f t="shared" si="125"/>
        <v/>
      </c>
      <c r="AH1570" s="18" t="str">
        <f t="shared" si="126"/>
        <v/>
      </c>
      <c r="AI1570" s="18" t="str">
        <f t="shared" si="127"/>
        <v/>
      </c>
      <c r="AJ1570" s="18" t="str">
        <f t="shared" si="128"/>
        <v/>
      </c>
      <c r="AK1570" s="18" t="str">
        <f t="shared" si="129"/>
        <v/>
      </c>
      <c r="AL1570" s="18" t="str">
        <f t="shared" si="130"/>
        <v/>
      </c>
      <c r="AM1570" s="18" t="str">
        <f t="shared" si="131"/>
        <v/>
      </c>
    </row>
    <row r="1571" spans="1:39" x14ac:dyDescent="0.35">
      <c r="A1571" s="56" t="s">
        <v>1639</v>
      </c>
      <c r="B1571" s="31"/>
      <c r="C1571" s="54"/>
      <c r="D1571" s="31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E1571" s="57" t="str">
        <f t="shared" si="123"/>
        <v/>
      </c>
      <c r="AF1571" s="18" t="str">
        <f t="shared" si="124"/>
        <v/>
      </c>
      <c r="AG1571" s="18" t="str">
        <f t="shared" si="125"/>
        <v/>
      </c>
      <c r="AH1571" s="18" t="str">
        <f t="shared" si="126"/>
        <v/>
      </c>
      <c r="AI1571" s="18" t="str">
        <f t="shared" si="127"/>
        <v/>
      </c>
      <c r="AJ1571" s="18" t="str">
        <f t="shared" si="128"/>
        <v/>
      </c>
      <c r="AK1571" s="18" t="str">
        <f t="shared" si="129"/>
        <v/>
      </c>
      <c r="AL1571" s="18" t="str">
        <f t="shared" si="130"/>
        <v/>
      </c>
      <c r="AM1571" s="18" t="str">
        <f t="shared" si="131"/>
        <v/>
      </c>
    </row>
    <row r="1572" spans="1:39" x14ac:dyDescent="0.35">
      <c r="A1572" s="56" t="s">
        <v>1640</v>
      </c>
      <c r="B1572" s="31"/>
      <c r="C1572" s="54"/>
      <c r="D1572" s="31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E1572" s="57" t="str">
        <f t="shared" si="123"/>
        <v/>
      </c>
      <c r="AF1572" s="18" t="str">
        <f t="shared" si="124"/>
        <v/>
      </c>
      <c r="AG1572" s="18" t="str">
        <f t="shared" si="125"/>
        <v/>
      </c>
      <c r="AH1572" s="18" t="str">
        <f t="shared" si="126"/>
        <v/>
      </c>
      <c r="AI1572" s="18" t="str">
        <f t="shared" si="127"/>
        <v/>
      </c>
      <c r="AJ1572" s="18" t="str">
        <f t="shared" si="128"/>
        <v/>
      </c>
      <c r="AK1572" s="18" t="str">
        <f t="shared" si="129"/>
        <v/>
      </c>
      <c r="AL1572" s="18" t="str">
        <f t="shared" si="130"/>
        <v/>
      </c>
      <c r="AM1572" s="18" t="str">
        <f t="shared" si="131"/>
        <v/>
      </c>
    </row>
    <row r="1573" spans="1:39" x14ac:dyDescent="0.35">
      <c r="A1573" s="56" t="s">
        <v>1641</v>
      </c>
      <c r="B1573" s="31"/>
      <c r="C1573" s="54"/>
      <c r="D1573" s="31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E1573" s="57" t="str">
        <f t="shared" si="123"/>
        <v/>
      </c>
      <c r="AF1573" s="18" t="str">
        <f t="shared" si="124"/>
        <v/>
      </c>
      <c r="AG1573" s="18" t="str">
        <f t="shared" si="125"/>
        <v/>
      </c>
      <c r="AH1573" s="18" t="str">
        <f t="shared" si="126"/>
        <v/>
      </c>
      <c r="AI1573" s="18" t="str">
        <f t="shared" si="127"/>
        <v/>
      </c>
      <c r="AJ1573" s="18" t="str">
        <f t="shared" si="128"/>
        <v/>
      </c>
      <c r="AK1573" s="18" t="str">
        <f t="shared" si="129"/>
        <v/>
      </c>
      <c r="AL1573" s="18" t="str">
        <f t="shared" si="130"/>
        <v/>
      </c>
      <c r="AM1573" s="18" t="str">
        <f t="shared" si="131"/>
        <v/>
      </c>
    </row>
    <row r="1574" spans="1:39" x14ac:dyDescent="0.35">
      <c r="A1574" s="56" t="s">
        <v>1642</v>
      </c>
      <c r="B1574" s="31"/>
      <c r="C1574" s="54"/>
      <c r="D1574" s="31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E1574" s="57" t="str">
        <f t="shared" si="123"/>
        <v/>
      </c>
      <c r="AF1574" s="18" t="str">
        <f t="shared" si="124"/>
        <v/>
      </c>
      <c r="AG1574" s="18" t="str">
        <f t="shared" si="125"/>
        <v/>
      </c>
      <c r="AH1574" s="18" t="str">
        <f t="shared" si="126"/>
        <v/>
      </c>
      <c r="AI1574" s="18" t="str">
        <f t="shared" si="127"/>
        <v/>
      </c>
      <c r="AJ1574" s="18" t="str">
        <f t="shared" si="128"/>
        <v/>
      </c>
      <c r="AK1574" s="18" t="str">
        <f t="shared" si="129"/>
        <v/>
      </c>
      <c r="AL1574" s="18" t="str">
        <f t="shared" si="130"/>
        <v/>
      </c>
      <c r="AM1574" s="18" t="str">
        <f t="shared" si="131"/>
        <v/>
      </c>
    </row>
    <row r="1575" spans="1:39" x14ac:dyDescent="0.35">
      <c r="A1575" s="56" t="s">
        <v>1643</v>
      </c>
      <c r="B1575" s="31"/>
      <c r="C1575" s="54"/>
      <c r="D1575" s="31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E1575" s="57" t="str">
        <f t="shared" si="123"/>
        <v/>
      </c>
      <c r="AF1575" s="18" t="str">
        <f t="shared" si="124"/>
        <v/>
      </c>
      <c r="AG1575" s="18" t="str">
        <f t="shared" si="125"/>
        <v/>
      </c>
      <c r="AH1575" s="18" t="str">
        <f t="shared" si="126"/>
        <v/>
      </c>
      <c r="AI1575" s="18" t="str">
        <f t="shared" si="127"/>
        <v/>
      </c>
      <c r="AJ1575" s="18" t="str">
        <f t="shared" si="128"/>
        <v/>
      </c>
      <c r="AK1575" s="18" t="str">
        <f t="shared" si="129"/>
        <v/>
      </c>
      <c r="AL1575" s="18" t="str">
        <f t="shared" si="130"/>
        <v/>
      </c>
      <c r="AM1575" s="18" t="str">
        <f t="shared" si="131"/>
        <v/>
      </c>
    </row>
    <row r="1576" spans="1:39" x14ac:dyDescent="0.35">
      <c r="A1576" s="56" t="s">
        <v>1644</v>
      </c>
      <c r="B1576" s="31"/>
      <c r="C1576" s="54"/>
      <c r="D1576" s="31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E1576" s="57" t="str">
        <f t="shared" si="123"/>
        <v/>
      </c>
      <c r="AF1576" s="18" t="str">
        <f t="shared" si="124"/>
        <v/>
      </c>
      <c r="AG1576" s="18" t="str">
        <f t="shared" si="125"/>
        <v/>
      </c>
      <c r="AH1576" s="18" t="str">
        <f t="shared" si="126"/>
        <v/>
      </c>
      <c r="AI1576" s="18" t="str">
        <f t="shared" si="127"/>
        <v/>
      </c>
      <c r="AJ1576" s="18" t="str">
        <f t="shared" si="128"/>
        <v/>
      </c>
      <c r="AK1576" s="18" t="str">
        <f t="shared" si="129"/>
        <v/>
      </c>
      <c r="AL1576" s="18" t="str">
        <f t="shared" si="130"/>
        <v/>
      </c>
      <c r="AM1576" s="18" t="str">
        <f t="shared" si="131"/>
        <v/>
      </c>
    </row>
    <row r="1577" spans="1:39" x14ac:dyDescent="0.35">
      <c r="A1577" s="56" t="s">
        <v>1645</v>
      </c>
      <c r="B1577" s="31"/>
      <c r="C1577" s="54"/>
      <c r="D1577" s="31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E1577" s="57" t="str">
        <f t="shared" si="123"/>
        <v/>
      </c>
      <c r="AF1577" s="18" t="str">
        <f t="shared" si="124"/>
        <v/>
      </c>
      <c r="AG1577" s="18" t="str">
        <f t="shared" si="125"/>
        <v/>
      </c>
      <c r="AH1577" s="18" t="str">
        <f t="shared" si="126"/>
        <v/>
      </c>
      <c r="AI1577" s="18" t="str">
        <f t="shared" si="127"/>
        <v/>
      </c>
      <c r="AJ1577" s="18" t="str">
        <f t="shared" si="128"/>
        <v/>
      </c>
      <c r="AK1577" s="18" t="str">
        <f t="shared" si="129"/>
        <v/>
      </c>
      <c r="AL1577" s="18" t="str">
        <f t="shared" si="130"/>
        <v/>
      </c>
      <c r="AM1577" s="18" t="str">
        <f t="shared" si="131"/>
        <v/>
      </c>
    </row>
    <row r="1578" spans="1:39" x14ac:dyDescent="0.35">
      <c r="A1578" s="56" t="s">
        <v>1646</v>
      </c>
      <c r="B1578" s="31"/>
      <c r="C1578" s="54"/>
      <c r="D1578" s="31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E1578" s="57" t="str">
        <f t="shared" si="123"/>
        <v/>
      </c>
      <c r="AF1578" s="18" t="str">
        <f t="shared" si="124"/>
        <v/>
      </c>
      <c r="AG1578" s="18" t="str">
        <f t="shared" si="125"/>
        <v/>
      </c>
      <c r="AH1578" s="18" t="str">
        <f t="shared" si="126"/>
        <v/>
      </c>
      <c r="AI1578" s="18" t="str">
        <f t="shared" si="127"/>
        <v/>
      </c>
      <c r="AJ1578" s="18" t="str">
        <f t="shared" si="128"/>
        <v/>
      </c>
      <c r="AK1578" s="18" t="str">
        <f t="shared" si="129"/>
        <v/>
      </c>
      <c r="AL1578" s="18" t="str">
        <f t="shared" si="130"/>
        <v/>
      </c>
      <c r="AM1578" s="18" t="str">
        <f t="shared" si="131"/>
        <v/>
      </c>
    </row>
    <row r="1579" spans="1:39" x14ac:dyDescent="0.35">
      <c r="A1579" s="56" t="s">
        <v>1647</v>
      </c>
      <c r="B1579" s="31"/>
      <c r="C1579" s="54"/>
      <c r="D1579" s="31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E1579" s="57" t="str">
        <f t="shared" si="123"/>
        <v/>
      </c>
      <c r="AF1579" s="18" t="str">
        <f t="shared" si="124"/>
        <v/>
      </c>
      <c r="AG1579" s="18" t="str">
        <f t="shared" si="125"/>
        <v/>
      </c>
      <c r="AH1579" s="18" t="str">
        <f t="shared" si="126"/>
        <v/>
      </c>
      <c r="AI1579" s="18" t="str">
        <f t="shared" si="127"/>
        <v/>
      </c>
      <c r="AJ1579" s="18" t="str">
        <f t="shared" si="128"/>
        <v/>
      </c>
      <c r="AK1579" s="18" t="str">
        <f t="shared" si="129"/>
        <v/>
      </c>
      <c r="AL1579" s="18" t="str">
        <f t="shared" si="130"/>
        <v/>
      </c>
      <c r="AM1579" s="18" t="str">
        <f t="shared" si="131"/>
        <v/>
      </c>
    </row>
    <row r="1580" spans="1:39" x14ac:dyDescent="0.35">
      <c r="A1580" s="56" t="s">
        <v>1648</v>
      </c>
      <c r="B1580" s="31"/>
      <c r="C1580" s="54"/>
      <c r="D1580" s="31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E1580" s="57" t="str">
        <f t="shared" si="123"/>
        <v/>
      </c>
      <c r="AF1580" s="18" t="str">
        <f t="shared" si="124"/>
        <v/>
      </c>
      <c r="AG1580" s="18" t="str">
        <f t="shared" si="125"/>
        <v/>
      </c>
      <c r="AH1580" s="18" t="str">
        <f t="shared" si="126"/>
        <v/>
      </c>
      <c r="AI1580" s="18" t="str">
        <f t="shared" si="127"/>
        <v/>
      </c>
      <c r="AJ1580" s="18" t="str">
        <f t="shared" si="128"/>
        <v/>
      </c>
      <c r="AK1580" s="18" t="str">
        <f t="shared" si="129"/>
        <v/>
      </c>
      <c r="AL1580" s="18" t="str">
        <f t="shared" si="130"/>
        <v/>
      </c>
      <c r="AM1580" s="18" t="str">
        <f t="shared" si="131"/>
        <v/>
      </c>
    </row>
    <row r="1581" spans="1:39" x14ac:dyDescent="0.35">
      <c r="A1581" s="56" t="s">
        <v>1649</v>
      </c>
      <c r="B1581" s="31"/>
      <c r="C1581" s="54"/>
      <c r="D1581" s="31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E1581" s="57" t="str">
        <f t="shared" si="123"/>
        <v/>
      </c>
      <c r="AF1581" s="18" t="str">
        <f t="shared" si="124"/>
        <v/>
      </c>
      <c r="AG1581" s="18" t="str">
        <f t="shared" si="125"/>
        <v/>
      </c>
      <c r="AH1581" s="18" t="str">
        <f t="shared" si="126"/>
        <v/>
      </c>
      <c r="AI1581" s="18" t="str">
        <f t="shared" si="127"/>
        <v/>
      </c>
      <c r="AJ1581" s="18" t="str">
        <f t="shared" si="128"/>
        <v/>
      </c>
      <c r="AK1581" s="18" t="str">
        <f t="shared" si="129"/>
        <v/>
      </c>
      <c r="AL1581" s="18" t="str">
        <f t="shared" si="130"/>
        <v/>
      </c>
      <c r="AM1581" s="18" t="str">
        <f t="shared" si="131"/>
        <v/>
      </c>
    </row>
    <row r="1582" spans="1:39" x14ac:dyDescent="0.35">
      <c r="A1582" s="56" t="s">
        <v>1650</v>
      </c>
      <c r="B1582" s="31"/>
      <c r="C1582" s="54"/>
      <c r="D1582" s="31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E1582" s="57" t="str">
        <f t="shared" si="123"/>
        <v/>
      </c>
      <c r="AF1582" s="18" t="str">
        <f t="shared" si="124"/>
        <v/>
      </c>
      <c r="AG1582" s="18" t="str">
        <f t="shared" si="125"/>
        <v/>
      </c>
      <c r="AH1582" s="18" t="str">
        <f t="shared" si="126"/>
        <v/>
      </c>
      <c r="AI1582" s="18" t="str">
        <f t="shared" si="127"/>
        <v/>
      </c>
      <c r="AJ1582" s="18" t="str">
        <f t="shared" si="128"/>
        <v/>
      </c>
      <c r="AK1582" s="18" t="str">
        <f t="shared" si="129"/>
        <v/>
      </c>
      <c r="AL1582" s="18" t="str">
        <f t="shared" si="130"/>
        <v/>
      </c>
      <c r="AM1582" s="18" t="str">
        <f t="shared" si="131"/>
        <v/>
      </c>
    </row>
    <row r="1583" spans="1:39" x14ac:dyDescent="0.35">
      <c r="A1583" s="56" t="s">
        <v>1651</v>
      </c>
      <c r="B1583" s="31"/>
      <c r="C1583" s="54"/>
      <c r="D1583" s="31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E1583" s="57" t="str">
        <f t="shared" si="123"/>
        <v/>
      </c>
      <c r="AF1583" s="18" t="str">
        <f t="shared" si="124"/>
        <v/>
      </c>
      <c r="AG1583" s="18" t="str">
        <f t="shared" si="125"/>
        <v/>
      </c>
      <c r="AH1583" s="18" t="str">
        <f t="shared" si="126"/>
        <v/>
      </c>
      <c r="AI1583" s="18" t="str">
        <f t="shared" si="127"/>
        <v/>
      </c>
      <c r="AJ1583" s="18" t="str">
        <f t="shared" si="128"/>
        <v/>
      </c>
      <c r="AK1583" s="18" t="str">
        <f t="shared" si="129"/>
        <v/>
      </c>
      <c r="AL1583" s="18" t="str">
        <f t="shared" si="130"/>
        <v/>
      </c>
      <c r="AM1583" s="18" t="str">
        <f t="shared" si="131"/>
        <v/>
      </c>
    </row>
    <row r="1584" spans="1:39" x14ac:dyDescent="0.35">
      <c r="A1584" s="56" t="s">
        <v>1652</v>
      </c>
      <c r="B1584" s="31"/>
      <c r="C1584" s="54"/>
      <c r="D1584" s="31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E1584" s="57" t="str">
        <f t="shared" si="123"/>
        <v/>
      </c>
      <c r="AF1584" s="18" t="str">
        <f t="shared" si="124"/>
        <v/>
      </c>
      <c r="AG1584" s="18" t="str">
        <f t="shared" si="125"/>
        <v/>
      </c>
      <c r="AH1584" s="18" t="str">
        <f t="shared" si="126"/>
        <v/>
      </c>
      <c r="AI1584" s="18" t="str">
        <f t="shared" si="127"/>
        <v/>
      </c>
      <c r="AJ1584" s="18" t="str">
        <f t="shared" si="128"/>
        <v/>
      </c>
      <c r="AK1584" s="18" t="str">
        <f t="shared" si="129"/>
        <v/>
      </c>
      <c r="AL1584" s="18" t="str">
        <f t="shared" si="130"/>
        <v/>
      </c>
      <c r="AM1584" s="18" t="str">
        <f t="shared" si="131"/>
        <v/>
      </c>
    </row>
    <row r="1585" spans="1:39" x14ac:dyDescent="0.35">
      <c r="A1585" s="56" t="s">
        <v>1653</v>
      </c>
      <c r="B1585" s="31"/>
      <c r="C1585" s="54"/>
      <c r="D1585" s="31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E1585" s="57" t="str">
        <f t="shared" si="123"/>
        <v/>
      </c>
      <c r="AF1585" s="18" t="str">
        <f t="shared" si="124"/>
        <v/>
      </c>
      <c r="AG1585" s="18" t="str">
        <f t="shared" si="125"/>
        <v/>
      </c>
      <c r="AH1585" s="18" t="str">
        <f t="shared" si="126"/>
        <v/>
      </c>
      <c r="AI1585" s="18" t="str">
        <f t="shared" si="127"/>
        <v/>
      </c>
      <c r="AJ1585" s="18" t="str">
        <f t="shared" si="128"/>
        <v/>
      </c>
      <c r="AK1585" s="18" t="str">
        <f t="shared" si="129"/>
        <v/>
      </c>
      <c r="AL1585" s="18" t="str">
        <f t="shared" si="130"/>
        <v/>
      </c>
      <c r="AM1585" s="18" t="str">
        <f t="shared" si="131"/>
        <v/>
      </c>
    </row>
    <row r="1586" spans="1:39" x14ac:dyDescent="0.35">
      <c r="A1586" s="56" t="s">
        <v>1654</v>
      </c>
      <c r="B1586" s="31"/>
      <c r="C1586" s="54"/>
      <c r="D1586" s="31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E1586" s="57" t="str">
        <f t="shared" si="123"/>
        <v/>
      </c>
      <c r="AF1586" s="18" t="str">
        <f t="shared" si="124"/>
        <v/>
      </c>
      <c r="AG1586" s="18" t="str">
        <f t="shared" si="125"/>
        <v/>
      </c>
      <c r="AH1586" s="18" t="str">
        <f t="shared" si="126"/>
        <v/>
      </c>
      <c r="AI1586" s="18" t="str">
        <f t="shared" si="127"/>
        <v/>
      </c>
      <c r="AJ1586" s="18" t="str">
        <f t="shared" si="128"/>
        <v/>
      </c>
      <c r="AK1586" s="18" t="str">
        <f t="shared" si="129"/>
        <v/>
      </c>
      <c r="AL1586" s="18" t="str">
        <f t="shared" si="130"/>
        <v/>
      </c>
      <c r="AM1586" s="18" t="str">
        <f t="shared" si="131"/>
        <v/>
      </c>
    </row>
    <row r="1587" spans="1:39" x14ac:dyDescent="0.35">
      <c r="A1587" s="56" t="s">
        <v>1655</v>
      </c>
      <c r="B1587" s="31"/>
      <c r="C1587" s="54"/>
      <c r="D1587" s="31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E1587" s="57" t="str">
        <f t="shared" si="123"/>
        <v/>
      </c>
      <c r="AF1587" s="18" t="str">
        <f t="shared" si="124"/>
        <v/>
      </c>
      <c r="AG1587" s="18" t="str">
        <f t="shared" si="125"/>
        <v/>
      </c>
      <c r="AH1587" s="18" t="str">
        <f t="shared" si="126"/>
        <v/>
      </c>
      <c r="AI1587" s="18" t="str">
        <f t="shared" si="127"/>
        <v/>
      </c>
      <c r="AJ1587" s="18" t="str">
        <f t="shared" si="128"/>
        <v/>
      </c>
      <c r="AK1587" s="18" t="str">
        <f t="shared" si="129"/>
        <v/>
      </c>
      <c r="AL1587" s="18" t="str">
        <f t="shared" si="130"/>
        <v/>
      </c>
      <c r="AM1587" s="18" t="str">
        <f t="shared" si="131"/>
        <v/>
      </c>
    </row>
    <row r="1588" spans="1:39" x14ac:dyDescent="0.35">
      <c r="A1588" s="56" t="s">
        <v>1656</v>
      </c>
      <c r="B1588" s="31"/>
      <c r="C1588" s="54"/>
      <c r="D1588" s="31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E1588" s="57" t="str">
        <f t="shared" si="123"/>
        <v/>
      </c>
      <c r="AF1588" s="18" t="str">
        <f t="shared" si="124"/>
        <v/>
      </c>
      <c r="AG1588" s="18" t="str">
        <f t="shared" si="125"/>
        <v/>
      </c>
      <c r="AH1588" s="18" t="str">
        <f t="shared" si="126"/>
        <v/>
      </c>
      <c r="AI1588" s="18" t="str">
        <f t="shared" si="127"/>
        <v/>
      </c>
      <c r="AJ1588" s="18" t="str">
        <f t="shared" si="128"/>
        <v/>
      </c>
      <c r="AK1588" s="18" t="str">
        <f t="shared" si="129"/>
        <v/>
      </c>
      <c r="AL1588" s="18" t="str">
        <f t="shared" si="130"/>
        <v/>
      </c>
      <c r="AM1588" s="18" t="str">
        <f t="shared" si="131"/>
        <v/>
      </c>
    </row>
    <row r="1589" spans="1:39" x14ac:dyDescent="0.35">
      <c r="A1589" s="56" t="s">
        <v>1657</v>
      </c>
      <c r="B1589" s="31"/>
      <c r="C1589" s="54"/>
      <c r="D1589" s="31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E1589" s="57" t="str">
        <f t="shared" si="123"/>
        <v/>
      </c>
      <c r="AF1589" s="18" t="str">
        <f t="shared" si="124"/>
        <v/>
      </c>
      <c r="AG1589" s="18" t="str">
        <f t="shared" si="125"/>
        <v/>
      </c>
      <c r="AH1589" s="18" t="str">
        <f t="shared" si="126"/>
        <v/>
      </c>
      <c r="AI1589" s="18" t="str">
        <f t="shared" si="127"/>
        <v/>
      </c>
      <c r="AJ1589" s="18" t="str">
        <f t="shared" si="128"/>
        <v/>
      </c>
      <c r="AK1589" s="18" t="str">
        <f t="shared" si="129"/>
        <v/>
      </c>
      <c r="AL1589" s="18" t="str">
        <f t="shared" si="130"/>
        <v/>
      </c>
      <c r="AM1589" s="18" t="str">
        <f t="shared" si="131"/>
        <v/>
      </c>
    </row>
    <row r="1590" spans="1:39" x14ac:dyDescent="0.35">
      <c r="A1590" s="56" t="s">
        <v>1658</v>
      </c>
      <c r="B1590" s="31"/>
      <c r="C1590" s="54"/>
      <c r="D1590" s="31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E1590" s="57" t="str">
        <f t="shared" si="123"/>
        <v/>
      </c>
      <c r="AF1590" s="18" t="str">
        <f t="shared" si="124"/>
        <v/>
      </c>
      <c r="AG1590" s="18" t="str">
        <f t="shared" si="125"/>
        <v/>
      </c>
      <c r="AH1590" s="18" t="str">
        <f t="shared" si="126"/>
        <v/>
      </c>
      <c r="AI1590" s="18" t="str">
        <f t="shared" si="127"/>
        <v/>
      </c>
      <c r="AJ1590" s="18" t="str">
        <f t="shared" si="128"/>
        <v/>
      </c>
      <c r="AK1590" s="18" t="str">
        <f t="shared" si="129"/>
        <v/>
      </c>
      <c r="AL1590" s="18" t="str">
        <f t="shared" si="130"/>
        <v/>
      </c>
      <c r="AM1590" s="18" t="str">
        <f t="shared" si="131"/>
        <v/>
      </c>
    </row>
    <row r="1591" spans="1:39" x14ac:dyDescent="0.35">
      <c r="A1591" s="56" t="s">
        <v>1659</v>
      </c>
      <c r="B1591" s="31"/>
      <c r="C1591" s="54"/>
      <c r="D1591" s="31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E1591" s="57" t="str">
        <f t="shared" si="123"/>
        <v/>
      </c>
      <c r="AF1591" s="18" t="str">
        <f t="shared" si="124"/>
        <v/>
      </c>
      <c r="AG1591" s="18" t="str">
        <f t="shared" si="125"/>
        <v/>
      </c>
      <c r="AH1591" s="18" t="str">
        <f t="shared" si="126"/>
        <v/>
      </c>
      <c r="AI1591" s="18" t="str">
        <f t="shared" si="127"/>
        <v/>
      </c>
      <c r="AJ1591" s="18" t="str">
        <f t="shared" si="128"/>
        <v/>
      </c>
      <c r="AK1591" s="18" t="str">
        <f t="shared" si="129"/>
        <v/>
      </c>
      <c r="AL1591" s="18" t="str">
        <f t="shared" si="130"/>
        <v/>
      </c>
      <c r="AM1591" s="18" t="str">
        <f t="shared" si="131"/>
        <v/>
      </c>
    </row>
    <row r="1592" spans="1:39" x14ac:dyDescent="0.35">
      <c r="A1592" s="56" t="s">
        <v>1660</v>
      </c>
      <c r="B1592" s="31"/>
      <c r="C1592" s="54"/>
      <c r="D1592" s="31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E1592" s="57" t="str">
        <f t="shared" si="123"/>
        <v/>
      </c>
      <c r="AF1592" s="18" t="str">
        <f t="shared" si="124"/>
        <v/>
      </c>
      <c r="AG1592" s="18" t="str">
        <f t="shared" si="125"/>
        <v/>
      </c>
      <c r="AH1592" s="18" t="str">
        <f t="shared" si="126"/>
        <v/>
      </c>
      <c r="AI1592" s="18" t="str">
        <f t="shared" si="127"/>
        <v/>
      </c>
      <c r="AJ1592" s="18" t="str">
        <f t="shared" si="128"/>
        <v/>
      </c>
      <c r="AK1592" s="18" t="str">
        <f t="shared" si="129"/>
        <v/>
      </c>
      <c r="AL1592" s="18" t="str">
        <f t="shared" si="130"/>
        <v/>
      </c>
      <c r="AM1592" s="18" t="str">
        <f t="shared" si="131"/>
        <v/>
      </c>
    </row>
    <row r="1593" spans="1:39" x14ac:dyDescent="0.35">
      <c r="A1593" s="56" t="s">
        <v>1661</v>
      </c>
      <c r="B1593" s="31"/>
      <c r="C1593" s="54"/>
      <c r="D1593" s="31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E1593" s="57" t="str">
        <f t="shared" si="123"/>
        <v/>
      </c>
      <c r="AF1593" s="18" t="str">
        <f t="shared" si="124"/>
        <v/>
      </c>
      <c r="AG1593" s="18" t="str">
        <f t="shared" si="125"/>
        <v/>
      </c>
      <c r="AH1593" s="18" t="str">
        <f t="shared" si="126"/>
        <v/>
      </c>
      <c r="AI1593" s="18" t="str">
        <f t="shared" si="127"/>
        <v/>
      </c>
      <c r="AJ1593" s="18" t="str">
        <f t="shared" si="128"/>
        <v/>
      </c>
      <c r="AK1593" s="18" t="str">
        <f t="shared" si="129"/>
        <v/>
      </c>
      <c r="AL1593" s="18" t="str">
        <f t="shared" si="130"/>
        <v/>
      </c>
      <c r="AM1593" s="18" t="str">
        <f t="shared" si="131"/>
        <v/>
      </c>
    </row>
    <row r="1594" spans="1:39" x14ac:dyDescent="0.35">
      <c r="A1594" s="56" t="s">
        <v>1662</v>
      </c>
      <c r="B1594" s="31"/>
      <c r="C1594" s="54"/>
      <c r="D1594" s="31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E1594" s="57" t="str">
        <f t="shared" si="123"/>
        <v/>
      </c>
      <c r="AF1594" s="18" t="str">
        <f t="shared" si="124"/>
        <v/>
      </c>
      <c r="AG1594" s="18" t="str">
        <f t="shared" si="125"/>
        <v/>
      </c>
      <c r="AH1594" s="18" t="str">
        <f t="shared" si="126"/>
        <v/>
      </c>
      <c r="AI1594" s="18" t="str">
        <f t="shared" si="127"/>
        <v/>
      </c>
      <c r="AJ1594" s="18" t="str">
        <f t="shared" si="128"/>
        <v/>
      </c>
      <c r="AK1594" s="18" t="str">
        <f t="shared" si="129"/>
        <v/>
      </c>
      <c r="AL1594" s="18" t="str">
        <f t="shared" si="130"/>
        <v/>
      </c>
      <c r="AM1594" s="18" t="str">
        <f t="shared" si="131"/>
        <v/>
      </c>
    </row>
    <row r="1595" spans="1:39" x14ac:dyDescent="0.35">
      <c r="A1595" s="56" t="s">
        <v>1663</v>
      </c>
      <c r="B1595" s="31"/>
      <c r="C1595" s="54"/>
      <c r="D1595" s="31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E1595" s="57" t="str">
        <f t="shared" si="123"/>
        <v/>
      </c>
      <c r="AF1595" s="18" t="str">
        <f t="shared" si="124"/>
        <v/>
      </c>
      <c r="AG1595" s="18" t="str">
        <f t="shared" si="125"/>
        <v/>
      </c>
      <c r="AH1595" s="18" t="str">
        <f t="shared" si="126"/>
        <v/>
      </c>
      <c r="AI1595" s="18" t="str">
        <f t="shared" si="127"/>
        <v/>
      </c>
      <c r="AJ1595" s="18" t="str">
        <f t="shared" si="128"/>
        <v/>
      </c>
      <c r="AK1595" s="18" t="str">
        <f t="shared" si="129"/>
        <v/>
      </c>
      <c r="AL1595" s="18" t="str">
        <f t="shared" si="130"/>
        <v/>
      </c>
      <c r="AM1595" s="18" t="str">
        <f t="shared" si="131"/>
        <v/>
      </c>
    </row>
    <row r="1596" spans="1:39" x14ac:dyDescent="0.35">
      <c r="A1596" s="56" t="s">
        <v>1664</v>
      </c>
      <c r="B1596" s="31"/>
      <c r="C1596" s="54"/>
      <c r="D1596" s="31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E1596" s="57" t="str">
        <f t="shared" si="123"/>
        <v/>
      </c>
      <c r="AF1596" s="18" t="str">
        <f t="shared" si="124"/>
        <v/>
      </c>
      <c r="AG1596" s="18" t="str">
        <f t="shared" si="125"/>
        <v/>
      </c>
      <c r="AH1596" s="18" t="str">
        <f t="shared" si="126"/>
        <v/>
      </c>
      <c r="AI1596" s="18" t="str">
        <f t="shared" si="127"/>
        <v/>
      </c>
      <c r="AJ1596" s="18" t="str">
        <f t="shared" si="128"/>
        <v/>
      </c>
      <c r="AK1596" s="18" t="str">
        <f t="shared" si="129"/>
        <v/>
      </c>
      <c r="AL1596" s="18" t="str">
        <f t="shared" si="130"/>
        <v/>
      </c>
      <c r="AM1596" s="18" t="str">
        <f t="shared" si="131"/>
        <v/>
      </c>
    </row>
    <row r="1597" spans="1:39" x14ac:dyDescent="0.35">
      <c r="A1597" s="56" t="s">
        <v>1665</v>
      </c>
      <c r="B1597" s="31"/>
      <c r="C1597" s="54"/>
      <c r="D1597" s="31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E1597" s="57" t="str">
        <f t="shared" si="123"/>
        <v/>
      </c>
      <c r="AF1597" s="18" t="str">
        <f t="shared" si="124"/>
        <v/>
      </c>
      <c r="AG1597" s="18" t="str">
        <f t="shared" si="125"/>
        <v/>
      </c>
      <c r="AH1597" s="18" t="str">
        <f t="shared" si="126"/>
        <v/>
      </c>
      <c r="AI1597" s="18" t="str">
        <f t="shared" si="127"/>
        <v/>
      </c>
      <c r="AJ1597" s="18" t="str">
        <f t="shared" si="128"/>
        <v/>
      </c>
      <c r="AK1597" s="18" t="str">
        <f t="shared" si="129"/>
        <v/>
      </c>
      <c r="AL1597" s="18" t="str">
        <f t="shared" si="130"/>
        <v/>
      </c>
      <c r="AM1597" s="18" t="str">
        <f t="shared" si="131"/>
        <v/>
      </c>
    </row>
    <row r="1598" spans="1:39" x14ac:dyDescent="0.35">
      <c r="A1598" s="56" t="s">
        <v>1666</v>
      </c>
      <c r="B1598" s="31"/>
      <c r="C1598" s="54"/>
      <c r="D1598" s="31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E1598" s="57" t="str">
        <f t="shared" si="123"/>
        <v/>
      </c>
      <c r="AF1598" s="18" t="str">
        <f t="shared" si="124"/>
        <v/>
      </c>
      <c r="AG1598" s="18" t="str">
        <f t="shared" si="125"/>
        <v/>
      </c>
      <c r="AH1598" s="18" t="str">
        <f t="shared" si="126"/>
        <v/>
      </c>
      <c r="AI1598" s="18" t="str">
        <f t="shared" si="127"/>
        <v/>
      </c>
      <c r="AJ1598" s="18" t="str">
        <f t="shared" si="128"/>
        <v/>
      </c>
      <c r="AK1598" s="18" t="str">
        <f t="shared" si="129"/>
        <v/>
      </c>
      <c r="AL1598" s="18" t="str">
        <f t="shared" si="130"/>
        <v/>
      </c>
      <c r="AM1598" s="18" t="str">
        <f t="shared" si="131"/>
        <v/>
      </c>
    </row>
    <row r="1599" spans="1:39" x14ac:dyDescent="0.35">
      <c r="A1599" s="56" t="s">
        <v>1667</v>
      </c>
      <c r="B1599" s="31"/>
      <c r="C1599" s="54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E1599" s="57" t="str">
        <f t="shared" si="123"/>
        <v/>
      </c>
      <c r="AF1599" s="18" t="str">
        <f t="shared" si="124"/>
        <v/>
      </c>
      <c r="AG1599" s="18" t="str">
        <f t="shared" si="125"/>
        <v/>
      </c>
      <c r="AH1599" s="18" t="str">
        <f t="shared" si="126"/>
        <v/>
      </c>
      <c r="AI1599" s="18" t="str">
        <f t="shared" si="127"/>
        <v/>
      </c>
      <c r="AJ1599" s="18" t="str">
        <f t="shared" si="128"/>
        <v/>
      </c>
      <c r="AK1599" s="18" t="str">
        <f t="shared" si="129"/>
        <v/>
      </c>
      <c r="AL1599" s="18" t="str">
        <f t="shared" si="130"/>
        <v/>
      </c>
      <c r="AM1599" s="18" t="str">
        <f t="shared" si="131"/>
        <v/>
      </c>
    </row>
    <row r="1600" spans="1:39" x14ac:dyDescent="0.35">
      <c r="A1600" s="56" t="s">
        <v>1668</v>
      </c>
      <c r="B1600" s="31"/>
      <c r="C1600" s="54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E1600" s="57" t="str">
        <f t="shared" si="123"/>
        <v/>
      </c>
      <c r="AF1600" s="18" t="str">
        <f t="shared" si="124"/>
        <v/>
      </c>
      <c r="AG1600" s="18" t="str">
        <f t="shared" si="125"/>
        <v/>
      </c>
      <c r="AH1600" s="18" t="str">
        <f t="shared" si="126"/>
        <v/>
      </c>
      <c r="AI1600" s="18" t="str">
        <f t="shared" si="127"/>
        <v/>
      </c>
      <c r="AJ1600" s="18" t="str">
        <f t="shared" si="128"/>
        <v/>
      </c>
      <c r="AK1600" s="18" t="str">
        <f t="shared" si="129"/>
        <v/>
      </c>
      <c r="AL1600" s="18" t="str">
        <f t="shared" si="130"/>
        <v/>
      </c>
      <c r="AM1600" s="18" t="str">
        <f t="shared" si="131"/>
        <v/>
      </c>
    </row>
    <row r="1601" spans="1:39" x14ac:dyDescent="0.35">
      <c r="A1601" s="56" t="s">
        <v>1669</v>
      </c>
      <c r="B1601" s="31"/>
      <c r="C1601" s="54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E1601" s="57" t="str">
        <f t="shared" si="123"/>
        <v/>
      </c>
      <c r="AF1601" s="18" t="str">
        <f t="shared" si="124"/>
        <v/>
      </c>
      <c r="AG1601" s="18" t="str">
        <f t="shared" si="125"/>
        <v/>
      </c>
      <c r="AH1601" s="18" t="str">
        <f t="shared" si="126"/>
        <v/>
      </c>
      <c r="AI1601" s="18" t="str">
        <f t="shared" si="127"/>
        <v/>
      </c>
      <c r="AJ1601" s="18" t="str">
        <f t="shared" si="128"/>
        <v/>
      </c>
      <c r="AK1601" s="18" t="str">
        <f t="shared" si="129"/>
        <v/>
      </c>
      <c r="AL1601" s="18" t="str">
        <f t="shared" si="130"/>
        <v/>
      </c>
      <c r="AM1601" s="18" t="str">
        <f t="shared" si="131"/>
        <v/>
      </c>
    </row>
    <row r="1602" spans="1:39" x14ac:dyDescent="0.35">
      <c r="A1602" s="56" t="s">
        <v>1670</v>
      </c>
      <c r="B1602" s="31"/>
      <c r="C1602" s="54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E1602" s="57" t="str">
        <f t="shared" si="123"/>
        <v/>
      </c>
      <c r="AF1602" s="18" t="str">
        <f t="shared" si="124"/>
        <v/>
      </c>
      <c r="AG1602" s="18" t="str">
        <f t="shared" si="125"/>
        <v/>
      </c>
      <c r="AH1602" s="18" t="str">
        <f t="shared" si="126"/>
        <v/>
      </c>
      <c r="AI1602" s="18" t="str">
        <f t="shared" si="127"/>
        <v/>
      </c>
      <c r="AJ1602" s="18" t="str">
        <f t="shared" si="128"/>
        <v/>
      </c>
      <c r="AK1602" s="18" t="str">
        <f t="shared" si="129"/>
        <v/>
      </c>
      <c r="AL1602" s="18" t="str">
        <f t="shared" si="130"/>
        <v/>
      </c>
      <c r="AM1602" s="18" t="str">
        <f t="shared" si="131"/>
        <v/>
      </c>
    </row>
    <row r="1603" spans="1:39" x14ac:dyDescent="0.35">
      <c r="A1603" s="56" t="s">
        <v>1671</v>
      </c>
      <c r="B1603" s="31"/>
      <c r="C1603" s="54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E1603" s="57" t="str">
        <f t="shared" ref="AE1603:AE1666" si="132">IFERROR(VLOOKUP(AD1603,$A$2:$AA$2000,2,0),"")</f>
        <v/>
      </c>
      <c r="AF1603" s="18" t="str">
        <f t="shared" ref="AF1603:AF1666" si="133">IFERROR(VLOOKUP(AD1603,$A$2:$AA$2000,22,0),"")</f>
        <v/>
      </c>
      <c r="AG1603" s="18" t="str">
        <f t="shared" ref="AG1603:AG1666" si="134">IFERROR(VLOOKUP(AD1603,$A$2:$AA$2000,18,0),"")</f>
        <v/>
      </c>
      <c r="AH1603" s="18" t="str">
        <f t="shared" ref="AH1603:AH1666" si="135">IFERROR(VLOOKUP(AD1603,$A$2:$AA$2000,17,0),"")</f>
        <v/>
      </c>
      <c r="AI1603" s="18" t="str">
        <f t="shared" ref="AI1603:AI1666" si="136">IFERROR(VLOOKUP(AD1603,$A$2:$AA$2000,20,0),"")</f>
        <v/>
      </c>
      <c r="AJ1603" s="18" t="str">
        <f t="shared" ref="AJ1603:AJ1666" si="137">IFERROR(VLOOKUP(AD1603,$A$2:$AA$2000,9,0),"")</f>
        <v/>
      </c>
      <c r="AK1603" s="18" t="str">
        <f t="shared" ref="AK1603:AK1666" si="138">IFERROR(VLOOKUP(AD1603,$A$2:$AA$2000,5,0),"")</f>
        <v/>
      </c>
      <c r="AL1603" s="18" t="str">
        <f t="shared" ref="AL1603:AL1666" si="139">IFERROR(VLOOKUP(AD1603,$A$2:$AA$2000,4,0),"")</f>
        <v/>
      </c>
      <c r="AM1603" s="18" t="str">
        <f t="shared" ref="AM1603:AM1666" si="140">IFERROR(VLOOKUP(AD1603,$A$2:$AA$2000,7,0),"")</f>
        <v/>
      </c>
    </row>
    <row r="1604" spans="1:39" x14ac:dyDescent="0.35">
      <c r="A1604" s="56" t="s">
        <v>1672</v>
      </c>
      <c r="B1604" s="31"/>
      <c r="C1604" s="54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E1604" s="57" t="str">
        <f t="shared" si="132"/>
        <v/>
      </c>
      <c r="AF1604" s="18" t="str">
        <f t="shared" si="133"/>
        <v/>
      </c>
      <c r="AG1604" s="18" t="str">
        <f t="shared" si="134"/>
        <v/>
      </c>
      <c r="AH1604" s="18" t="str">
        <f t="shared" si="135"/>
        <v/>
      </c>
      <c r="AI1604" s="18" t="str">
        <f t="shared" si="136"/>
        <v/>
      </c>
      <c r="AJ1604" s="18" t="str">
        <f t="shared" si="137"/>
        <v/>
      </c>
      <c r="AK1604" s="18" t="str">
        <f t="shared" si="138"/>
        <v/>
      </c>
      <c r="AL1604" s="18" t="str">
        <f t="shared" si="139"/>
        <v/>
      </c>
      <c r="AM1604" s="18" t="str">
        <f t="shared" si="140"/>
        <v/>
      </c>
    </row>
    <row r="1605" spans="1:39" x14ac:dyDescent="0.35">
      <c r="A1605" s="56" t="s">
        <v>1673</v>
      </c>
      <c r="B1605" s="31"/>
      <c r="C1605" s="54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E1605" s="57" t="str">
        <f t="shared" si="132"/>
        <v/>
      </c>
      <c r="AF1605" s="18" t="str">
        <f t="shared" si="133"/>
        <v/>
      </c>
      <c r="AG1605" s="18" t="str">
        <f t="shared" si="134"/>
        <v/>
      </c>
      <c r="AH1605" s="18" t="str">
        <f t="shared" si="135"/>
        <v/>
      </c>
      <c r="AI1605" s="18" t="str">
        <f t="shared" si="136"/>
        <v/>
      </c>
      <c r="AJ1605" s="18" t="str">
        <f t="shared" si="137"/>
        <v/>
      </c>
      <c r="AK1605" s="18" t="str">
        <f t="shared" si="138"/>
        <v/>
      </c>
      <c r="AL1605" s="18" t="str">
        <f t="shared" si="139"/>
        <v/>
      </c>
      <c r="AM1605" s="18" t="str">
        <f t="shared" si="140"/>
        <v/>
      </c>
    </row>
    <row r="1606" spans="1:39" x14ac:dyDescent="0.35">
      <c r="A1606" s="56" t="s">
        <v>1674</v>
      </c>
      <c r="B1606" s="31"/>
      <c r="C1606" s="54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E1606" s="57" t="str">
        <f t="shared" si="132"/>
        <v/>
      </c>
      <c r="AF1606" s="18" t="str">
        <f t="shared" si="133"/>
        <v/>
      </c>
      <c r="AG1606" s="18" t="str">
        <f t="shared" si="134"/>
        <v/>
      </c>
      <c r="AH1606" s="18" t="str">
        <f t="shared" si="135"/>
        <v/>
      </c>
      <c r="AI1606" s="18" t="str">
        <f t="shared" si="136"/>
        <v/>
      </c>
      <c r="AJ1606" s="18" t="str">
        <f t="shared" si="137"/>
        <v/>
      </c>
      <c r="AK1606" s="18" t="str">
        <f t="shared" si="138"/>
        <v/>
      </c>
      <c r="AL1606" s="18" t="str">
        <f t="shared" si="139"/>
        <v/>
      </c>
      <c r="AM1606" s="18" t="str">
        <f t="shared" si="140"/>
        <v/>
      </c>
    </row>
    <row r="1607" spans="1:39" x14ac:dyDescent="0.35">
      <c r="A1607" s="56" t="s">
        <v>1675</v>
      </c>
      <c r="B1607" s="31"/>
      <c r="C1607" s="54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E1607" s="57" t="str">
        <f t="shared" si="132"/>
        <v/>
      </c>
      <c r="AF1607" s="18" t="str">
        <f t="shared" si="133"/>
        <v/>
      </c>
      <c r="AG1607" s="18" t="str">
        <f t="shared" si="134"/>
        <v/>
      </c>
      <c r="AH1607" s="18" t="str">
        <f t="shared" si="135"/>
        <v/>
      </c>
      <c r="AI1607" s="18" t="str">
        <f t="shared" si="136"/>
        <v/>
      </c>
      <c r="AJ1607" s="18" t="str">
        <f t="shared" si="137"/>
        <v/>
      </c>
      <c r="AK1607" s="18" t="str">
        <f t="shared" si="138"/>
        <v/>
      </c>
      <c r="AL1607" s="18" t="str">
        <f t="shared" si="139"/>
        <v/>
      </c>
      <c r="AM1607" s="18" t="str">
        <f t="shared" si="140"/>
        <v/>
      </c>
    </row>
    <row r="1608" spans="1:39" x14ac:dyDescent="0.35">
      <c r="A1608" s="56" t="s">
        <v>1676</v>
      </c>
      <c r="B1608" s="31"/>
      <c r="C1608" s="54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E1608" s="57" t="str">
        <f t="shared" si="132"/>
        <v/>
      </c>
      <c r="AF1608" s="18" t="str">
        <f t="shared" si="133"/>
        <v/>
      </c>
      <c r="AG1608" s="18" t="str">
        <f t="shared" si="134"/>
        <v/>
      </c>
      <c r="AH1608" s="18" t="str">
        <f t="shared" si="135"/>
        <v/>
      </c>
      <c r="AI1608" s="18" t="str">
        <f t="shared" si="136"/>
        <v/>
      </c>
      <c r="AJ1608" s="18" t="str">
        <f t="shared" si="137"/>
        <v/>
      </c>
      <c r="AK1608" s="18" t="str">
        <f t="shared" si="138"/>
        <v/>
      </c>
      <c r="AL1608" s="18" t="str">
        <f t="shared" si="139"/>
        <v/>
      </c>
      <c r="AM1608" s="18" t="str">
        <f t="shared" si="140"/>
        <v/>
      </c>
    </row>
    <row r="1609" spans="1:39" x14ac:dyDescent="0.35">
      <c r="A1609" s="56" t="s">
        <v>1677</v>
      </c>
      <c r="B1609" s="31"/>
      <c r="C1609" s="54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E1609" s="57" t="str">
        <f t="shared" si="132"/>
        <v/>
      </c>
      <c r="AF1609" s="18" t="str">
        <f t="shared" si="133"/>
        <v/>
      </c>
      <c r="AG1609" s="18" t="str">
        <f t="shared" si="134"/>
        <v/>
      </c>
      <c r="AH1609" s="18" t="str">
        <f t="shared" si="135"/>
        <v/>
      </c>
      <c r="AI1609" s="18" t="str">
        <f t="shared" si="136"/>
        <v/>
      </c>
      <c r="AJ1609" s="18" t="str">
        <f t="shared" si="137"/>
        <v/>
      </c>
      <c r="AK1609" s="18" t="str">
        <f t="shared" si="138"/>
        <v/>
      </c>
      <c r="AL1609" s="18" t="str">
        <f t="shared" si="139"/>
        <v/>
      </c>
      <c r="AM1609" s="18" t="str">
        <f t="shared" si="140"/>
        <v/>
      </c>
    </row>
    <row r="1610" spans="1:39" x14ac:dyDescent="0.35">
      <c r="A1610" s="56" t="s">
        <v>1678</v>
      </c>
      <c r="B1610" s="31"/>
      <c r="C1610" s="54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E1610" s="57" t="str">
        <f t="shared" si="132"/>
        <v/>
      </c>
      <c r="AF1610" s="18" t="str">
        <f t="shared" si="133"/>
        <v/>
      </c>
      <c r="AG1610" s="18" t="str">
        <f t="shared" si="134"/>
        <v/>
      </c>
      <c r="AH1610" s="18" t="str">
        <f t="shared" si="135"/>
        <v/>
      </c>
      <c r="AI1610" s="18" t="str">
        <f t="shared" si="136"/>
        <v/>
      </c>
      <c r="AJ1610" s="18" t="str">
        <f t="shared" si="137"/>
        <v/>
      </c>
      <c r="AK1610" s="18" t="str">
        <f t="shared" si="138"/>
        <v/>
      </c>
      <c r="AL1610" s="18" t="str">
        <f t="shared" si="139"/>
        <v/>
      </c>
      <c r="AM1610" s="18" t="str">
        <f t="shared" si="140"/>
        <v/>
      </c>
    </row>
    <row r="1611" spans="1:39" x14ac:dyDescent="0.35">
      <c r="A1611" s="56" t="s">
        <v>1679</v>
      </c>
      <c r="B1611" s="31"/>
      <c r="C1611" s="54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E1611" s="57" t="str">
        <f t="shared" si="132"/>
        <v/>
      </c>
      <c r="AF1611" s="18" t="str">
        <f t="shared" si="133"/>
        <v/>
      </c>
      <c r="AG1611" s="18" t="str">
        <f t="shared" si="134"/>
        <v/>
      </c>
      <c r="AH1611" s="18" t="str">
        <f t="shared" si="135"/>
        <v/>
      </c>
      <c r="AI1611" s="18" t="str">
        <f t="shared" si="136"/>
        <v/>
      </c>
      <c r="AJ1611" s="18" t="str">
        <f t="shared" si="137"/>
        <v/>
      </c>
      <c r="AK1611" s="18" t="str">
        <f t="shared" si="138"/>
        <v/>
      </c>
      <c r="AL1611" s="18" t="str">
        <f t="shared" si="139"/>
        <v/>
      </c>
      <c r="AM1611" s="18" t="str">
        <f t="shared" si="140"/>
        <v/>
      </c>
    </row>
    <row r="1612" spans="1:39" x14ac:dyDescent="0.35">
      <c r="A1612" s="56" t="s">
        <v>1680</v>
      </c>
      <c r="B1612" s="31"/>
      <c r="C1612" s="54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E1612" s="57" t="str">
        <f t="shared" si="132"/>
        <v/>
      </c>
      <c r="AF1612" s="18" t="str">
        <f t="shared" si="133"/>
        <v/>
      </c>
      <c r="AG1612" s="18" t="str">
        <f t="shared" si="134"/>
        <v/>
      </c>
      <c r="AH1612" s="18" t="str">
        <f t="shared" si="135"/>
        <v/>
      </c>
      <c r="AI1612" s="18" t="str">
        <f t="shared" si="136"/>
        <v/>
      </c>
      <c r="AJ1612" s="18" t="str">
        <f t="shared" si="137"/>
        <v/>
      </c>
      <c r="AK1612" s="18" t="str">
        <f t="shared" si="138"/>
        <v/>
      </c>
      <c r="AL1612" s="18" t="str">
        <f t="shared" si="139"/>
        <v/>
      </c>
      <c r="AM1612" s="18" t="str">
        <f t="shared" si="140"/>
        <v/>
      </c>
    </row>
    <row r="1613" spans="1:39" x14ac:dyDescent="0.35">
      <c r="A1613" s="56" t="s">
        <v>1681</v>
      </c>
      <c r="B1613" s="31"/>
      <c r="C1613" s="54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E1613" s="57" t="str">
        <f t="shared" si="132"/>
        <v/>
      </c>
      <c r="AF1613" s="18" t="str">
        <f t="shared" si="133"/>
        <v/>
      </c>
      <c r="AG1613" s="18" t="str">
        <f t="shared" si="134"/>
        <v/>
      </c>
      <c r="AH1613" s="18" t="str">
        <f t="shared" si="135"/>
        <v/>
      </c>
      <c r="AI1613" s="18" t="str">
        <f t="shared" si="136"/>
        <v/>
      </c>
      <c r="AJ1613" s="18" t="str">
        <f t="shared" si="137"/>
        <v/>
      </c>
      <c r="AK1613" s="18" t="str">
        <f t="shared" si="138"/>
        <v/>
      </c>
      <c r="AL1613" s="18" t="str">
        <f t="shared" si="139"/>
        <v/>
      </c>
      <c r="AM1613" s="18" t="str">
        <f t="shared" si="140"/>
        <v/>
      </c>
    </row>
    <row r="1614" spans="1:39" x14ac:dyDescent="0.35">
      <c r="A1614" s="56" t="s">
        <v>1682</v>
      </c>
      <c r="B1614" s="31"/>
      <c r="C1614" s="54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E1614" s="57" t="str">
        <f t="shared" si="132"/>
        <v/>
      </c>
      <c r="AF1614" s="18" t="str">
        <f t="shared" si="133"/>
        <v/>
      </c>
      <c r="AG1614" s="18" t="str">
        <f t="shared" si="134"/>
        <v/>
      </c>
      <c r="AH1614" s="18" t="str">
        <f t="shared" si="135"/>
        <v/>
      </c>
      <c r="AI1614" s="18" t="str">
        <f t="shared" si="136"/>
        <v/>
      </c>
      <c r="AJ1614" s="18" t="str">
        <f t="shared" si="137"/>
        <v/>
      </c>
      <c r="AK1614" s="18" t="str">
        <f t="shared" si="138"/>
        <v/>
      </c>
      <c r="AL1614" s="18" t="str">
        <f t="shared" si="139"/>
        <v/>
      </c>
      <c r="AM1614" s="18" t="str">
        <f t="shared" si="140"/>
        <v/>
      </c>
    </row>
    <row r="1615" spans="1:39" x14ac:dyDescent="0.35">
      <c r="A1615" s="56" t="s">
        <v>1683</v>
      </c>
      <c r="B1615" s="31"/>
      <c r="C1615" s="54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E1615" s="57" t="str">
        <f t="shared" si="132"/>
        <v/>
      </c>
      <c r="AF1615" s="18" t="str">
        <f t="shared" si="133"/>
        <v/>
      </c>
      <c r="AG1615" s="18" t="str">
        <f t="shared" si="134"/>
        <v/>
      </c>
      <c r="AH1615" s="18" t="str">
        <f t="shared" si="135"/>
        <v/>
      </c>
      <c r="AI1615" s="18" t="str">
        <f t="shared" si="136"/>
        <v/>
      </c>
      <c r="AJ1615" s="18" t="str">
        <f t="shared" si="137"/>
        <v/>
      </c>
      <c r="AK1615" s="18" t="str">
        <f t="shared" si="138"/>
        <v/>
      </c>
      <c r="AL1615" s="18" t="str">
        <f t="shared" si="139"/>
        <v/>
      </c>
      <c r="AM1615" s="18" t="str">
        <f t="shared" si="140"/>
        <v/>
      </c>
    </row>
    <row r="1616" spans="1:39" x14ac:dyDescent="0.35">
      <c r="A1616" s="56" t="s">
        <v>1684</v>
      </c>
      <c r="B1616" s="31"/>
      <c r="C1616" s="54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E1616" s="57" t="str">
        <f t="shared" si="132"/>
        <v/>
      </c>
      <c r="AF1616" s="18" t="str">
        <f t="shared" si="133"/>
        <v/>
      </c>
      <c r="AG1616" s="18" t="str">
        <f t="shared" si="134"/>
        <v/>
      </c>
      <c r="AH1616" s="18" t="str">
        <f t="shared" si="135"/>
        <v/>
      </c>
      <c r="AI1616" s="18" t="str">
        <f t="shared" si="136"/>
        <v/>
      </c>
      <c r="AJ1616" s="18" t="str">
        <f t="shared" si="137"/>
        <v/>
      </c>
      <c r="AK1616" s="18" t="str">
        <f t="shared" si="138"/>
        <v/>
      </c>
      <c r="AL1616" s="18" t="str">
        <f t="shared" si="139"/>
        <v/>
      </c>
      <c r="AM1616" s="18" t="str">
        <f t="shared" si="140"/>
        <v/>
      </c>
    </row>
    <row r="1617" spans="1:39" x14ac:dyDescent="0.35">
      <c r="A1617" s="56" t="s">
        <v>1685</v>
      </c>
      <c r="B1617" s="31"/>
      <c r="C1617" s="54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E1617" s="57" t="str">
        <f t="shared" si="132"/>
        <v/>
      </c>
      <c r="AF1617" s="18" t="str">
        <f t="shared" si="133"/>
        <v/>
      </c>
      <c r="AG1617" s="18" t="str">
        <f t="shared" si="134"/>
        <v/>
      </c>
      <c r="AH1617" s="18" t="str">
        <f t="shared" si="135"/>
        <v/>
      </c>
      <c r="AI1617" s="18" t="str">
        <f t="shared" si="136"/>
        <v/>
      </c>
      <c r="AJ1617" s="18" t="str">
        <f t="shared" si="137"/>
        <v/>
      </c>
      <c r="AK1617" s="18" t="str">
        <f t="shared" si="138"/>
        <v/>
      </c>
      <c r="AL1617" s="18" t="str">
        <f t="shared" si="139"/>
        <v/>
      </c>
      <c r="AM1617" s="18" t="str">
        <f t="shared" si="140"/>
        <v/>
      </c>
    </row>
    <row r="1618" spans="1:39" x14ac:dyDescent="0.35">
      <c r="A1618" s="56" t="s">
        <v>1686</v>
      </c>
      <c r="B1618" s="31"/>
      <c r="C1618" s="54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E1618" s="57" t="str">
        <f t="shared" si="132"/>
        <v/>
      </c>
      <c r="AF1618" s="18" t="str">
        <f t="shared" si="133"/>
        <v/>
      </c>
      <c r="AG1618" s="18" t="str">
        <f t="shared" si="134"/>
        <v/>
      </c>
      <c r="AH1618" s="18" t="str">
        <f t="shared" si="135"/>
        <v/>
      </c>
      <c r="AI1618" s="18" t="str">
        <f t="shared" si="136"/>
        <v/>
      </c>
      <c r="AJ1618" s="18" t="str">
        <f t="shared" si="137"/>
        <v/>
      </c>
      <c r="AK1618" s="18" t="str">
        <f t="shared" si="138"/>
        <v/>
      </c>
      <c r="AL1618" s="18" t="str">
        <f t="shared" si="139"/>
        <v/>
      </c>
      <c r="AM1618" s="18" t="str">
        <f t="shared" si="140"/>
        <v/>
      </c>
    </row>
    <row r="1619" spans="1:39" x14ac:dyDescent="0.35">
      <c r="A1619" s="56" t="s">
        <v>1687</v>
      </c>
      <c r="B1619" s="31"/>
      <c r="C1619" s="54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E1619" s="57" t="str">
        <f t="shared" si="132"/>
        <v/>
      </c>
      <c r="AF1619" s="18" t="str">
        <f t="shared" si="133"/>
        <v/>
      </c>
      <c r="AG1619" s="18" t="str">
        <f t="shared" si="134"/>
        <v/>
      </c>
      <c r="AH1619" s="18" t="str">
        <f t="shared" si="135"/>
        <v/>
      </c>
      <c r="AI1619" s="18" t="str">
        <f t="shared" si="136"/>
        <v/>
      </c>
      <c r="AJ1619" s="18" t="str">
        <f t="shared" si="137"/>
        <v/>
      </c>
      <c r="AK1619" s="18" t="str">
        <f t="shared" si="138"/>
        <v/>
      </c>
      <c r="AL1619" s="18" t="str">
        <f t="shared" si="139"/>
        <v/>
      </c>
      <c r="AM1619" s="18" t="str">
        <f t="shared" si="140"/>
        <v/>
      </c>
    </row>
    <row r="1620" spans="1:39" x14ac:dyDescent="0.35">
      <c r="A1620" s="56" t="s">
        <v>1688</v>
      </c>
      <c r="B1620" s="31"/>
      <c r="C1620" s="54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E1620" s="57" t="str">
        <f t="shared" si="132"/>
        <v/>
      </c>
      <c r="AF1620" s="18" t="str">
        <f t="shared" si="133"/>
        <v/>
      </c>
      <c r="AG1620" s="18" t="str">
        <f t="shared" si="134"/>
        <v/>
      </c>
      <c r="AH1620" s="18" t="str">
        <f t="shared" si="135"/>
        <v/>
      </c>
      <c r="AI1620" s="18" t="str">
        <f t="shared" si="136"/>
        <v/>
      </c>
      <c r="AJ1620" s="18" t="str">
        <f t="shared" si="137"/>
        <v/>
      </c>
      <c r="AK1620" s="18" t="str">
        <f t="shared" si="138"/>
        <v/>
      </c>
      <c r="AL1620" s="18" t="str">
        <f t="shared" si="139"/>
        <v/>
      </c>
      <c r="AM1620" s="18" t="str">
        <f t="shared" si="140"/>
        <v/>
      </c>
    </row>
    <row r="1621" spans="1:39" x14ac:dyDescent="0.35">
      <c r="A1621" s="56" t="s">
        <v>1689</v>
      </c>
      <c r="B1621" s="31"/>
      <c r="C1621" s="54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E1621" s="57" t="str">
        <f t="shared" si="132"/>
        <v/>
      </c>
      <c r="AF1621" s="18" t="str">
        <f t="shared" si="133"/>
        <v/>
      </c>
      <c r="AG1621" s="18" t="str">
        <f t="shared" si="134"/>
        <v/>
      </c>
      <c r="AH1621" s="18" t="str">
        <f t="shared" si="135"/>
        <v/>
      </c>
      <c r="AI1621" s="18" t="str">
        <f t="shared" si="136"/>
        <v/>
      </c>
      <c r="AJ1621" s="18" t="str">
        <f t="shared" si="137"/>
        <v/>
      </c>
      <c r="AK1621" s="18" t="str">
        <f t="shared" si="138"/>
        <v/>
      </c>
      <c r="AL1621" s="18" t="str">
        <f t="shared" si="139"/>
        <v/>
      </c>
      <c r="AM1621" s="18" t="str">
        <f t="shared" si="140"/>
        <v/>
      </c>
    </row>
    <row r="1622" spans="1:39" x14ac:dyDescent="0.35">
      <c r="A1622" s="56" t="s">
        <v>1690</v>
      </c>
      <c r="B1622" s="31"/>
      <c r="C1622" s="54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E1622" s="57" t="str">
        <f t="shared" si="132"/>
        <v/>
      </c>
      <c r="AF1622" s="18" t="str">
        <f t="shared" si="133"/>
        <v/>
      </c>
      <c r="AG1622" s="18" t="str">
        <f t="shared" si="134"/>
        <v/>
      </c>
      <c r="AH1622" s="18" t="str">
        <f t="shared" si="135"/>
        <v/>
      </c>
      <c r="AI1622" s="18" t="str">
        <f t="shared" si="136"/>
        <v/>
      </c>
      <c r="AJ1622" s="18" t="str">
        <f t="shared" si="137"/>
        <v/>
      </c>
      <c r="AK1622" s="18" t="str">
        <f t="shared" si="138"/>
        <v/>
      </c>
      <c r="AL1622" s="18" t="str">
        <f t="shared" si="139"/>
        <v/>
      </c>
      <c r="AM1622" s="18" t="str">
        <f t="shared" si="140"/>
        <v/>
      </c>
    </row>
    <row r="1623" spans="1:39" x14ac:dyDescent="0.35">
      <c r="A1623" s="56" t="s">
        <v>1691</v>
      </c>
      <c r="B1623" s="31"/>
      <c r="C1623" s="54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E1623" s="57" t="str">
        <f t="shared" si="132"/>
        <v/>
      </c>
      <c r="AF1623" s="18" t="str">
        <f t="shared" si="133"/>
        <v/>
      </c>
      <c r="AG1623" s="18" t="str">
        <f t="shared" si="134"/>
        <v/>
      </c>
      <c r="AH1623" s="18" t="str">
        <f t="shared" si="135"/>
        <v/>
      </c>
      <c r="AI1623" s="18" t="str">
        <f t="shared" si="136"/>
        <v/>
      </c>
      <c r="AJ1623" s="18" t="str">
        <f t="shared" si="137"/>
        <v/>
      </c>
      <c r="AK1623" s="18" t="str">
        <f t="shared" si="138"/>
        <v/>
      </c>
      <c r="AL1623" s="18" t="str">
        <f t="shared" si="139"/>
        <v/>
      </c>
      <c r="AM1623" s="18" t="str">
        <f t="shared" si="140"/>
        <v/>
      </c>
    </row>
    <row r="1624" spans="1:39" x14ac:dyDescent="0.35">
      <c r="A1624" s="56" t="s">
        <v>1692</v>
      </c>
      <c r="B1624" s="31"/>
      <c r="C1624" s="54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E1624" s="57" t="str">
        <f t="shared" si="132"/>
        <v/>
      </c>
      <c r="AF1624" s="18" t="str">
        <f t="shared" si="133"/>
        <v/>
      </c>
      <c r="AG1624" s="18" t="str">
        <f t="shared" si="134"/>
        <v/>
      </c>
      <c r="AH1624" s="18" t="str">
        <f t="shared" si="135"/>
        <v/>
      </c>
      <c r="AI1624" s="18" t="str">
        <f t="shared" si="136"/>
        <v/>
      </c>
      <c r="AJ1624" s="18" t="str">
        <f t="shared" si="137"/>
        <v/>
      </c>
      <c r="AK1624" s="18" t="str">
        <f t="shared" si="138"/>
        <v/>
      </c>
      <c r="AL1624" s="18" t="str">
        <f t="shared" si="139"/>
        <v/>
      </c>
      <c r="AM1624" s="18" t="str">
        <f t="shared" si="140"/>
        <v/>
      </c>
    </row>
    <row r="1625" spans="1:39" x14ac:dyDescent="0.35">
      <c r="A1625" s="56" t="s">
        <v>1693</v>
      </c>
      <c r="B1625" s="31"/>
      <c r="C1625" s="54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E1625" s="57" t="str">
        <f t="shared" si="132"/>
        <v/>
      </c>
      <c r="AF1625" s="18" t="str">
        <f t="shared" si="133"/>
        <v/>
      </c>
      <c r="AG1625" s="18" t="str">
        <f t="shared" si="134"/>
        <v/>
      </c>
      <c r="AH1625" s="18" t="str">
        <f t="shared" si="135"/>
        <v/>
      </c>
      <c r="AI1625" s="18" t="str">
        <f t="shared" si="136"/>
        <v/>
      </c>
      <c r="AJ1625" s="18" t="str">
        <f t="shared" si="137"/>
        <v/>
      </c>
      <c r="AK1625" s="18" t="str">
        <f t="shared" si="138"/>
        <v/>
      </c>
      <c r="AL1625" s="18" t="str">
        <f t="shared" si="139"/>
        <v/>
      </c>
      <c r="AM1625" s="18" t="str">
        <f t="shared" si="140"/>
        <v/>
      </c>
    </row>
    <row r="1626" spans="1:39" x14ac:dyDescent="0.35">
      <c r="A1626" s="56" t="s">
        <v>1694</v>
      </c>
      <c r="B1626" s="31"/>
      <c r="C1626" s="54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E1626" s="57" t="str">
        <f t="shared" si="132"/>
        <v/>
      </c>
      <c r="AF1626" s="18" t="str">
        <f t="shared" si="133"/>
        <v/>
      </c>
      <c r="AG1626" s="18" t="str">
        <f t="shared" si="134"/>
        <v/>
      </c>
      <c r="AH1626" s="18" t="str">
        <f t="shared" si="135"/>
        <v/>
      </c>
      <c r="AI1626" s="18" t="str">
        <f t="shared" si="136"/>
        <v/>
      </c>
      <c r="AJ1626" s="18" t="str">
        <f t="shared" si="137"/>
        <v/>
      </c>
      <c r="AK1626" s="18" t="str">
        <f t="shared" si="138"/>
        <v/>
      </c>
      <c r="AL1626" s="18" t="str">
        <f t="shared" si="139"/>
        <v/>
      </c>
      <c r="AM1626" s="18" t="str">
        <f t="shared" si="140"/>
        <v/>
      </c>
    </row>
    <row r="1627" spans="1:39" x14ac:dyDescent="0.35">
      <c r="A1627" s="56" t="s">
        <v>1695</v>
      </c>
      <c r="B1627" s="31"/>
      <c r="C1627" s="54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E1627" s="57" t="str">
        <f t="shared" si="132"/>
        <v/>
      </c>
      <c r="AF1627" s="18" t="str">
        <f t="shared" si="133"/>
        <v/>
      </c>
      <c r="AG1627" s="18" t="str">
        <f t="shared" si="134"/>
        <v/>
      </c>
      <c r="AH1627" s="18" t="str">
        <f t="shared" si="135"/>
        <v/>
      </c>
      <c r="AI1627" s="18" t="str">
        <f t="shared" si="136"/>
        <v/>
      </c>
      <c r="AJ1627" s="18" t="str">
        <f t="shared" si="137"/>
        <v/>
      </c>
      <c r="AK1627" s="18" t="str">
        <f t="shared" si="138"/>
        <v/>
      </c>
      <c r="AL1627" s="18" t="str">
        <f t="shared" si="139"/>
        <v/>
      </c>
      <c r="AM1627" s="18" t="str">
        <f t="shared" si="140"/>
        <v/>
      </c>
    </row>
    <row r="1628" spans="1:39" x14ac:dyDescent="0.35">
      <c r="A1628" s="56" t="s">
        <v>1696</v>
      </c>
      <c r="B1628" s="31"/>
      <c r="C1628" s="54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E1628" s="57" t="str">
        <f t="shared" si="132"/>
        <v/>
      </c>
      <c r="AF1628" s="18" t="str">
        <f t="shared" si="133"/>
        <v/>
      </c>
      <c r="AG1628" s="18" t="str">
        <f t="shared" si="134"/>
        <v/>
      </c>
      <c r="AH1628" s="18" t="str">
        <f t="shared" si="135"/>
        <v/>
      </c>
      <c r="AI1628" s="18" t="str">
        <f t="shared" si="136"/>
        <v/>
      </c>
      <c r="AJ1628" s="18" t="str">
        <f t="shared" si="137"/>
        <v/>
      </c>
      <c r="AK1628" s="18" t="str">
        <f t="shared" si="138"/>
        <v/>
      </c>
      <c r="AL1628" s="18" t="str">
        <f t="shared" si="139"/>
        <v/>
      </c>
      <c r="AM1628" s="18" t="str">
        <f t="shared" si="140"/>
        <v/>
      </c>
    </row>
    <row r="1629" spans="1:39" x14ac:dyDescent="0.35">
      <c r="A1629" s="56" t="s">
        <v>1697</v>
      </c>
      <c r="B1629" s="31"/>
      <c r="C1629" s="54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E1629" s="57" t="str">
        <f t="shared" si="132"/>
        <v/>
      </c>
      <c r="AF1629" s="18" t="str">
        <f t="shared" si="133"/>
        <v/>
      </c>
      <c r="AG1629" s="18" t="str">
        <f t="shared" si="134"/>
        <v/>
      </c>
      <c r="AH1629" s="18" t="str">
        <f t="shared" si="135"/>
        <v/>
      </c>
      <c r="AI1629" s="18" t="str">
        <f t="shared" si="136"/>
        <v/>
      </c>
      <c r="AJ1629" s="18" t="str">
        <f t="shared" si="137"/>
        <v/>
      </c>
      <c r="AK1629" s="18" t="str">
        <f t="shared" si="138"/>
        <v/>
      </c>
      <c r="AL1629" s="18" t="str">
        <f t="shared" si="139"/>
        <v/>
      </c>
      <c r="AM1629" s="18" t="str">
        <f t="shared" si="140"/>
        <v/>
      </c>
    </row>
    <row r="1630" spans="1:39" x14ac:dyDescent="0.35">
      <c r="A1630" s="56" t="s">
        <v>1698</v>
      </c>
      <c r="B1630" s="31"/>
      <c r="C1630" s="54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E1630" s="57" t="str">
        <f t="shared" si="132"/>
        <v/>
      </c>
      <c r="AF1630" s="18" t="str">
        <f t="shared" si="133"/>
        <v/>
      </c>
      <c r="AG1630" s="18" t="str">
        <f t="shared" si="134"/>
        <v/>
      </c>
      <c r="AH1630" s="18" t="str">
        <f t="shared" si="135"/>
        <v/>
      </c>
      <c r="AI1630" s="18" t="str">
        <f t="shared" si="136"/>
        <v/>
      </c>
      <c r="AJ1630" s="18" t="str">
        <f t="shared" si="137"/>
        <v/>
      </c>
      <c r="AK1630" s="18" t="str">
        <f t="shared" si="138"/>
        <v/>
      </c>
      <c r="AL1630" s="18" t="str">
        <f t="shared" si="139"/>
        <v/>
      </c>
      <c r="AM1630" s="18" t="str">
        <f t="shared" si="140"/>
        <v/>
      </c>
    </row>
    <row r="1631" spans="1:39" x14ac:dyDescent="0.35">
      <c r="A1631" s="56" t="s">
        <v>1699</v>
      </c>
      <c r="B1631" s="31"/>
      <c r="C1631" s="54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E1631" s="57" t="str">
        <f t="shared" si="132"/>
        <v/>
      </c>
      <c r="AF1631" s="18" t="str">
        <f t="shared" si="133"/>
        <v/>
      </c>
      <c r="AG1631" s="18" t="str">
        <f t="shared" si="134"/>
        <v/>
      </c>
      <c r="AH1631" s="18" t="str">
        <f t="shared" si="135"/>
        <v/>
      </c>
      <c r="AI1631" s="18" t="str">
        <f t="shared" si="136"/>
        <v/>
      </c>
      <c r="AJ1631" s="18" t="str">
        <f t="shared" si="137"/>
        <v/>
      </c>
      <c r="AK1631" s="18" t="str">
        <f t="shared" si="138"/>
        <v/>
      </c>
      <c r="AL1631" s="18" t="str">
        <f t="shared" si="139"/>
        <v/>
      </c>
      <c r="AM1631" s="18" t="str">
        <f t="shared" si="140"/>
        <v/>
      </c>
    </row>
    <row r="1632" spans="1:39" x14ac:dyDescent="0.35">
      <c r="A1632" s="56" t="s">
        <v>1700</v>
      </c>
      <c r="B1632" s="31"/>
      <c r="C1632" s="54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E1632" s="57" t="str">
        <f t="shared" si="132"/>
        <v/>
      </c>
      <c r="AF1632" s="18" t="str">
        <f t="shared" si="133"/>
        <v/>
      </c>
      <c r="AG1632" s="18" t="str">
        <f t="shared" si="134"/>
        <v/>
      </c>
      <c r="AH1632" s="18" t="str">
        <f t="shared" si="135"/>
        <v/>
      </c>
      <c r="AI1632" s="18" t="str">
        <f t="shared" si="136"/>
        <v/>
      </c>
      <c r="AJ1632" s="18" t="str">
        <f t="shared" si="137"/>
        <v/>
      </c>
      <c r="AK1632" s="18" t="str">
        <f t="shared" si="138"/>
        <v/>
      </c>
      <c r="AL1632" s="18" t="str">
        <f t="shared" si="139"/>
        <v/>
      </c>
      <c r="AM1632" s="18" t="str">
        <f t="shared" si="140"/>
        <v/>
      </c>
    </row>
    <row r="1633" spans="1:39" x14ac:dyDescent="0.35">
      <c r="A1633" s="56" t="s">
        <v>1701</v>
      </c>
      <c r="B1633" s="31"/>
      <c r="C1633" s="54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E1633" s="57" t="str">
        <f t="shared" si="132"/>
        <v/>
      </c>
      <c r="AF1633" s="18" t="str">
        <f t="shared" si="133"/>
        <v/>
      </c>
      <c r="AG1633" s="18" t="str">
        <f t="shared" si="134"/>
        <v/>
      </c>
      <c r="AH1633" s="18" t="str">
        <f t="shared" si="135"/>
        <v/>
      </c>
      <c r="AI1633" s="18" t="str">
        <f t="shared" si="136"/>
        <v/>
      </c>
      <c r="AJ1633" s="18" t="str">
        <f t="shared" si="137"/>
        <v/>
      </c>
      <c r="AK1633" s="18" t="str">
        <f t="shared" si="138"/>
        <v/>
      </c>
      <c r="AL1633" s="18" t="str">
        <f t="shared" si="139"/>
        <v/>
      </c>
      <c r="AM1633" s="18" t="str">
        <f t="shared" si="140"/>
        <v/>
      </c>
    </row>
    <row r="1634" spans="1:39" x14ac:dyDescent="0.35">
      <c r="A1634" s="56" t="s">
        <v>1702</v>
      </c>
      <c r="B1634" s="31"/>
      <c r="C1634" s="54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E1634" s="57" t="str">
        <f t="shared" si="132"/>
        <v/>
      </c>
      <c r="AF1634" s="18" t="str">
        <f t="shared" si="133"/>
        <v/>
      </c>
      <c r="AG1634" s="18" t="str">
        <f t="shared" si="134"/>
        <v/>
      </c>
      <c r="AH1634" s="18" t="str">
        <f t="shared" si="135"/>
        <v/>
      </c>
      <c r="AI1634" s="18" t="str">
        <f t="shared" si="136"/>
        <v/>
      </c>
      <c r="AJ1634" s="18" t="str">
        <f t="shared" si="137"/>
        <v/>
      </c>
      <c r="AK1634" s="18" t="str">
        <f t="shared" si="138"/>
        <v/>
      </c>
      <c r="AL1634" s="18" t="str">
        <f t="shared" si="139"/>
        <v/>
      </c>
      <c r="AM1634" s="18" t="str">
        <f t="shared" si="140"/>
        <v/>
      </c>
    </row>
    <row r="1635" spans="1:39" x14ac:dyDescent="0.35">
      <c r="A1635" s="56" t="s">
        <v>1703</v>
      </c>
      <c r="B1635" s="31"/>
      <c r="C1635" s="54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E1635" s="57" t="str">
        <f t="shared" si="132"/>
        <v/>
      </c>
      <c r="AF1635" s="18" t="str">
        <f t="shared" si="133"/>
        <v/>
      </c>
      <c r="AG1635" s="18" t="str">
        <f t="shared" si="134"/>
        <v/>
      </c>
      <c r="AH1635" s="18" t="str">
        <f t="shared" si="135"/>
        <v/>
      </c>
      <c r="AI1635" s="18" t="str">
        <f t="shared" si="136"/>
        <v/>
      </c>
      <c r="AJ1635" s="18" t="str">
        <f t="shared" si="137"/>
        <v/>
      </c>
      <c r="AK1635" s="18" t="str">
        <f t="shared" si="138"/>
        <v/>
      </c>
      <c r="AL1635" s="18" t="str">
        <f t="shared" si="139"/>
        <v/>
      </c>
      <c r="AM1635" s="18" t="str">
        <f t="shared" si="140"/>
        <v/>
      </c>
    </row>
    <row r="1636" spans="1:39" x14ac:dyDescent="0.35">
      <c r="A1636" s="56" t="s">
        <v>1704</v>
      </c>
      <c r="B1636" s="31"/>
      <c r="C1636" s="54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E1636" s="57" t="str">
        <f t="shared" si="132"/>
        <v/>
      </c>
      <c r="AF1636" s="18" t="str">
        <f t="shared" si="133"/>
        <v/>
      </c>
      <c r="AG1636" s="18" t="str">
        <f t="shared" si="134"/>
        <v/>
      </c>
      <c r="AH1636" s="18" t="str">
        <f t="shared" si="135"/>
        <v/>
      </c>
      <c r="AI1636" s="18" t="str">
        <f t="shared" si="136"/>
        <v/>
      </c>
      <c r="AJ1636" s="18" t="str">
        <f t="shared" si="137"/>
        <v/>
      </c>
      <c r="AK1636" s="18" t="str">
        <f t="shared" si="138"/>
        <v/>
      </c>
      <c r="AL1636" s="18" t="str">
        <f t="shared" si="139"/>
        <v/>
      </c>
      <c r="AM1636" s="18" t="str">
        <f t="shared" si="140"/>
        <v/>
      </c>
    </row>
    <row r="1637" spans="1:39" x14ac:dyDescent="0.35">
      <c r="A1637" s="56" t="s">
        <v>1705</v>
      </c>
      <c r="B1637" s="31"/>
      <c r="C1637" s="54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E1637" s="57" t="str">
        <f t="shared" si="132"/>
        <v/>
      </c>
      <c r="AF1637" s="18" t="str">
        <f t="shared" si="133"/>
        <v/>
      </c>
      <c r="AG1637" s="18" t="str">
        <f t="shared" si="134"/>
        <v/>
      </c>
      <c r="AH1637" s="18" t="str">
        <f t="shared" si="135"/>
        <v/>
      </c>
      <c r="AI1637" s="18" t="str">
        <f t="shared" si="136"/>
        <v/>
      </c>
      <c r="AJ1637" s="18" t="str">
        <f t="shared" si="137"/>
        <v/>
      </c>
      <c r="AK1637" s="18" t="str">
        <f t="shared" si="138"/>
        <v/>
      </c>
      <c r="AL1637" s="18" t="str">
        <f t="shared" si="139"/>
        <v/>
      </c>
      <c r="AM1637" s="18" t="str">
        <f t="shared" si="140"/>
        <v/>
      </c>
    </row>
    <row r="1638" spans="1:39" x14ac:dyDescent="0.35">
      <c r="A1638" s="56" t="s">
        <v>1706</v>
      </c>
      <c r="B1638" s="31"/>
      <c r="C1638" s="54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E1638" s="57" t="str">
        <f t="shared" si="132"/>
        <v/>
      </c>
      <c r="AF1638" s="18" t="str">
        <f t="shared" si="133"/>
        <v/>
      </c>
      <c r="AG1638" s="18" t="str">
        <f t="shared" si="134"/>
        <v/>
      </c>
      <c r="AH1638" s="18" t="str">
        <f t="shared" si="135"/>
        <v/>
      </c>
      <c r="AI1638" s="18" t="str">
        <f t="shared" si="136"/>
        <v/>
      </c>
      <c r="AJ1638" s="18" t="str">
        <f t="shared" si="137"/>
        <v/>
      </c>
      <c r="AK1638" s="18" t="str">
        <f t="shared" si="138"/>
        <v/>
      </c>
      <c r="AL1638" s="18" t="str">
        <f t="shared" si="139"/>
        <v/>
      </c>
      <c r="AM1638" s="18" t="str">
        <f t="shared" si="140"/>
        <v/>
      </c>
    </row>
    <row r="1639" spans="1:39" x14ac:dyDescent="0.35">
      <c r="A1639" s="56" t="s">
        <v>1707</v>
      </c>
      <c r="B1639" s="31"/>
      <c r="C1639" s="54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E1639" s="57" t="str">
        <f t="shared" si="132"/>
        <v/>
      </c>
      <c r="AF1639" s="18" t="str">
        <f t="shared" si="133"/>
        <v/>
      </c>
      <c r="AG1639" s="18" t="str">
        <f t="shared" si="134"/>
        <v/>
      </c>
      <c r="AH1639" s="18" t="str">
        <f t="shared" si="135"/>
        <v/>
      </c>
      <c r="AI1639" s="18" t="str">
        <f t="shared" si="136"/>
        <v/>
      </c>
      <c r="AJ1639" s="18" t="str">
        <f t="shared" si="137"/>
        <v/>
      </c>
      <c r="AK1639" s="18" t="str">
        <f t="shared" si="138"/>
        <v/>
      </c>
      <c r="AL1639" s="18" t="str">
        <f t="shared" si="139"/>
        <v/>
      </c>
      <c r="AM1639" s="18" t="str">
        <f t="shared" si="140"/>
        <v/>
      </c>
    </row>
    <row r="1640" spans="1:39" x14ac:dyDescent="0.35">
      <c r="A1640" s="56" t="s">
        <v>1708</v>
      </c>
      <c r="B1640" s="31"/>
      <c r="C1640" s="54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E1640" s="57" t="str">
        <f t="shared" si="132"/>
        <v/>
      </c>
      <c r="AF1640" s="18" t="str">
        <f t="shared" si="133"/>
        <v/>
      </c>
      <c r="AG1640" s="18" t="str">
        <f t="shared" si="134"/>
        <v/>
      </c>
      <c r="AH1640" s="18" t="str">
        <f t="shared" si="135"/>
        <v/>
      </c>
      <c r="AI1640" s="18" t="str">
        <f t="shared" si="136"/>
        <v/>
      </c>
      <c r="AJ1640" s="18" t="str">
        <f t="shared" si="137"/>
        <v/>
      </c>
      <c r="AK1640" s="18" t="str">
        <f t="shared" si="138"/>
        <v/>
      </c>
      <c r="AL1640" s="18" t="str">
        <f t="shared" si="139"/>
        <v/>
      </c>
      <c r="AM1640" s="18" t="str">
        <f t="shared" si="140"/>
        <v/>
      </c>
    </row>
    <row r="1641" spans="1:39" x14ac:dyDescent="0.35">
      <c r="A1641" s="56" t="s">
        <v>1709</v>
      </c>
      <c r="B1641" s="31"/>
      <c r="C1641" s="54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E1641" s="57" t="str">
        <f t="shared" si="132"/>
        <v/>
      </c>
      <c r="AF1641" s="18" t="str">
        <f t="shared" si="133"/>
        <v/>
      </c>
      <c r="AG1641" s="18" t="str">
        <f t="shared" si="134"/>
        <v/>
      </c>
      <c r="AH1641" s="18" t="str">
        <f t="shared" si="135"/>
        <v/>
      </c>
      <c r="AI1641" s="18" t="str">
        <f t="shared" si="136"/>
        <v/>
      </c>
      <c r="AJ1641" s="18" t="str">
        <f t="shared" si="137"/>
        <v/>
      </c>
      <c r="AK1641" s="18" t="str">
        <f t="shared" si="138"/>
        <v/>
      </c>
      <c r="AL1641" s="18" t="str">
        <f t="shared" si="139"/>
        <v/>
      </c>
      <c r="AM1641" s="18" t="str">
        <f t="shared" si="140"/>
        <v/>
      </c>
    </row>
    <row r="1642" spans="1:39" x14ac:dyDescent="0.35">
      <c r="A1642" s="56" t="s">
        <v>1710</v>
      </c>
      <c r="B1642" s="31"/>
      <c r="C1642" s="54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E1642" s="57" t="str">
        <f t="shared" si="132"/>
        <v/>
      </c>
      <c r="AF1642" s="18" t="str">
        <f t="shared" si="133"/>
        <v/>
      </c>
      <c r="AG1642" s="18" t="str">
        <f t="shared" si="134"/>
        <v/>
      </c>
      <c r="AH1642" s="18" t="str">
        <f t="shared" si="135"/>
        <v/>
      </c>
      <c r="AI1642" s="18" t="str">
        <f t="shared" si="136"/>
        <v/>
      </c>
      <c r="AJ1642" s="18" t="str">
        <f t="shared" si="137"/>
        <v/>
      </c>
      <c r="AK1642" s="18" t="str">
        <f t="shared" si="138"/>
        <v/>
      </c>
      <c r="AL1642" s="18" t="str">
        <f t="shared" si="139"/>
        <v/>
      </c>
      <c r="AM1642" s="18" t="str">
        <f t="shared" si="140"/>
        <v/>
      </c>
    </row>
    <row r="1643" spans="1:39" x14ac:dyDescent="0.35">
      <c r="A1643" s="56" t="s">
        <v>1711</v>
      </c>
      <c r="B1643" s="31"/>
      <c r="C1643" s="54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E1643" s="57" t="str">
        <f t="shared" si="132"/>
        <v/>
      </c>
      <c r="AF1643" s="18" t="str">
        <f t="shared" si="133"/>
        <v/>
      </c>
      <c r="AG1643" s="18" t="str">
        <f t="shared" si="134"/>
        <v/>
      </c>
      <c r="AH1643" s="18" t="str">
        <f t="shared" si="135"/>
        <v/>
      </c>
      <c r="AI1643" s="18" t="str">
        <f t="shared" si="136"/>
        <v/>
      </c>
      <c r="AJ1643" s="18" t="str">
        <f t="shared" si="137"/>
        <v/>
      </c>
      <c r="AK1643" s="18" t="str">
        <f t="shared" si="138"/>
        <v/>
      </c>
      <c r="AL1643" s="18" t="str">
        <f t="shared" si="139"/>
        <v/>
      </c>
      <c r="AM1643" s="18" t="str">
        <f t="shared" si="140"/>
        <v/>
      </c>
    </row>
    <row r="1644" spans="1:39" x14ac:dyDescent="0.35">
      <c r="A1644" s="56" t="s">
        <v>1712</v>
      </c>
      <c r="B1644" s="31"/>
      <c r="C1644" s="54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E1644" s="57" t="str">
        <f t="shared" si="132"/>
        <v/>
      </c>
      <c r="AF1644" s="18" t="str">
        <f t="shared" si="133"/>
        <v/>
      </c>
      <c r="AG1644" s="18" t="str">
        <f t="shared" si="134"/>
        <v/>
      </c>
      <c r="AH1644" s="18" t="str">
        <f t="shared" si="135"/>
        <v/>
      </c>
      <c r="AI1644" s="18" t="str">
        <f t="shared" si="136"/>
        <v/>
      </c>
      <c r="AJ1644" s="18" t="str">
        <f t="shared" si="137"/>
        <v/>
      </c>
      <c r="AK1644" s="18" t="str">
        <f t="shared" si="138"/>
        <v/>
      </c>
      <c r="AL1644" s="18" t="str">
        <f t="shared" si="139"/>
        <v/>
      </c>
      <c r="AM1644" s="18" t="str">
        <f t="shared" si="140"/>
        <v/>
      </c>
    </row>
    <row r="1645" spans="1:39" x14ac:dyDescent="0.35">
      <c r="A1645" s="56" t="s">
        <v>1713</v>
      </c>
      <c r="B1645" s="31"/>
      <c r="C1645" s="54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E1645" s="57" t="str">
        <f t="shared" si="132"/>
        <v/>
      </c>
      <c r="AF1645" s="18" t="str">
        <f t="shared" si="133"/>
        <v/>
      </c>
      <c r="AG1645" s="18" t="str">
        <f t="shared" si="134"/>
        <v/>
      </c>
      <c r="AH1645" s="18" t="str">
        <f t="shared" si="135"/>
        <v/>
      </c>
      <c r="AI1645" s="18" t="str">
        <f t="shared" si="136"/>
        <v/>
      </c>
      <c r="AJ1645" s="18" t="str">
        <f t="shared" si="137"/>
        <v/>
      </c>
      <c r="AK1645" s="18" t="str">
        <f t="shared" si="138"/>
        <v/>
      </c>
      <c r="AL1645" s="18" t="str">
        <f t="shared" si="139"/>
        <v/>
      </c>
      <c r="AM1645" s="18" t="str">
        <f t="shared" si="140"/>
        <v/>
      </c>
    </row>
    <row r="1646" spans="1:39" x14ac:dyDescent="0.35">
      <c r="A1646" s="56" t="s">
        <v>1714</v>
      </c>
      <c r="B1646" s="31"/>
      <c r="C1646" s="54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E1646" s="57" t="str">
        <f t="shared" si="132"/>
        <v/>
      </c>
      <c r="AF1646" s="18" t="str">
        <f t="shared" si="133"/>
        <v/>
      </c>
      <c r="AG1646" s="18" t="str">
        <f t="shared" si="134"/>
        <v/>
      </c>
      <c r="AH1646" s="18" t="str">
        <f t="shared" si="135"/>
        <v/>
      </c>
      <c r="AI1646" s="18" t="str">
        <f t="shared" si="136"/>
        <v/>
      </c>
      <c r="AJ1646" s="18" t="str">
        <f t="shared" si="137"/>
        <v/>
      </c>
      <c r="AK1646" s="18" t="str">
        <f t="shared" si="138"/>
        <v/>
      </c>
      <c r="AL1646" s="18" t="str">
        <f t="shared" si="139"/>
        <v/>
      </c>
      <c r="AM1646" s="18" t="str">
        <f t="shared" si="140"/>
        <v/>
      </c>
    </row>
    <row r="1647" spans="1:39" x14ac:dyDescent="0.35">
      <c r="A1647" s="56" t="s">
        <v>1715</v>
      </c>
      <c r="B1647" s="31"/>
      <c r="C1647" s="54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E1647" s="57" t="str">
        <f t="shared" si="132"/>
        <v/>
      </c>
      <c r="AF1647" s="18" t="str">
        <f t="shared" si="133"/>
        <v/>
      </c>
      <c r="AG1647" s="18" t="str">
        <f t="shared" si="134"/>
        <v/>
      </c>
      <c r="AH1647" s="18" t="str">
        <f t="shared" si="135"/>
        <v/>
      </c>
      <c r="AI1647" s="18" t="str">
        <f t="shared" si="136"/>
        <v/>
      </c>
      <c r="AJ1647" s="18" t="str">
        <f t="shared" si="137"/>
        <v/>
      </c>
      <c r="AK1647" s="18" t="str">
        <f t="shared" si="138"/>
        <v/>
      </c>
      <c r="AL1647" s="18" t="str">
        <f t="shared" si="139"/>
        <v/>
      </c>
      <c r="AM1647" s="18" t="str">
        <f t="shared" si="140"/>
        <v/>
      </c>
    </row>
    <row r="1648" spans="1:39" x14ac:dyDescent="0.35">
      <c r="A1648" s="56" t="s">
        <v>1716</v>
      </c>
      <c r="B1648" s="31"/>
      <c r="C1648" s="54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E1648" s="57" t="str">
        <f t="shared" si="132"/>
        <v/>
      </c>
      <c r="AF1648" s="18" t="str">
        <f t="shared" si="133"/>
        <v/>
      </c>
      <c r="AG1648" s="18" t="str">
        <f t="shared" si="134"/>
        <v/>
      </c>
      <c r="AH1648" s="18" t="str">
        <f t="shared" si="135"/>
        <v/>
      </c>
      <c r="AI1648" s="18" t="str">
        <f t="shared" si="136"/>
        <v/>
      </c>
      <c r="AJ1648" s="18" t="str">
        <f t="shared" si="137"/>
        <v/>
      </c>
      <c r="AK1648" s="18" t="str">
        <f t="shared" si="138"/>
        <v/>
      </c>
      <c r="AL1648" s="18" t="str">
        <f t="shared" si="139"/>
        <v/>
      </c>
      <c r="AM1648" s="18" t="str">
        <f t="shared" si="140"/>
        <v/>
      </c>
    </row>
    <row r="1649" spans="1:39" x14ac:dyDescent="0.35">
      <c r="A1649" s="56" t="s">
        <v>1717</v>
      </c>
      <c r="B1649" s="31"/>
      <c r="C1649" s="54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E1649" s="57" t="str">
        <f t="shared" si="132"/>
        <v/>
      </c>
      <c r="AF1649" s="18" t="str">
        <f t="shared" si="133"/>
        <v/>
      </c>
      <c r="AG1649" s="18" t="str">
        <f t="shared" si="134"/>
        <v/>
      </c>
      <c r="AH1649" s="18" t="str">
        <f t="shared" si="135"/>
        <v/>
      </c>
      <c r="AI1649" s="18" t="str">
        <f t="shared" si="136"/>
        <v/>
      </c>
      <c r="AJ1649" s="18" t="str">
        <f t="shared" si="137"/>
        <v/>
      </c>
      <c r="AK1649" s="18" t="str">
        <f t="shared" si="138"/>
        <v/>
      </c>
      <c r="AL1649" s="18" t="str">
        <f t="shared" si="139"/>
        <v/>
      </c>
      <c r="AM1649" s="18" t="str">
        <f t="shared" si="140"/>
        <v/>
      </c>
    </row>
    <row r="1650" spans="1:39" x14ac:dyDescent="0.35">
      <c r="A1650" s="56" t="s">
        <v>1718</v>
      </c>
      <c r="B1650" s="31"/>
      <c r="C1650" s="54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E1650" s="57" t="str">
        <f t="shared" si="132"/>
        <v/>
      </c>
      <c r="AF1650" s="18" t="str">
        <f t="shared" si="133"/>
        <v/>
      </c>
      <c r="AG1650" s="18" t="str">
        <f t="shared" si="134"/>
        <v/>
      </c>
      <c r="AH1650" s="18" t="str">
        <f t="shared" si="135"/>
        <v/>
      </c>
      <c r="AI1650" s="18" t="str">
        <f t="shared" si="136"/>
        <v/>
      </c>
      <c r="AJ1650" s="18" t="str">
        <f t="shared" si="137"/>
        <v/>
      </c>
      <c r="AK1650" s="18" t="str">
        <f t="shared" si="138"/>
        <v/>
      </c>
      <c r="AL1650" s="18" t="str">
        <f t="shared" si="139"/>
        <v/>
      </c>
      <c r="AM1650" s="18" t="str">
        <f t="shared" si="140"/>
        <v/>
      </c>
    </row>
    <row r="1651" spans="1:39" x14ac:dyDescent="0.35">
      <c r="A1651" s="56" t="s">
        <v>1719</v>
      </c>
      <c r="B1651" s="31"/>
      <c r="C1651" s="54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E1651" s="57" t="str">
        <f t="shared" si="132"/>
        <v/>
      </c>
      <c r="AF1651" s="18" t="str">
        <f t="shared" si="133"/>
        <v/>
      </c>
      <c r="AG1651" s="18" t="str">
        <f t="shared" si="134"/>
        <v/>
      </c>
      <c r="AH1651" s="18" t="str">
        <f t="shared" si="135"/>
        <v/>
      </c>
      <c r="AI1651" s="18" t="str">
        <f t="shared" si="136"/>
        <v/>
      </c>
      <c r="AJ1651" s="18" t="str">
        <f t="shared" si="137"/>
        <v/>
      </c>
      <c r="AK1651" s="18" t="str">
        <f t="shared" si="138"/>
        <v/>
      </c>
      <c r="AL1651" s="18" t="str">
        <f t="shared" si="139"/>
        <v/>
      </c>
      <c r="AM1651" s="18" t="str">
        <f t="shared" si="140"/>
        <v/>
      </c>
    </row>
    <row r="1652" spans="1:39" x14ac:dyDescent="0.35">
      <c r="A1652" s="56" t="s">
        <v>1720</v>
      </c>
      <c r="B1652" s="31"/>
      <c r="C1652" s="54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E1652" s="57" t="str">
        <f t="shared" si="132"/>
        <v/>
      </c>
      <c r="AF1652" s="18" t="str">
        <f t="shared" si="133"/>
        <v/>
      </c>
      <c r="AG1652" s="18" t="str">
        <f t="shared" si="134"/>
        <v/>
      </c>
      <c r="AH1652" s="18" t="str">
        <f t="shared" si="135"/>
        <v/>
      </c>
      <c r="AI1652" s="18" t="str">
        <f t="shared" si="136"/>
        <v/>
      </c>
      <c r="AJ1652" s="18" t="str">
        <f t="shared" si="137"/>
        <v/>
      </c>
      <c r="AK1652" s="18" t="str">
        <f t="shared" si="138"/>
        <v/>
      </c>
      <c r="AL1652" s="18" t="str">
        <f t="shared" si="139"/>
        <v/>
      </c>
      <c r="AM1652" s="18" t="str">
        <f t="shared" si="140"/>
        <v/>
      </c>
    </row>
    <row r="1653" spans="1:39" x14ac:dyDescent="0.35">
      <c r="A1653" s="56" t="s">
        <v>1721</v>
      </c>
      <c r="B1653" s="31"/>
      <c r="C1653" s="54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E1653" s="57" t="str">
        <f t="shared" si="132"/>
        <v/>
      </c>
      <c r="AF1653" s="18" t="str">
        <f t="shared" si="133"/>
        <v/>
      </c>
      <c r="AG1653" s="18" t="str">
        <f t="shared" si="134"/>
        <v/>
      </c>
      <c r="AH1653" s="18" t="str">
        <f t="shared" si="135"/>
        <v/>
      </c>
      <c r="AI1653" s="18" t="str">
        <f t="shared" si="136"/>
        <v/>
      </c>
      <c r="AJ1653" s="18" t="str">
        <f t="shared" si="137"/>
        <v/>
      </c>
      <c r="AK1653" s="18" t="str">
        <f t="shared" si="138"/>
        <v/>
      </c>
      <c r="AL1653" s="18" t="str">
        <f t="shared" si="139"/>
        <v/>
      </c>
      <c r="AM1653" s="18" t="str">
        <f t="shared" si="140"/>
        <v/>
      </c>
    </row>
    <row r="1654" spans="1:39" x14ac:dyDescent="0.35">
      <c r="A1654" s="56" t="s">
        <v>1722</v>
      </c>
      <c r="B1654" s="31"/>
      <c r="C1654" s="54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E1654" s="57" t="str">
        <f t="shared" si="132"/>
        <v/>
      </c>
      <c r="AF1654" s="18" t="str">
        <f t="shared" si="133"/>
        <v/>
      </c>
      <c r="AG1654" s="18" t="str">
        <f t="shared" si="134"/>
        <v/>
      </c>
      <c r="AH1654" s="18" t="str">
        <f t="shared" si="135"/>
        <v/>
      </c>
      <c r="AI1654" s="18" t="str">
        <f t="shared" si="136"/>
        <v/>
      </c>
      <c r="AJ1654" s="18" t="str">
        <f t="shared" si="137"/>
        <v/>
      </c>
      <c r="AK1654" s="18" t="str">
        <f t="shared" si="138"/>
        <v/>
      </c>
      <c r="AL1654" s="18" t="str">
        <f t="shared" si="139"/>
        <v/>
      </c>
      <c r="AM1654" s="18" t="str">
        <f t="shared" si="140"/>
        <v/>
      </c>
    </row>
    <row r="1655" spans="1:39" x14ac:dyDescent="0.35">
      <c r="A1655" s="56" t="s">
        <v>1723</v>
      </c>
      <c r="B1655" s="31"/>
      <c r="C1655" s="54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E1655" s="57" t="str">
        <f t="shared" si="132"/>
        <v/>
      </c>
      <c r="AF1655" s="18" t="str">
        <f t="shared" si="133"/>
        <v/>
      </c>
      <c r="AG1655" s="18" t="str">
        <f t="shared" si="134"/>
        <v/>
      </c>
      <c r="AH1655" s="18" t="str">
        <f t="shared" si="135"/>
        <v/>
      </c>
      <c r="AI1655" s="18" t="str">
        <f t="shared" si="136"/>
        <v/>
      </c>
      <c r="AJ1655" s="18" t="str">
        <f t="shared" si="137"/>
        <v/>
      </c>
      <c r="AK1655" s="18" t="str">
        <f t="shared" si="138"/>
        <v/>
      </c>
      <c r="AL1655" s="18" t="str">
        <f t="shared" si="139"/>
        <v/>
      </c>
      <c r="AM1655" s="18" t="str">
        <f t="shared" si="140"/>
        <v/>
      </c>
    </row>
    <row r="1656" spans="1:39" x14ac:dyDescent="0.35">
      <c r="A1656" s="56" t="s">
        <v>1724</v>
      </c>
      <c r="B1656" s="31"/>
      <c r="C1656" s="54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E1656" s="57" t="str">
        <f t="shared" si="132"/>
        <v/>
      </c>
      <c r="AF1656" s="18" t="str">
        <f t="shared" si="133"/>
        <v/>
      </c>
      <c r="AG1656" s="18" t="str">
        <f t="shared" si="134"/>
        <v/>
      </c>
      <c r="AH1656" s="18" t="str">
        <f t="shared" si="135"/>
        <v/>
      </c>
      <c r="AI1656" s="18" t="str">
        <f t="shared" si="136"/>
        <v/>
      </c>
      <c r="AJ1656" s="18" t="str">
        <f t="shared" si="137"/>
        <v/>
      </c>
      <c r="AK1656" s="18" t="str">
        <f t="shared" si="138"/>
        <v/>
      </c>
      <c r="AL1656" s="18" t="str">
        <f t="shared" si="139"/>
        <v/>
      </c>
      <c r="AM1656" s="18" t="str">
        <f t="shared" si="140"/>
        <v/>
      </c>
    </row>
    <row r="1657" spans="1:39" x14ac:dyDescent="0.35">
      <c r="A1657" s="56" t="s">
        <v>1725</v>
      </c>
      <c r="B1657" s="31"/>
      <c r="C1657" s="54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E1657" s="57" t="str">
        <f t="shared" si="132"/>
        <v/>
      </c>
      <c r="AF1657" s="18" t="str">
        <f t="shared" si="133"/>
        <v/>
      </c>
      <c r="AG1657" s="18" t="str">
        <f t="shared" si="134"/>
        <v/>
      </c>
      <c r="AH1657" s="18" t="str">
        <f t="shared" si="135"/>
        <v/>
      </c>
      <c r="AI1657" s="18" t="str">
        <f t="shared" si="136"/>
        <v/>
      </c>
      <c r="AJ1657" s="18" t="str">
        <f t="shared" si="137"/>
        <v/>
      </c>
      <c r="AK1657" s="18" t="str">
        <f t="shared" si="138"/>
        <v/>
      </c>
      <c r="AL1657" s="18" t="str">
        <f t="shared" si="139"/>
        <v/>
      </c>
      <c r="AM1657" s="18" t="str">
        <f t="shared" si="140"/>
        <v/>
      </c>
    </row>
    <row r="1658" spans="1:39" x14ac:dyDescent="0.35">
      <c r="A1658" s="56" t="s">
        <v>1726</v>
      </c>
      <c r="B1658" s="31"/>
      <c r="C1658" s="54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E1658" s="57" t="str">
        <f t="shared" si="132"/>
        <v/>
      </c>
      <c r="AF1658" s="18" t="str">
        <f t="shared" si="133"/>
        <v/>
      </c>
      <c r="AG1658" s="18" t="str">
        <f t="shared" si="134"/>
        <v/>
      </c>
      <c r="AH1658" s="18" t="str">
        <f t="shared" si="135"/>
        <v/>
      </c>
      <c r="AI1658" s="18" t="str">
        <f t="shared" si="136"/>
        <v/>
      </c>
      <c r="AJ1658" s="18" t="str">
        <f t="shared" si="137"/>
        <v/>
      </c>
      <c r="AK1658" s="18" t="str">
        <f t="shared" si="138"/>
        <v/>
      </c>
      <c r="AL1658" s="18" t="str">
        <f t="shared" si="139"/>
        <v/>
      </c>
      <c r="AM1658" s="18" t="str">
        <f t="shared" si="140"/>
        <v/>
      </c>
    </row>
    <row r="1659" spans="1:39" x14ac:dyDescent="0.35">
      <c r="A1659" s="56" t="s">
        <v>1727</v>
      </c>
      <c r="B1659" s="31"/>
      <c r="C1659" s="54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E1659" s="57" t="str">
        <f t="shared" si="132"/>
        <v/>
      </c>
      <c r="AF1659" s="18" t="str">
        <f t="shared" si="133"/>
        <v/>
      </c>
      <c r="AG1659" s="18" t="str">
        <f t="shared" si="134"/>
        <v/>
      </c>
      <c r="AH1659" s="18" t="str">
        <f t="shared" si="135"/>
        <v/>
      </c>
      <c r="AI1659" s="18" t="str">
        <f t="shared" si="136"/>
        <v/>
      </c>
      <c r="AJ1659" s="18" t="str">
        <f t="shared" si="137"/>
        <v/>
      </c>
      <c r="AK1659" s="18" t="str">
        <f t="shared" si="138"/>
        <v/>
      </c>
      <c r="AL1659" s="18" t="str">
        <f t="shared" si="139"/>
        <v/>
      </c>
      <c r="AM1659" s="18" t="str">
        <f t="shared" si="140"/>
        <v/>
      </c>
    </row>
    <row r="1660" spans="1:39" x14ac:dyDescent="0.35">
      <c r="A1660" s="56" t="s">
        <v>1728</v>
      </c>
      <c r="B1660" s="31"/>
      <c r="C1660" s="54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E1660" s="57" t="str">
        <f t="shared" si="132"/>
        <v/>
      </c>
      <c r="AF1660" s="18" t="str">
        <f t="shared" si="133"/>
        <v/>
      </c>
      <c r="AG1660" s="18" t="str">
        <f t="shared" si="134"/>
        <v/>
      </c>
      <c r="AH1660" s="18" t="str">
        <f t="shared" si="135"/>
        <v/>
      </c>
      <c r="AI1660" s="18" t="str">
        <f t="shared" si="136"/>
        <v/>
      </c>
      <c r="AJ1660" s="18" t="str">
        <f t="shared" si="137"/>
        <v/>
      </c>
      <c r="AK1660" s="18" t="str">
        <f t="shared" si="138"/>
        <v/>
      </c>
      <c r="AL1660" s="18" t="str">
        <f t="shared" si="139"/>
        <v/>
      </c>
      <c r="AM1660" s="18" t="str">
        <f t="shared" si="140"/>
        <v/>
      </c>
    </row>
    <row r="1661" spans="1:39" x14ac:dyDescent="0.35">
      <c r="A1661" s="56" t="s">
        <v>1729</v>
      </c>
      <c r="B1661" s="31"/>
      <c r="C1661" s="54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E1661" s="57" t="str">
        <f t="shared" si="132"/>
        <v/>
      </c>
      <c r="AF1661" s="18" t="str">
        <f t="shared" si="133"/>
        <v/>
      </c>
      <c r="AG1661" s="18" t="str">
        <f t="shared" si="134"/>
        <v/>
      </c>
      <c r="AH1661" s="18" t="str">
        <f t="shared" si="135"/>
        <v/>
      </c>
      <c r="AI1661" s="18" t="str">
        <f t="shared" si="136"/>
        <v/>
      </c>
      <c r="AJ1661" s="18" t="str">
        <f t="shared" si="137"/>
        <v/>
      </c>
      <c r="AK1661" s="18" t="str">
        <f t="shared" si="138"/>
        <v/>
      </c>
      <c r="AL1661" s="18" t="str">
        <f t="shared" si="139"/>
        <v/>
      </c>
      <c r="AM1661" s="18" t="str">
        <f t="shared" si="140"/>
        <v/>
      </c>
    </row>
    <row r="1662" spans="1:39" x14ac:dyDescent="0.35">
      <c r="A1662" s="56" t="s">
        <v>1730</v>
      </c>
      <c r="B1662" s="31"/>
      <c r="C1662" s="54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E1662" s="57" t="str">
        <f t="shared" si="132"/>
        <v/>
      </c>
      <c r="AF1662" s="18" t="str">
        <f t="shared" si="133"/>
        <v/>
      </c>
      <c r="AG1662" s="18" t="str">
        <f t="shared" si="134"/>
        <v/>
      </c>
      <c r="AH1662" s="18" t="str">
        <f t="shared" si="135"/>
        <v/>
      </c>
      <c r="AI1662" s="18" t="str">
        <f t="shared" si="136"/>
        <v/>
      </c>
      <c r="AJ1662" s="18" t="str">
        <f t="shared" si="137"/>
        <v/>
      </c>
      <c r="AK1662" s="18" t="str">
        <f t="shared" si="138"/>
        <v/>
      </c>
      <c r="AL1662" s="18" t="str">
        <f t="shared" si="139"/>
        <v/>
      </c>
      <c r="AM1662" s="18" t="str">
        <f t="shared" si="140"/>
        <v/>
      </c>
    </row>
    <row r="1663" spans="1:39" x14ac:dyDescent="0.35">
      <c r="A1663" s="56" t="s">
        <v>1731</v>
      </c>
      <c r="B1663" s="31"/>
      <c r="C1663" s="54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E1663" s="57" t="str">
        <f t="shared" si="132"/>
        <v/>
      </c>
      <c r="AF1663" s="18" t="str">
        <f t="shared" si="133"/>
        <v/>
      </c>
      <c r="AG1663" s="18" t="str">
        <f t="shared" si="134"/>
        <v/>
      </c>
      <c r="AH1663" s="18" t="str">
        <f t="shared" si="135"/>
        <v/>
      </c>
      <c r="AI1663" s="18" t="str">
        <f t="shared" si="136"/>
        <v/>
      </c>
      <c r="AJ1663" s="18" t="str">
        <f t="shared" si="137"/>
        <v/>
      </c>
      <c r="AK1663" s="18" t="str">
        <f t="shared" si="138"/>
        <v/>
      </c>
      <c r="AL1663" s="18" t="str">
        <f t="shared" si="139"/>
        <v/>
      </c>
      <c r="AM1663" s="18" t="str">
        <f t="shared" si="140"/>
        <v/>
      </c>
    </row>
    <row r="1664" spans="1:39" x14ac:dyDescent="0.35">
      <c r="A1664" s="56" t="s">
        <v>1732</v>
      </c>
      <c r="B1664" s="31"/>
      <c r="C1664" s="54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E1664" s="57" t="str">
        <f t="shared" si="132"/>
        <v/>
      </c>
      <c r="AF1664" s="18" t="str">
        <f t="shared" si="133"/>
        <v/>
      </c>
      <c r="AG1664" s="18" t="str">
        <f t="shared" si="134"/>
        <v/>
      </c>
      <c r="AH1664" s="18" t="str">
        <f t="shared" si="135"/>
        <v/>
      </c>
      <c r="AI1664" s="18" t="str">
        <f t="shared" si="136"/>
        <v/>
      </c>
      <c r="AJ1664" s="18" t="str">
        <f t="shared" si="137"/>
        <v/>
      </c>
      <c r="AK1664" s="18" t="str">
        <f t="shared" si="138"/>
        <v/>
      </c>
      <c r="AL1664" s="18" t="str">
        <f t="shared" si="139"/>
        <v/>
      </c>
      <c r="AM1664" s="18" t="str">
        <f t="shared" si="140"/>
        <v/>
      </c>
    </row>
    <row r="1665" spans="1:39" x14ac:dyDescent="0.35">
      <c r="A1665" s="56" t="s">
        <v>1733</v>
      </c>
      <c r="B1665" s="31"/>
      <c r="C1665" s="54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E1665" s="57" t="str">
        <f t="shared" si="132"/>
        <v/>
      </c>
      <c r="AF1665" s="18" t="str">
        <f t="shared" si="133"/>
        <v/>
      </c>
      <c r="AG1665" s="18" t="str">
        <f t="shared" si="134"/>
        <v/>
      </c>
      <c r="AH1665" s="18" t="str">
        <f t="shared" si="135"/>
        <v/>
      </c>
      <c r="AI1665" s="18" t="str">
        <f t="shared" si="136"/>
        <v/>
      </c>
      <c r="AJ1665" s="18" t="str">
        <f t="shared" si="137"/>
        <v/>
      </c>
      <c r="AK1665" s="18" t="str">
        <f t="shared" si="138"/>
        <v/>
      </c>
      <c r="AL1665" s="18" t="str">
        <f t="shared" si="139"/>
        <v/>
      </c>
      <c r="AM1665" s="18" t="str">
        <f t="shared" si="140"/>
        <v/>
      </c>
    </row>
    <row r="1666" spans="1:39" x14ac:dyDescent="0.35">
      <c r="A1666" s="56" t="s">
        <v>1734</v>
      </c>
      <c r="B1666" s="31"/>
      <c r="C1666" s="54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E1666" s="57" t="str">
        <f t="shared" si="132"/>
        <v/>
      </c>
      <c r="AF1666" s="18" t="str">
        <f t="shared" si="133"/>
        <v/>
      </c>
      <c r="AG1666" s="18" t="str">
        <f t="shared" si="134"/>
        <v/>
      </c>
      <c r="AH1666" s="18" t="str">
        <f t="shared" si="135"/>
        <v/>
      </c>
      <c r="AI1666" s="18" t="str">
        <f t="shared" si="136"/>
        <v/>
      </c>
      <c r="AJ1666" s="18" t="str">
        <f t="shared" si="137"/>
        <v/>
      </c>
      <c r="AK1666" s="18" t="str">
        <f t="shared" si="138"/>
        <v/>
      </c>
      <c r="AL1666" s="18" t="str">
        <f t="shared" si="139"/>
        <v/>
      </c>
      <c r="AM1666" s="18" t="str">
        <f t="shared" si="140"/>
        <v/>
      </c>
    </row>
    <row r="1667" spans="1:39" x14ac:dyDescent="0.35">
      <c r="A1667" s="56" t="s">
        <v>1735</v>
      </c>
      <c r="B1667" s="31"/>
      <c r="C1667" s="54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E1667" s="57" t="str">
        <f t="shared" ref="AE1667:AE1730" si="141">IFERROR(VLOOKUP(AD1667,$A$2:$AA$2000,2,0),"")</f>
        <v/>
      </c>
      <c r="AF1667" s="18" t="str">
        <f t="shared" ref="AF1667:AF1730" si="142">IFERROR(VLOOKUP(AD1667,$A$2:$AA$2000,22,0),"")</f>
        <v/>
      </c>
      <c r="AG1667" s="18" t="str">
        <f t="shared" ref="AG1667:AG1730" si="143">IFERROR(VLOOKUP(AD1667,$A$2:$AA$2000,18,0),"")</f>
        <v/>
      </c>
      <c r="AH1667" s="18" t="str">
        <f t="shared" ref="AH1667:AH1730" si="144">IFERROR(VLOOKUP(AD1667,$A$2:$AA$2000,17,0),"")</f>
        <v/>
      </c>
      <c r="AI1667" s="18" t="str">
        <f t="shared" ref="AI1667:AI1730" si="145">IFERROR(VLOOKUP(AD1667,$A$2:$AA$2000,20,0),"")</f>
        <v/>
      </c>
      <c r="AJ1667" s="18" t="str">
        <f t="shared" ref="AJ1667:AJ1730" si="146">IFERROR(VLOOKUP(AD1667,$A$2:$AA$2000,9,0),"")</f>
        <v/>
      </c>
      <c r="AK1667" s="18" t="str">
        <f t="shared" ref="AK1667:AK1730" si="147">IFERROR(VLOOKUP(AD1667,$A$2:$AA$2000,5,0),"")</f>
        <v/>
      </c>
      <c r="AL1667" s="18" t="str">
        <f t="shared" ref="AL1667:AL1730" si="148">IFERROR(VLOOKUP(AD1667,$A$2:$AA$2000,4,0),"")</f>
        <v/>
      </c>
      <c r="AM1667" s="18" t="str">
        <f t="shared" ref="AM1667:AM1730" si="149">IFERROR(VLOOKUP(AD1667,$A$2:$AA$2000,7,0),"")</f>
        <v/>
      </c>
    </row>
    <row r="1668" spans="1:39" x14ac:dyDescent="0.35">
      <c r="A1668" s="56" t="s">
        <v>1736</v>
      </c>
      <c r="B1668" s="31"/>
      <c r="C1668" s="54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E1668" s="57" t="str">
        <f t="shared" si="141"/>
        <v/>
      </c>
      <c r="AF1668" s="18" t="str">
        <f t="shared" si="142"/>
        <v/>
      </c>
      <c r="AG1668" s="18" t="str">
        <f t="shared" si="143"/>
        <v/>
      </c>
      <c r="AH1668" s="18" t="str">
        <f t="shared" si="144"/>
        <v/>
      </c>
      <c r="AI1668" s="18" t="str">
        <f t="shared" si="145"/>
        <v/>
      </c>
      <c r="AJ1668" s="18" t="str">
        <f t="shared" si="146"/>
        <v/>
      </c>
      <c r="AK1668" s="18" t="str">
        <f t="shared" si="147"/>
        <v/>
      </c>
      <c r="AL1668" s="18" t="str">
        <f t="shared" si="148"/>
        <v/>
      </c>
      <c r="AM1668" s="18" t="str">
        <f t="shared" si="149"/>
        <v/>
      </c>
    </row>
    <row r="1669" spans="1:39" x14ac:dyDescent="0.35">
      <c r="A1669" s="56" t="s">
        <v>1737</v>
      </c>
      <c r="B1669" s="31"/>
      <c r="C1669" s="54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E1669" s="57" t="str">
        <f t="shared" si="141"/>
        <v/>
      </c>
      <c r="AF1669" s="18" t="str">
        <f t="shared" si="142"/>
        <v/>
      </c>
      <c r="AG1669" s="18" t="str">
        <f t="shared" si="143"/>
        <v/>
      </c>
      <c r="AH1669" s="18" t="str">
        <f t="shared" si="144"/>
        <v/>
      </c>
      <c r="AI1669" s="18" t="str">
        <f t="shared" si="145"/>
        <v/>
      </c>
      <c r="AJ1669" s="18" t="str">
        <f t="shared" si="146"/>
        <v/>
      </c>
      <c r="AK1669" s="18" t="str">
        <f t="shared" si="147"/>
        <v/>
      </c>
      <c r="AL1669" s="18" t="str">
        <f t="shared" si="148"/>
        <v/>
      </c>
      <c r="AM1669" s="18" t="str">
        <f t="shared" si="149"/>
        <v/>
      </c>
    </row>
    <row r="1670" spans="1:39" x14ac:dyDescent="0.35">
      <c r="A1670" s="56" t="s">
        <v>1738</v>
      </c>
      <c r="B1670" s="31"/>
      <c r="C1670" s="54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E1670" s="57" t="str">
        <f t="shared" si="141"/>
        <v/>
      </c>
      <c r="AF1670" s="18" t="str">
        <f t="shared" si="142"/>
        <v/>
      </c>
      <c r="AG1670" s="18" t="str">
        <f t="shared" si="143"/>
        <v/>
      </c>
      <c r="AH1670" s="18" t="str">
        <f t="shared" si="144"/>
        <v/>
      </c>
      <c r="AI1670" s="18" t="str">
        <f t="shared" si="145"/>
        <v/>
      </c>
      <c r="AJ1670" s="18" t="str">
        <f t="shared" si="146"/>
        <v/>
      </c>
      <c r="AK1670" s="18" t="str">
        <f t="shared" si="147"/>
        <v/>
      </c>
      <c r="AL1670" s="18" t="str">
        <f t="shared" si="148"/>
        <v/>
      </c>
      <c r="AM1670" s="18" t="str">
        <f t="shared" si="149"/>
        <v/>
      </c>
    </row>
    <row r="1671" spans="1:39" x14ac:dyDescent="0.35">
      <c r="A1671" s="56" t="s">
        <v>1739</v>
      </c>
      <c r="B1671" s="31"/>
      <c r="C1671" s="54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E1671" s="57" t="str">
        <f t="shared" si="141"/>
        <v/>
      </c>
      <c r="AF1671" s="18" t="str">
        <f t="shared" si="142"/>
        <v/>
      </c>
      <c r="AG1671" s="18" t="str">
        <f t="shared" si="143"/>
        <v/>
      </c>
      <c r="AH1671" s="18" t="str">
        <f t="shared" si="144"/>
        <v/>
      </c>
      <c r="AI1671" s="18" t="str">
        <f t="shared" si="145"/>
        <v/>
      </c>
      <c r="AJ1671" s="18" t="str">
        <f t="shared" si="146"/>
        <v/>
      </c>
      <c r="AK1671" s="18" t="str">
        <f t="shared" si="147"/>
        <v/>
      </c>
      <c r="AL1671" s="18" t="str">
        <f t="shared" si="148"/>
        <v/>
      </c>
      <c r="AM1671" s="18" t="str">
        <f t="shared" si="149"/>
        <v/>
      </c>
    </row>
    <row r="1672" spans="1:39" x14ac:dyDescent="0.35">
      <c r="A1672" s="56" t="s">
        <v>1740</v>
      </c>
      <c r="B1672" s="31"/>
      <c r="C1672" s="54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E1672" s="57" t="str">
        <f t="shared" si="141"/>
        <v/>
      </c>
      <c r="AF1672" s="18" t="str">
        <f t="shared" si="142"/>
        <v/>
      </c>
      <c r="AG1672" s="18" t="str">
        <f t="shared" si="143"/>
        <v/>
      </c>
      <c r="AH1672" s="18" t="str">
        <f t="shared" si="144"/>
        <v/>
      </c>
      <c r="AI1672" s="18" t="str">
        <f t="shared" si="145"/>
        <v/>
      </c>
      <c r="AJ1672" s="18" t="str">
        <f t="shared" si="146"/>
        <v/>
      </c>
      <c r="AK1672" s="18" t="str">
        <f t="shared" si="147"/>
        <v/>
      </c>
      <c r="AL1672" s="18" t="str">
        <f t="shared" si="148"/>
        <v/>
      </c>
      <c r="AM1672" s="18" t="str">
        <f t="shared" si="149"/>
        <v/>
      </c>
    </row>
    <row r="1673" spans="1:39" x14ac:dyDescent="0.35">
      <c r="A1673" s="56" t="s">
        <v>1741</v>
      </c>
      <c r="B1673" s="31"/>
      <c r="C1673" s="54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E1673" s="57" t="str">
        <f t="shared" si="141"/>
        <v/>
      </c>
      <c r="AF1673" s="18" t="str">
        <f t="shared" si="142"/>
        <v/>
      </c>
      <c r="AG1673" s="18" t="str">
        <f t="shared" si="143"/>
        <v/>
      </c>
      <c r="AH1673" s="18" t="str">
        <f t="shared" si="144"/>
        <v/>
      </c>
      <c r="AI1673" s="18" t="str">
        <f t="shared" si="145"/>
        <v/>
      </c>
      <c r="AJ1673" s="18" t="str">
        <f t="shared" si="146"/>
        <v/>
      </c>
      <c r="AK1673" s="18" t="str">
        <f t="shared" si="147"/>
        <v/>
      </c>
      <c r="AL1673" s="18" t="str">
        <f t="shared" si="148"/>
        <v/>
      </c>
      <c r="AM1673" s="18" t="str">
        <f t="shared" si="149"/>
        <v/>
      </c>
    </row>
    <row r="1674" spans="1:39" x14ac:dyDescent="0.35">
      <c r="A1674" s="56" t="s">
        <v>1742</v>
      </c>
      <c r="B1674" s="31"/>
      <c r="C1674" s="54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E1674" s="57" t="str">
        <f t="shared" si="141"/>
        <v/>
      </c>
      <c r="AF1674" s="18" t="str">
        <f t="shared" si="142"/>
        <v/>
      </c>
      <c r="AG1674" s="18" t="str">
        <f t="shared" si="143"/>
        <v/>
      </c>
      <c r="AH1674" s="18" t="str">
        <f t="shared" si="144"/>
        <v/>
      </c>
      <c r="AI1674" s="18" t="str">
        <f t="shared" si="145"/>
        <v/>
      </c>
      <c r="AJ1674" s="18" t="str">
        <f t="shared" si="146"/>
        <v/>
      </c>
      <c r="AK1674" s="18" t="str">
        <f t="shared" si="147"/>
        <v/>
      </c>
      <c r="AL1674" s="18" t="str">
        <f t="shared" si="148"/>
        <v/>
      </c>
      <c r="AM1674" s="18" t="str">
        <f t="shared" si="149"/>
        <v/>
      </c>
    </row>
    <row r="1675" spans="1:39" x14ac:dyDescent="0.35">
      <c r="A1675" s="56" t="s">
        <v>1743</v>
      </c>
      <c r="B1675" s="31"/>
      <c r="C1675" s="54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E1675" s="57" t="str">
        <f t="shared" si="141"/>
        <v/>
      </c>
      <c r="AF1675" s="18" t="str">
        <f t="shared" si="142"/>
        <v/>
      </c>
      <c r="AG1675" s="18" t="str">
        <f t="shared" si="143"/>
        <v/>
      </c>
      <c r="AH1675" s="18" t="str">
        <f t="shared" si="144"/>
        <v/>
      </c>
      <c r="AI1675" s="18" t="str">
        <f t="shared" si="145"/>
        <v/>
      </c>
      <c r="AJ1675" s="18" t="str">
        <f t="shared" si="146"/>
        <v/>
      </c>
      <c r="AK1675" s="18" t="str">
        <f t="shared" si="147"/>
        <v/>
      </c>
      <c r="AL1675" s="18" t="str">
        <f t="shared" si="148"/>
        <v/>
      </c>
      <c r="AM1675" s="18" t="str">
        <f t="shared" si="149"/>
        <v/>
      </c>
    </row>
    <row r="1676" spans="1:39" x14ac:dyDescent="0.35">
      <c r="A1676" s="56" t="s">
        <v>1744</v>
      </c>
      <c r="B1676" s="31"/>
      <c r="C1676" s="54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E1676" s="57" t="str">
        <f t="shared" si="141"/>
        <v/>
      </c>
      <c r="AF1676" s="18" t="str">
        <f t="shared" si="142"/>
        <v/>
      </c>
      <c r="AG1676" s="18" t="str">
        <f t="shared" si="143"/>
        <v/>
      </c>
      <c r="AH1676" s="18" t="str">
        <f t="shared" si="144"/>
        <v/>
      </c>
      <c r="AI1676" s="18" t="str">
        <f t="shared" si="145"/>
        <v/>
      </c>
      <c r="AJ1676" s="18" t="str">
        <f t="shared" si="146"/>
        <v/>
      </c>
      <c r="AK1676" s="18" t="str">
        <f t="shared" si="147"/>
        <v/>
      </c>
      <c r="AL1676" s="18" t="str">
        <f t="shared" si="148"/>
        <v/>
      </c>
      <c r="AM1676" s="18" t="str">
        <f t="shared" si="149"/>
        <v/>
      </c>
    </row>
    <row r="1677" spans="1:39" x14ac:dyDescent="0.35">
      <c r="A1677" s="56" t="s">
        <v>1745</v>
      </c>
      <c r="B1677" s="31"/>
      <c r="C1677" s="54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E1677" s="57" t="str">
        <f t="shared" si="141"/>
        <v/>
      </c>
      <c r="AF1677" s="18" t="str">
        <f t="shared" si="142"/>
        <v/>
      </c>
      <c r="AG1677" s="18" t="str">
        <f t="shared" si="143"/>
        <v/>
      </c>
      <c r="AH1677" s="18" t="str">
        <f t="shared" si="144"/>
        <v/>
      </c>
      <c r="AI1677" s="18" t="str">
        <f t="shared" si="145"/>
        <v/>
      </c>
      <c r="AJ1677" s="18" t="str">
        <f t="shared" si="146"/>
        <v/>
      </c>
      <c r="AK1677" s="18" t="str">
        <f t="shared" si="147"/>
        <v/>
      </c>
      <c r="AL1677" s="18" t="str">
        <f t="shared" si="148"/>
        <v/>
      </c>
      <c r="AM1677" s="18" t="str">
        <f t="shared" si="149"/>
        <v/>
      </c>
    </row>
    <row r="1678" spans="1:39" x14ac:dyDescent="0.35">
      <c r="A1678" s="56" t="s">
        <v>1746</v>
      </c>
      <c r="B1678" s="31"/>
      <c r="C1678" s="54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E1678" s="57" t="str">
        <f t="shared" si="141"/>
        <v/>
      </c>
      <c r="AF1678" s="18" t="str">
        <f t="shared" si="142"/>
        <v/>
      </c>
      <c r="AG1678" s="18" t="str">
        <f t="shared" si="143"/>
        <v/>
      </c>
      <c r="AH1678" s="18" t="str">
        <f t="shared" si="144"/>
        <v/>
      </c>
      <c r="AI1678" s="18" t="str">
        <f t="shared" si="145"/>
        <v/>
      </c>
      <c r="AJ1678" s="18" t="str">
        <f t="shared" si="146"/>
        <v/>
      </c>
      <c r="AK1678" s="18" t="str">
        <f t="shared" si="147"/>
        <v/>
      </c>
      <c r="AL1678" s="18" t="str">
        <f t="shared" si="148"/>
        <v/>
      </c>
      <c r="AM1678" s="18" t="str">
        <f t="shared" si="149"/>
        <v/>
      </c>
    </row>
    <row r="1679" spans="1:39" x14ac:dyDescent="0.35">
      <c r="A1679" s="56" t="s">
        <v>1747</v>
      </c>
      <c r="B1679" s="31"/>
      <c r="C1679" s="54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E1679" s="57" t="str">
        <f t="shared" si="141"/>
        <v/>
      </c>
      <c r="AF1679" s="18" t="str">
        <f t="shared" si="142"/>
        <v/>
      </c>
      <c r="AG1679" s="18" t="str">
        <f t="shared" si="143"/>
        <v/>
      </c>
      <c r="AH1679" s="18" t="str">
        <f t="shared" si="144"/>
        <v/>
      </c>
      <c r="AI1679" s="18" t="str">
        <f t="shared" si="145"/>
        <v/>
      </c>
      <c r="AJ1679" s="18" t="str">
        <f t="shared" si="146"/>
        <v/>
      </c>
      <c r="AK1679" s="18" t="str">
        <f t="shared" si="147"/>
        <v/>
      </c>
      <c r="AL1679" s="18" t="str">
        <f t="shared" si="148"/>
        <v/>
      </c>
      <c r="AM1679" s="18" t="str">
        <f t="shared" si="149"/>
        <v/>
      </c>
    </row>
    <row r="1680" spans="1:39" x14ac:dyDescent="0.35">
      <c r="A1680" s="56" t="s">
        <v>1748</v>
      </c>
      <c r="B1680" s="31"/>
      <c r="C1680" s="54"/>
      <c r="D1680" s="31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E1680" s="57" t="str">
        <f t="shared" si="141"/>
        <v/>
      </c>
      <c r="AF1680" s="18" t="str">
        <f t="shared" si="142"/>
        <v/>
      </c>
      <c r="AG1680" s="18" t="str">
        <f t="shared" si="143"/>
        <v/>
      </c>
      <c r="AH1680" s="18" t="str">
        <f t="shared" si="144"/>
        <v/>
      </c>
      <c r="AI1680" s="18" t="str">
        <f t="shared" si="145"/>
        <v/>
      </c>
      <c r="AJ1680" s="18" t="str">
        <f t="shared" si="146"/>
        <v/>
      </c>
      <c r="AK1680" s="18" t="str">
        <f t="shared" si="147"/>
        <v/>
      </c>
      <c r="AL1680" s="18" t="str">
        <f t="shared" si="148"/>
        <v/>
      </c>
      <c r="AM1680" s="18" t="str">
        <f t="shared" si="149"/>
        <v/>
      </c>
    </row>
    <row r="1681" spans="1:39" x14ac:dyDescent="0.35">
      <c r="A1681" s="56" t="s">
        <v>1749</v>
      </c>
      <c r="B1681" s="31"/>
      <c r="C1681" s="54"/>
      <c r="D1681" s="31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E1681" s="57" t="str">
        <f t="shared" si="141"/>
        <v/>
      </c>
      <c r="AF1681" s="18" t="str">
        <f t="shared" si="142"/>
        <v/>
      </c>
      <c r="AG1681" s="18" t="str">
        <f t="shared" si="143"/>
        <v/>
      </c>
      <c r="AH1681" s="18" t="str">
        <f t="shared" si="144"/>
        <v/>
      </c>
      <c r="AI1681" s="18" t="str">
        <f t="shared" si="145"/>
        <v/>
      </c>
      <c r="AJ1681" s="18" t="str">
        <f t="shared" si="146"/>
        <v/>
      </c>
      <c r="AK1681" s="18" t="str">
        <f t="shared" si="147"/>
        <v/>
      </c>
      <c r="AL1681" s="18" t="str">
        <f t="shared" si="148"/>
        <v/>
      </c>
      <c r="AM1681" s="18" t="str">
        <f t="shared" si="149"/>
        <v/>
      </c>
    </row>
    <row r="1682" spans="1:39" x14ac:dyDescent="0.35">
      <c r="A1682" s="56" t="s">
        <v>1750</v>
      </c>
      <c r="B1682" s="31"/>
      <c r="C1682" s="54"/>
      <c r="D1682" s="31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E1682" s="57" t="str">
        <f t="shared" si="141"/>
        <v/>
      </c>
      <c r="AF1682" s="18" t="str">
        <f t="shared" si="142"/>
        <v/>
      </c>
      <c r="AG1682" s="18" t="str">
        <f t="shared" si="143"/>
        <v/>
      </c>
      <c r="AH1682" s="18" t="str">
        <f t="shared" si="144"/>
        <v/>
      </c>
      <c r="AI1682" s="18" t="str">
        <f t="shared" si="145"/>
        <v/>
      </c>
      <c r="AJ1682" s="18" t="str">
        <f t="shared" si="146"/>
        <v/>
      </c>
      <c r="AK1682" s="18" t="str">
        <f t="shared" si="147"/>
        <v/>
      </c>
      <c r="AL1682" s="18" t="str">
        <f t="shared" si="148"/>
        <v/>
      </c>
      <c r="AM1682" s="18" t="str">
        <f t="shared" si="149"/>
        <v/>
      </c>
    </row>
    <row r="1683" spans="1:39" x14ac:dyDescent="0.35">
      <c r="A1683" s="56" t="s">
        <v>1751</v>
      </c>
      <c r="B1683" s="31"/>
      <c r="C1683" s="54"/>
      <c r="D1683" s="31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E1683" s="57" t="str">
        <f t="shared" si="141"/>
        <v/>
      </c>
      <c r="AF1683" s="18" t="str">
        <f t="shared" si="142"/>
        <v/>
      </c>
      <c r="AG1683" s="18" t="str">
        <f t="shared" si="143"/>
        <v/>
      </c>
      <c r="AH1683" s="18" t="str">
        <f t="shared" si="144"/>
        <v/>
      </c>
      <c r="AI1683" s="18" t="str">
        <f t="shared" si="145"/>
        <v/>
      </c>
      <c r="AJ1683" s="18" t="str">
        <f t="shared" si="146"/>
        <v/>
      </c>
      <c r="AK1683" s="18" t="str">
        <f t="shared" si="147"/>
        <v/>
      </c>
      <c r="AL1683" s="18" t="str">
        <f t="shared" si="148"/>
        <v/>
      </c>
      <c r="AM1683" s="18" t="str">
        <f t="shared" si="149"/>
        <v/>
      </c>
    </row>
    <row r="1684" spans="1:39" x14ac:dyDescent="0.35">
      <c r="A1684" s="56" t="s">
        <v>1752</v>
      </c>
      <c r="B1684" s="31"/>
      <c r="C1684" s="54"/>
      <c r="D1684" s="31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E1684" s="57" t="str">
        <f t="shared" si="141"/>
        <v/>
      </c>
      <c r="AF1684" s="18" t="str">
        <f t="shared" si="142"/>
        <v/>
      </c>
      <c r="AG1684" s="18" t="str">
        <f t="shared" si="143"/>
        <v/>
      </c>
      <c r="AH1684" s="18" t="str">
        <f t="shared" si="144"/>
        <v/>
      </c>
      <c r="AI1684" s="18" t="str">
        <f t="shared" si="145"/>
        <v/>
      </c>
      <c r="AJ1684" s="18" t="str">
        <f t="shared" si="146"/>
        <v/>
      </c>
      <c r="AK1684" s="18" t="str">
        <f t="shared" si="147"/>
        <v/>
      </c>
      <c r="AL1684" s="18" t="str">
        <f t="shared" si="148"/>
        <v/>
      </c>
      <c r="AM1684" s="18" t="str">
        <f t="shared" si="149"/>
        <v/>
      </c>
    </row>
    <row r="1685" spans="1:39" x14ac:dyDescent="0.35">
      <c r="A1685" s="56" t="s">
        <v>1753</v>
      </c>
      <c r="B1685" s="31"/>
      <c r="C1685" s="54"/>
      <c r="D1685" s="31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E1685" s="57" t="str">
        <f t="shared" si="141"/>
        <v/>
      </c>
      <c r="AF1685" s="18" t="str">
        <f t="shared" si="142"/>
        <v/>
      </c>
      <c r="AG1685" s="18" t="str">
        <f t="shared" si="143"/>
        <v/>
      </c>
      <c r="AH1685" s="18" t="str">
        <f t="shared" si="144"/>
        <v/>
      </c>
      <c r="AI1685" s="18" t="str">
        <f t="shared" si="145"/>
        <v/>
      </c>
      <c r="AJ1685" s="18" t="str">
        <f t="shared" si="146"/>
        <v/>
      </c>
      <c r="AK1685" s="18" t="str">
        <f t="shared" si="147"/>
        <v/>
      </c>
      <c r="AL1685" s="18" t="str">
        <f t="shared" si="148"/>
        <v/>
      </c>
      <c r="AM1685" s="18" t="str">
        <f t="shared" si="149"/>
        <v/>
      </c>
    </row>
    <row r="1686" spans="1:39" x14ac:dyDescent="0.35">
      <c r="A1686" s="56" t="s">
        <v>1754</v>
      </c>
      <c r="B1686" s="31"/>
      <c r="C1686" s="54"/>
      <c r="D1686" s="31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E1686" s="57" t="str">
        <f t="shared" si="141"/>
        <v/>
      </c>
      <c r="AF1686" s="18" t="str">
        <f t="shared" si="142"/>
        <v/>
      </c>
      <c r="AG1686" s="18" t="str">
        <f t="shared" si="143"/>
        <v/>
      </c>
      <c r="AH1686" s="18" t="str">
        <f t="shared" si="144"/>
        <v/>
      </c>
      <c r="AI1686" s="18" t="str">
        <f t="shared" si="145"/>
        <v/>
      </c>
      <c r="AJ1686" s="18" t="str">
        <f t="shared" si="146"/>
        <v/>
      </c>
      <c r="AK1686" s="18" t="str">
        <f t="shared" si="147"/>
        <v/>
      </c>
      <c r="AL1686" s="18" t="str">
        <f t="shared" si="148"/>
        <v/>
      </c>
      <c r="AM1686" s="18" t="str">
        <f t="shared" si="149"/>
        <v/>
      </c>
    </row>
    <row r="1687" spans="1:39" x14ac:dyDescent="0.35">
      <c r="A1687" s="56" t="s">
        <v>1755</v>
      </c>
      <c r="B1687" s="31"/>
      <c r="C1687" s="54"/>
      <c r="D1687" s="31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E1687" s="57" t="str">
        <f t="shared" si="141"/>
        <v/>
      </c>
      <c r="AF1687" s="18" t="str">
        <f t="shared" si="142"/>
        <v/>
      </c>
      <c r="AG1687" s="18" t="str">
        <f t="shared" si="143"/>
        <v/>
      </c>
      <c r="AH1687" s="18" t="str">
        <f t="shared" si="144"/>
        <v/>
      </c>
      <c r="AI1687" s="18" t="str">
        <f t="shared" si="145"/>
        <v/>
      </c>
      <c r="AJ1687" s="18" t="str">
        <f t="shared" si="146"/>
        <v/>
      </c>
      <c r="AK1687" s="18" t="str">
        <f t="shared" si="147"/>
        <v/>
      </c>
      <c r="AL1687" s="18" t="str">
        <f t="shared" si="148"/>
        <v/>
      </c>
      <c r="AM1687" s="18" t="str">
        <f t="shared" si="149"/>
        <v/>
      </c>
    </row>
    <row r="1688" spans="1:39" x14ac:dyDescent="0.35">
      <c r="A1688" s="56" t="s">
        <v>1756</v>
      </c>
      <c r="B1688" s="31"/>
      <c r="C1688" s="54"/>
      <c r="D1688" s="31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E1688" s="57" t="str">
        <f t="shared" si="141"/>
        <v/>
      </c>
      <c r="AF1688" s="18" t="str">
        <f t="shared" si="142"/>
        <v/>
      </c>
      <c r="AG1688" s="18" t="str">
        <f t="shared" si="143"/>
        <v/>
      </c>
      <c r="AH1688" s="18" t="str">
        <f t="shared" si="144"/>
        <v/>
      </c>
      <c r="AI1688" s="18" t="str">
        <f t="shared" si="145"/>
        <v/>
      </c>
      <c r="AJ1688" s="18" t="str">
        <f t="shared" si="146"/>
        <v/>
      </c>
      <c r="AK1688" s="18" t="str">
        <f t="shared" si="147"/>
        <v/>
      </c>
      <c r="AL1688" s="18" t="str">
        <f t="shared" si="148"/>
        <v/>
      </c>
      <c r="AM1688" s="18" t="str">
        <f t="shared" si="149"/>
        <v/>
      </c>
    </row>
    <row r="1689" spans="1:39" x14ac:dyDescent="0.35">
      <c r="A1689" s="56" t="s">
        <v>1757</v>
      </c>
      <c r="B1689" s="31"/>
      <c r="C1689" s="54"/>
      <c r="D1689" s="31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E1689" s="57" t="str">
        <f t="shared" si="141"/>
        <v/>
      </c>
      <c r="AF1689" s="18" t="str">
        <f t="shared" si="142"/>
        <v/>
      </c>
      <c r="AG1689" s="18" t="str">
        <f t="shared" si="143"/>
        <v/>
      </c>
      <c r="AH1689" s="18" t="str">
        <f t="shared" si="144"/>
        <v/>
      </c>
      <c r="AI1689" s="18" t="str">
        <f t="shared" si="145"/>
        <v/>
      </c>
      <c r="AJ1689" s="18" t="str">
        <f t="shared" si="146"/>
        <v/>
      </c>
      <c r="AK1689" s="18" t="str">
        <f t="shared" si="147"/>
        <v/>
      </c>
      <c r="AL1689" s="18" t="str">
        <f t="shared" si="148"/>
        <v/>
      </c>
      <c r="AM1689" s="18" t="str">
        <f t="shared" si="149"/>
        <v/>
      </c>
    </row>
    <row r="1690" spans="1:39" x14ac:dyDescent="0.35">
      <c r="A1690" s="56" t="s">
        <v>1758</v>
      </c>
      <c r="B1690" s="31"/>
      <c r="C1690" s="54"/>
      <c r="D1690" s="31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E1690" s="57" t="str">
        <f t="shared" si="141"/>
        <v/>
      </c>
      <c r="AF1690" s="18" t="str">
        <f t="shared" si="142"/>
        <v/>
      </c>
      <c r="AG1690" s="18" t="str">
        <f t="shared" si="143"/>
        <v/>
      </c>
      <c r="AH1690" s="18" t="str">
        <f t="shared" si="144"/>
        <v/>
      </c>
      <c r="AI1690" s="18" t="str">
        <f t="shared" si="145"/>
        <v/>
      </c>
      <c r="AJ1690" s="18" t="str">
        <f t="shared" si="146"/>
        <v/>
      </c>
      <c r="AK1690" s="18" t="str">
        <f t="shared" si="147"/>
        <v/>
      </c>
      <c r="AL1690" s="18" t="str">
        <f t="shared" si="148"/>
        <v/>
      </c>
      <c r="AM1690" s="18" t="str">
        <f t="shared" si="149"/>
        <v/>
      </c>
    </row>
    <row r="1691" spans="1:39" x14ac:dyDescent="0.35">
      <c r="A1691" s="56" t="s">
        <v>1759</v>
      </c>
      <c r="B1691" s="31"/>
      <c r="C1691" s="54"/>
      <c r="D1691" s="31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E1691" s="57" t="str">
        <f t="shared" si="141"/>
        <v/>
      </c>
      <c r="AF1691" s="18" t="str">
        <f t="shared" si="142"/>
        <v/>
      </c>
      <c r="AG1691" s="18" t="str">
        <f t="shared" si="143"/>
        <v/>
      </c>
      <c r="AH1691" s="18" t="str">
        <f t="shared" si="144"/>
        <v/>
      </c>
      <c r="AI1691" s="18" t="str">
        <f t="shared" si="145"/>
        <v/>
      </c>
      <c r="AJ1691" s="18" t="str">
        <f t="shared" si="146"/>
        <v/>
      </c>
      <c r="AK1691" s="18" t="str">
        <f t="shared" si="147"/>
        <v/>
      </c>
      <c r="AL1691" s="18" t="str">
        <f t="shared" si="148"/>
        <v/>
      </c>
      <c r="AM1691" s="18" t="str">
        <f t="shared" si="149"/>
        <v/>
      </c>
    </row>
    <row r="1692" spans="1:39" x14ac:dyDescent="0.35">
      <c r="A1692" s="56" t="s">
        <v>1760</v>
      </c>
      <c r="B1692" s="31"/>
      <c r="C1692" s="54"/>
      <c r="D1692" s="31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E1692" s="57" t="str">
        <f t="shared" si="141"/>
        <v/>
      </c>
      <c r="AF1692" s="18" t="str">
        <f t="shared" si="142"/>
        <v/>
      </c>
      <c r="AG1692" s="18" t="str">
        <f t="shared" si="143"/>
        <v/>
      </c>
      <c r="AH1692" s="18" t="str">
        <f t="shared" si="144"/>
        <v/>
      </c>
      <c r="AI1692" s="18" t="str">
        <f t="shared" si="145"/>
        <v/>
      </c>
      <c r="AJ1692" s="18" t="str">
        <f t="shared" si="146"/>
        <v/>
      </c>
      <c r="AK1692" s="18" t="str">
        <f t="shared" si="147"/>
        <v/>
      </c>
      <c r="AL1692" s="18" t="str">
        <f t="shared" si="148"/>
        <v/>
      </c>
      <c r="AM1692" s="18" t="str">
        <f t="shared" si="149"/>
        <v/>
      </c>
    </row>
    <row r="1693" spans="1:39" x14ac:dyDescent="0.35">
      <c r="A1693" s="56" t="s">
        <v>1761</v>
      </c>
      <c r="B1693" s="31"/>
      <c r="C1693" s="54"/>
      <c r="D1693" s="31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E1693" s="57" t="str">
        <f t="shared" si="141"/>
        <v/>
      </c>
      <c r="AF1693" s="18" t="str">
        <f t="shared" si="142"/>
        <v/>
      </c>
      <c r="AG1693" s="18" t="str">
        <f t="shared" si="143"/>
        <v/>
      </c>
      <c r="AH1693" s="18" t="str">
        <f t="shared" si="144"/>
        <v/>
      </c>
      <c r="AI1693" s="18" t="str">
        <f t="shared" si="145"/>
        <v/>
      </c>
      <c r="AJ1693" s="18" t="str">
        <f t="shared" si="146"/>
        <v/>
      </c>
      <c r="AK1693" s="18" t="str">
        <f t="shared" si="147"/>
        <v/>
      </c>
      <c r="AL1693" s="18" t="str">
        <f t="shared" si="148"/>
        <v/>
      </c>
      <c r="AM1693" s="18" t="str">
        <f t="shared" si="149"/>
        <v/>
      </c>
    </row>
    <row r="1694" spans="1:39" x14ac:dyDescent="0.35">
      <c r="A1694" s="56" t="s">
        <v>1762</v>
      </c>
      <c r="B1694" s="31"/>
      <c r="C1694" s="54"/>
      <c r="D1694" s="31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E1694" s="57" t="str">
        <f t="shared" si="141"/>
        <v/>
      </c>
      <c r="AF1694" s="18" t="str">
        <f t="shared" si="142"/>
        <v/>
      </c>
      <c r="AG1694" s="18" t="str">
        <f t="shared" si="143"/>
        <v/>
      </c>
      <c r="AH1694" s="18" t="str">
        <f t="shared" si="144"/>
        <v/>
      </c>
      <c r="AI1694" s="18" t="str">
        <f t="shared" si="145"/>
        <v/>
      </c>
      <c r="AJ1694" s="18" t="str">
        <f t="shared" si="146"/>
        <v/>
      </c>
      <c r="AK1694" s="18" t="str">
        <f t="shared" si="147"/>
        <v/>
      </c>
      <c r="AL1694" s="18" t="str">
        <f t="shared" si="148"/>
        <v/>
      </c>
      <c r="AM1694" s="18" t="str">
        <f t="shared" si="149"/>
        <v/>
      </c>
    </row>
    <row r="1695" spans="1:39" x14ac:dyDescent="0.35">
      <c r="A1695" s="56" t="s">
        <v>1763</v>
      </c>
      <c r="B1695" s="31"/>
      <c r="C1695" s="54"/>
      <c r="D1695" s="31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E1695" s="57" t="str">
        <f t="shared" si="141"/>
        <v/>
      </c>
      <c r="AF1695" s="18" t="str">
        <f t="shared" si="142"/>
        <v/>
      </c>
      <c r="AG1695" s="18" t="str">
        <f t="shared" si="143"/>
        <v/>
      </c>
      <c r="AH1695" s="18" t="str">
        <f t="shared" si="144"/>
        <v/>
      </c>
      <c r="AI1695" s="18" t="str">
        <f t="shared" si="145"/>
        <v/>
      </c>
      <c r="AJ1695" s="18" t="str">
        <f t="shared" si="146"/>
        <v/>
      </c>
      <c r="AK1695" s="18" t="str">
        <f t="shared" si="147"/>
        <v/>
      </c>
      <c r="AL1695" s="18" t="str">
        <f t="shared" si="148"/>
        <v/>
      </c>
      <c r="AM1695" s="18" t="str">
        <f t="shared" si="149"/>
        <v/>
      </c>
    </row>
    <row r="1696" spans="1:39" x14ac:dyDescent="0.35">
      <c r="A1696" s="56" t="s">
        <v>1764</v>
      </c>
      <c r="B1696" s="31"/>
      <c r="C1696" s="54"/>
      <c r="D1696" s="31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E1696" s="57" t="str">
        <f t="shared" si="141"/>
        <v/>
      </c>
      <c r="AF1696" s="18" t="str">
        <f t="shared" si="142"/>
        <v/>
      </c>
      <c r="AG1696" s="18" t="str">
        <f t="shared" si="143"/>
        <v/>
      </c>
      <c r="AH1696" s="18" t="str">
        <f t="shared" si="144"/>
        <v/>
      </c>
      <c r="AI1696" s="18" t="str">
        <f t="shared" si="145"/>
        <v/>
      </c>
      <c r="AJ1696" s="18" t="str">
        <f t="shared" si="146"/>
        <v/>
      </c>
      <c r="AK1696" s="18" t="str">
        <f t="shared" si="147"/>
        <v/>
      </c>
      <c r="AL1696" s="18" t="str">
        <f t="shared" si="148"/>
        <v/>
      </c>
      <c r="AM1696" s="18" t="str">
        <f t="shared" si="149"/>
        <v/>
      </c>
    </row>
    <row r="1697" spans="1:39" x14ac:dyDescent="0.35">
      <c r="A1697" s="56" t="s">
        <v>1765</v>
      </c>
      <c r="B1697" s="31"/>
      <c r="C1697" s="54"/>
      <c r="D1697" s="31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E1697" s="57" t="str">
        <f t="shared" si="141"/>
        <v/>
      </c>
      <c r="AF1697" s="18" t="str">
        <f t="shared" si="142"/>
        <v/>
      </c>
      <c r="AG1697" s="18" t="str">
        <f t="shared" si="143"/>
        <v/>
      </c>
      <c r="AH1697" s="18" t="str">
        <f t="shared" si="144"/>
        <v/>
      </c>
      <c r="AI1697" s="18" t="str">
        <f t="shared" si="145"/>
        <v/>
      </c>
      <c r="AJ1697" s="18" t="str">
        <f t="shared" si="146"/>
        <v/>
      </c>
      <c r="AK1697" s="18" t="str">
        <f t="shared" si="147"/>
        <v/>
      </c>
      <c r="AL1697" s="18" t="str">
        <f t="shared" si="148"/>
        <v/>
      </c>
      <c r="AM1697" s="18" t="str">
        <f t="shared" si="149"/>
        <v/>
      </c>
    </row>
    <row r="1698" spans="1:39" x14ac:dyDescent="0.35">
      <c r="A1698" s="56" t="s">
        <v>1766</v>
      </c>
      <c r="B1698" s="31"/>
      <c r="C1698" s="54"/>
      <c r="D1698" s="31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E1698" s="57" t="str">
        <f t="shared" si="141"/>
        <v/>
      </c>
      <c r="AF1698" s="18" t="str">
        <f t="shared" si="142"/>
        <v/>
      </c>
      <c r="AG1698" s="18" t="str">
        <f t="shared" si="143"/>
        <v/>
      </c>
      <c r="AH1698" s="18" t="str">
        <f t="shared" si="144"/>
        <v/>
      </c>
      <c r="AI1698" s="18" t="str">
        <f t="shared" si="145"/>
        <v/>
      </c>
      <c r="AJ1698" s="18" t="str">
        <f t="shared" si="146"/>
        <v/>
      </c>
      <c r="AK1698" s="18" t="str">
        <f t="shared" si="147"/>
        <v/>
      </c>
      <c r="AL1698" s="18" t="str">
        <f t="shared" si="148"/>
        <v/>
      </c>
      <c r="AM1698" s="18" t="str">
        <f t="shared" si="149"/>
        <v/>
      </c>
    </row>
    <row r="1699" spans="1:39" x14ac:dyDescent="0.35">
      <c r="A1699" s="56" t="s">
        <v>1767</v>
      </c>
      <c r="B1699" s="31"/>
      <c r="C1699" s="54"/>
      <c r="D1699" s="31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E1699" s="57" t="str">
        <f t="shared" si="141"/>
        <v/>
      </c>
      <c r="AF1699" s="18" t="str">
        <f t="shared" si="142"/>
        <v/>
      </c>
      <c r="AG1699" s="18" t="str">
        <f t="shared" si="143"/>
        <v/>
      </c>
      <c r="AH1699" s="18" t="str">
        <f t="shared" si="144"/>
        <v/>
      </c>
      <c r="AI1699" s="18" t="str">
        <f t="shared" si="145"/>
        <v/>
      </c>
      <c r="AJ1699" s="18" t="str">
        <f t="shared" si="146"/>
        <v/>
      </c>
      <c r="AK1699" s="18" t="str">
        <f t="shared" si="147"/>
        <v/>
      </c>
      <c r="AL1699" s="18" t="str">
        <f t="shared" si="148"/>
        <v/>
      </c>
      <c r="AM1699" s="18" t="str">
        <f t="shared" si="149"/>
        <v/>
      </c>
    </row>
    <row r="1700" spans="1:39" x14ac:dyDescent="0.35">
      <c r="A1700" s="56" t="s">
        <v>1768</v>
      </c>
      <c r="B1700" s="31"/>
      <c r="C1700" s="54"/>
      <c r="D1700" s="31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E1700" s="57" t="str">
        <f t="shared" si="141"/>
        <v/>
      </c>
      <c r="AF1700" s="18" t="str">
        <f t="shared" si="142"/>
        <v/>
      </c>
      <c r="AG1700" s="18" t="str">
        <f t="shared" si="143"/>
        <v/>
      </c>
      <c r="AH1700" s="18" t="str">
        <f t="shared" si="144"/>
        <v/>
      </c>
      <c r="AI1700" s="18" t="str">
        <f t="shared" si="145"/>
        <v/>
      </c>
      <c r="AJ1700" s="18" t="str">
        <f t="shared" si="146"/>
        <v/>
      </c>
      <c r="AK1700" s="18" t="str">
        <f t="shared" si="147"/>
        <v/>
      </c>
      <c r="AL1700" s="18" t="str">
        <f t="shared" si="148"/>
        <v/>
      </c>
      <c r="AM1700" s="18" t="str">
        <f t="shared" si="149"/>
        <v/>
      </c>
    </row>
    <row r="1701" spans="1:39" x14ac:dyDescent="0.35">
      <c r="A1701" s="56" t="s">
        <v>1769</v>
      </c>
      <c r="B1701" s="31"/>
      <c r="C1701" s="54"/>
      <c r="D1701" s="31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E1701" s="57" t="str">
        <f t="shared" si="141"/>
        <v/>
      </c>
      <c r="AF1701" s="18" t="str">
        <f t="shared" si="142"/>
        <v/>
      </c>
      <c r="AG1701" s="18" t="str">
        <f t="shared" si="143"/>
        <v/>
      </c>
      <c r="AH1701" s="18" t="str">
        <f t="shared" si="144"/>
        <v/>
      </c>
      <c r="AI1701" s="18" t="str">
        <f t="shared" si="145"/>
        <v/>
      </c>
      <c r="AJ1701" s="18" t="str">
        <f t="shared" si="146"/>
        <v/>
      </c>
      <c r="AK1701" s="18" t="str">
        <f t="shared" si="147"/>
        <v/>
      </c>
      <c r="AL1701" s="18" t="str">
        <f t="shared" si="148"/>
        <v/>
      </c>
      <c r="AM1701" s="18" t="str">
        <f t="shared" si="149"/>
        <v/>
      </c>
    </row>
    <row r="1702" spans="1:39" x14ac:dyDescent="0.35">
      <c r="A1702" s="56" t="s">
        <v>1770</v>
      </c>
      <c r="B1702" s="31"/>
      <c r="C1702" s="54"/>
      <c r="D1702" s="31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E1702" s="57" t="str">
        <f t="shared" si="141"/>
        <v/>
      </c>
      <c r="AF1702" s="18" t="str">
        <f t="shared" si="142"/>
        <v/>
      </c>
      <c r="AG1702" s="18" t="str">
        <f t="shared" si="143"/>
        <v/>
      </c>
      <c r="AH1702" s="18" t="str">
        <f t="shared" si="144"/>
        <v/>
      </c>
      <c r="AI1702" s="18" t="str">
        <f t="shared" si="145"/>
        <v/>
      </c>
      <c r="AJ1702" s="18" t="str">
        <f t="shared" si="146"/>
        <v/>
      </c>
      <c r="AK1702" s="18" t="str">
        <f t="shared" si="147"/>
        <v/>
      </c>
      <c r="AL1702" s="18" t="str">
        <f t="shared" si="148"/>
        <v/>
      </c>
      <c r="AM1702" s="18" t="str">
        <f t="shared" si="149"/>
        <v/>
      </c>
    </row>
    <row r="1703" spans="1:39" x14ac:dyDescent="0.35">
      <c r="A1703" s="56" t="s">
        <v>1771</v>
      </c>
      <c r="B1703" s="31"/>
      <c r="C1703" s="54"/>
      <c r="D1703" s="31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E1703" s="57" t="str">
        <f t="shared" si="141"/>
        <v/>
      </c>
      <c r="AF1703" s="18" t="str">
        <f t="shared" si="142"/>
        <v/>
      </c>
      <c r="AG1703" s="18" t="str">
        <f t="shared" si="143"/>
        <v/>
      </c>
      <c r="AH1703" s="18" t="str">
        <f t="shared" si="144"/>
        <v/>
      </c>
      <c r="AI1703" s="18" t="str">
        <f t="shared" si="145"/>
        <v/>
      </c>
      <c r="AJ1703" s="18" t="str">
        <f t="shared" si="146"/>
        <v/>
      </c>
      <c r="AK1703" s="18" t="str">
        <f t="shared" si="147"/>
        <v/>
      </c>
      <c r="AL1703" s="18" t="str">
        <f t="shared" si="148"/>
        <v/>
      </c>
      <c r="AM1703" s="18" t="str">
        <f t="shared" si="149"/>
        <v/>
      </c>
    </row>
    <row r="1704" spans="1:39" x14ac:dyDescent="0.35">
      <c r="A1704" s="56" t="s">
        <v>1772</v>
      </c>
      <c r="B1704" s="31"/>
      <c r="C1704" s="54"/>
      <c r="D1704" s="31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E1704" s="57" t="str">
        <f t="shared" si="141"/>
        <v/>
      </c>
      <c r="AF1704" s="18" t="str">
        <f t="shared" si="142"/>
        <v/>
      </c>
      <c r="AG1704" s="18" t="str">
        <f t="shared" si="143"/>
        <v/>
      </c>
      <c r="AH1704" s="18" t="str">
        <f t="shared" si="144"/>
        <v/>
      </c>
      <c r="AI1704" s="18" t="str">
        <f t="shared" si="145"/>
        <v/>
      </c>
      <c r="AJ1704" s="18" t="str">
        <f t="shared" si="146"/>
        <v/>
      </c>
      <c r="AK1704" s="18" t="str">
        <f t="shared" si="147"/>
        <v/>
      </c>
      <c r="AL1704" s="18" t="str">
        <f t="shared" si="148"/>
        <v/>
      </c>
      <c r="AM1704" s="18" t="str">
        <f t="shared" si="149"/>
        <v/>
      </c>
    </row>
    <row r="1705" spans="1:39" x14ac:dyDescent="0.35">
      <c r="A1705" s="56" t="s">
        <v>1773</v>
      </c>
      <c r="B1705" s="31"/>
      <c r="C1705" s="54"/>
      <c r="D1705" s="31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E1705" s="57" t="str">
        <f t="shared" si="141"/>
        <v/>
      </c>
      <c r="AF1705" s="18" t="str">
        <f t="shared" si="142"/>
        <v/>
      </c>
      <c r="AG1705" s="18" t="str">
        <f t="shared" si="143"/>
        <v/>
      </c>
      <c r="AH1705" s="18" t="str">
        <f t="shared" si="144"/>
        <v/>
      </c>
      <c r="AI1705" s="18" t="str">
        <f t="shared" si="145"/>
        <v/>
      </c>
      <c r="AJ1705" s="18" t="str">
        <f t="shared" si="146"/>
        <v/>
      </c>
      <c r="AK1705" s="18" t="str">
        <f t="shared" si="147"/>
        <v/>
      </c>
      <c r="AL1705" s="18" t="str">
        <f t="shared" si="148"/>
        <v/>
      </c>
      <c r="AM1705" s="18" t="str">
        <f t="shared" si="149"/>
        <v/>
      </c>
    </row>
    <row r="1706" spans="1:39" x14ac:dyDescent="0.35">
      <c r="A1706" s="56" t="s">
        <v>1774</v>
      </c>
      <c r="B1706" s="31"/>
      <c r="C1706" s="54"/>
      <c r="D1706" s="31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E1706" s="57" t="str">
        <f t="shared" si="141"/>
        <v/>
      </c>
      <c r="AF1706" s="18" t="str">
        <f t="shared" si="142"/>
        <v/>
      </c>
      <c r="AG1706" s="18" t="str">
        <f t="shared" si="143"/>
        <v/>
      </c>
      <c r="AH1706" s="18" t="str">
        <f t="shared" si="144"/>
        <v/>
      </c>
      <c r="AI1706" s="18" t="str">
        <f t="shared" si="145"/>
        <v/>
      </c>
      <c r="AJ1706" s="18" t="str">
        <f t="shared" si="146"/>
        <v/>
      </c>
      <c r="AK1706" s="18" t="str">
        <f t="shared" si="147"/>
        <v/>
      </c>
      <c r="AL1706" s="18" t="str">
        <f t="shared" si="148"/>
        <v/>
      </c>
      <c r="AM1706" s="18" t="str">
        <f t="shared" si="149"/>
        <v/>
      </c>
    </row>
    <row r="1707" spans="1:39" x14ac:dyDescent="0.35">
      <c r="A1707" s="56" t="s">
        <v>1775</v>
      </c>
      <c r="B1707" s="31"/>
      <c r="C1707" s="54"/>
      <c r="D1707" s="31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E1707" s="57" t="str">
        <f t="shared" si="141"/>
        <v/>
      </c>
      <c r="AF1707" s="18" t="str">
        <f t="shared" si="142"/>
        <v/>
      </c>
      <c r="AG1707" s="18" t="str">
        <f t="shared" si="143"/>
        <v/>
      </c>
      <c r="AH1707" s="18" t="str">
        <f t="shared" si="144"/>
        <v/>
      </c>
      <c r="AI1707" s="18" t="str">
        <f t="shared" si="145"/>
        <v/>
      </c>
      <c r="AJ1707" s="18" t="str">
        <f t="shared" si="146"/>
        <v/>
      </c>
      <c r="AK1707" s="18" t="str">
        <f t="shared" si="147"/>
        <v/>
      </c>
      <c r="AL1707" s="18" t="str">
        <f t="shared" si="148"/>
        <v/>
      </c>
      <c r="AM1707" s="18" t="str">
        <f t="shared" si="149"/>
        <v/>
      </c>
    </row>
    <row r="1708" spans="1:39" x14ac:dyDescent="0.35">
      <c r="A1708" s="56" t="s">
        <v>1776</v>
      </c>
      <c r="B1708" s="31"/>
      <c r="C1708" s="54"/>
      <c r="D1708" s="31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E1708" s="57" t="str">
        <f t="shared" si="141"/>
        <v/>
      </c>
      <c r="AF1708" s="18" t="str">
        <f t="shared" si="142"/>
        <v/>
      </c>
      <c r="AG1708" s="18" t="str">
        <f t="shared" si="143"/>
        <v/>
      </c>
      <c r="AH1708" s="18" t="str">
        <f t="shared" si="144"/>
        <v/>
      </c>
      <c r="AI1708" s="18" t="str">
        <f t="shared" si="145"/>
        <v/>
      </c>
      <c r="AJ1708" s="18" t="str">
        <f t="shared" si="146"/>
        <v/>
      </c>
      <c r="AK1708" s="18" t="str">
        <f t="shared" si="147"/>
        <v/>
      </c>
      <c r="AL1708" s="18" t="str">
        <f t="shared" si="148"/>
        <v/>
      </c>
      <c r="AM1708" s="18" t="str">
        <f t="shared" si="149"/>
        <v/>
      </c>
    </row>
    <row r="1709" spans="1:39" x14ac:dyDescent="0.35">
      <c r="A1709" s="56" t="s">
        <v>1777</v>
      </c>
      <c r="B1709" s="31"/>
      <c r="C1709" s="54"/>
      <c r="D1709" s="31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E1709" s="57" t="str">
        <f t="shared" si="141"/>
        <v/>
      </c>
      <c r="AF1709" s="18" t="str">
        <f t="shared" si="142"/>
        <v/>
      </c>
      <c r="AG1709" s="18" t="str">
        <f t="shared" si="143"/>
        <v/>
      </c>
      <c r="AH1709" s="18" t="str">
        <f t="shared" si="144"/>
        <v/>
      </c>
      <c r="AI1709" s="18" t="str">
        <f t="shared" si="145"/>
        <v/>
      </c>
      <c r="AJ1709" s="18" t="str">
        <f t="shared" si="146"/>
        <v/>
      </c>
      <c r="AK1709" s="18" t="str">
        <f t="shared" si="147"/>
        <v/>
      </c>
      <c r="AL1709" s="18" t="str">
        <f t="shared" si="148"/>
        <v/>
      </c>
      <c r="AM1709" s="18" t="str">
        <f t="shared" si="149"/>
        <v/>
      </c>
    </row>
    <row r="1710" spans="1:39" x14ac:dyDescent="0.35">
      <c r="A1710" s="56" t="s">
        <v>1778</v>
      </c>
      <c r="B1710" s="31"/>
      <c r="C1710" s="54"/>
      <c r="D1710" s="31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E1710" s="57" t="str">
        <f t="shared" si="141"/>
        <v/>
      </c>
      <c r="AF1710" s="18" t="str">
        <f t="shared" si="142"/>
        <v/>
      </c>
      <c r="AG1710" s="18" t="str">
        <f t="shared" si="143"/>
        <v/>
      </c>
      <c r="AH1710" s="18" t="str">
        <f t="shared" si="144"/>
        <v/>
      </c>
      <c r="AI1710" s="18" t="str">
        <f t="shared" si="145"/>
        <v/>
      </c>
      <c r="AJ1710" s="18" t="str">
        <f t="shared" si="146"/>
        <v/>
      </c>
      <c r="AK1710" s="18" t="str">
        <f t="shared" si="147"/>
        <v/>
      </c>
      <c r="AL1710" s="18" t="str">
        <f t="shared" si="148"/>
        <v/>
      </c>
      <c r="AM1710" s="18" t="str">
        <f t="shared" si="149"/>
        <v/>
      </c>
    </row>
    <row r="1711" spans="1:39" x14ac:dyDescent="0.35">
      <c r="A1711" s="56" t="s">
        <v>1779</v>
      </c>
      <c r="B1711" s="31"/>
      <c r="C1711" s="54"/>
      <c r="D1711" s="31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E1711" s="57" t="str">
        <f t="shared" si="141"/>
        <v/>
      </c>
      <c r="AF1711" s="18" t="str">
        <f t="shared" si="142"/>
        <v/>
      </c>
      <c r="AG1711" s="18" t="str">
        <f t="shared" si="143"/>
        <v/>
      </c>
      <c r="AH1711" s="18" t="str">
        <f t="shared" si="144"/>
        <v/>
      </c>
      <c r="AI1711" s="18" t="str">
        <f t="shared" si="145"/>
        <v/>
      </c>
      <c r="AJ1711" s="18" t="str">
        <f t="shared" si="146"/>
        <v/>
      </c>
      <c r="AK1711" s="18" t="str">
        <f t="shared" si="147"/>
        <v/>
      </c>
      <c r="AL1711" s="18" t="str">
        <f t="shared" si="148"/>
        <v/>
      </c>
      <c r="AM1711" s="18" t="str">
        <f t="shared" si="149"/>
        <v/>
      </c>
    </row>
    <row r="1712" spans="1:39" x14ac:dyDescent="0.35">
      <c r="A1712" s="56" t="s">
        <v>1780</v>
      </c>
      <c r="B1712" s="31"/>
      <c r="C1712" s="54"/>
      <c r="D1712" s="31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E1712" s="57" t="str">
        <f t="shared" si="141"/>
        <v/>
      </c>
      <c r="AF1712" s="18" t="str">
        <f t="shared" si="142"/>
        <v/>
      </c>
      <c r="AG1712" s="18" t="str">
        <f t="shared" si="143"/>
        <v/>
      </c>
      <c r="AH1712" s="18" t="str">
        <f t="shared" si="144"/>
        <v/>
      </c>
      <c r="AI1712" s="18" t="str">
        <f t="shared" si="145"/>
        <v/>
      </c>
      <c r="AJ1712" s="18" t="str">
        <f t="shared" si="146"/>
        <v/>
      </c>
      <c r="AK1712" s="18" t="str">
        <f t="shared" si="147"/>
        <v/>
      </c>
      <c r="AL1712" s="18" t="str">
        <f t="shared" si="148"/>
        <v/>
      </c>
      <c r="AM1712" s="18" t="str">
        <f t="shared" si="149"/>
        <v/>
      </c>
    </row>
    <row r="1713" spans="1:39" x14ac:dyDescent="0.35">
      <c r="A1713" s="56" t="s">
        <v>1781</v>
      </c>
      <c r="B1713" s="31"/>
      <c r="C1713" s="54"/>
      <c r="D1713" s="31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E1713" s="57" t="str">
        <f t="shared" si="141"/>
        <v/>
      </c>
      <c r="AF1713" s="18" t="str">
        <f t="shared" si="142"/>
        <v/>
      </c>
      <c r="AG1713" s="18" t="str">
        <f t="shared" si="143"/>
        <v/>
      </c>
      <c r="AH1713" s="18" t="str">
        <f t="shared" si="144"/>
        <v/>
      </c>
      <c r="AI1713" s="18" t="str">
        <f t="shared" si="145"/>
        <v/>
      </c>
      <c r="AJ1713" s="18" t="str">
        <f t="shared" si="146"/>
        <v/>
      </c>
      <c r="AK1713" s="18" t="str">
        <f t="shared" si="147"/>
        <v/>
      </c>
      <c r="AL1713" s="18" t="str">
        <f t="shared" si="148"/>
        <v/>
      </c>
      <c r="AM1713" s="18" t="str">
        <f t="shared" si="149"/>
        <v/>
      </c>
    </row>
    <row r="1714" spans="1:39" x14ac:dyDescent="0.35">
      <c r="A1714" s="56" t="s">
        <v>1782</v>
      </c>
      <c r="B1714" s="31"/>
      <c r="C1714" s="54"/>
      <c r="D1714" s="31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E1714" s="57" t="str">
        <f t="shared" si="141"/>
        <v/>
      </c>
      <c r="AF1714" s="18" t="str">
        <f t="shared" si="142"/>
        <v/>
      </c>
      <c r="AG1714" s="18" t="str">
        <f t="shared" si="143"/>
        <v/>
      </c>
      <c r="AH1714" s="18" t="str">
        <f t="shared" si="144"/>
        <v/>
      </c>
      <c r="AI1714" s="18" t="str">
        <f t="shared" si="145"/>
        <v/>
      </c>
      <c r="AJ1714" s="18" t="str">
        <f t="shared" si="146"/>
        <v/>
      </c>
      <c r="AK1714" s="18" t="str">
        <f t="shared" si="147"/>
        <v/>
      </c>
      <c r="AL1714" s="18" t="str">
        <f t="shared" si="148"/>
        <v/>
      </c>
      <c r="AM1714" s="18" t="str">
        <f t="shared" si="149"/>
        <v/>
      </c>
    </row>
    <row r="1715" spans="1:39" x14ac:dyDescent="0.35">
      <c r="A1715" s="56" t="s">
        <v>1783</v>
      </c>
      <c r="B1715" s="31"/>
      <c r="C1715" s="54"/>
      <c r="D1715" s="31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E1715" s="57" t="str">
        <f t="shared" si="141"/>
        <v/>
      </c>
      <c r="AF1715" s="18" t="str">
        <f t="shared" si="142"/>
        <v/>
      </c>
      <c r="AG1715" s="18" t="str">
        <f t="shared" si="143"/>
        <v/>
      </c>
      <c r="AH1715" s="18" t="str">
        <f t="shared" si="144"/>
        <v/>
      </c>
      <c r="AI1715" s="18" t="str">
        <f t="shared" si="145"/>
        <v/>
      </c>
      <c r="AJ1715" s="18" t="str">
        <f t="shared" si="146"/>
        <v/>
      </c>
      <c r="AK1715" s="18" t="str">
        <f t="shared" si="147"/>
        <v/>
      </c>
      <c r="AL1715" s="18" t="str">
        <f t="shared" si="148"/>
        <v/>
      </c>
      <c r="AM1715" s="18" t="str">
        <f t="shared" si="149"/>
        <v/>
      </c>
    </row>
    <row r="1716" spans="1:39" x14ac:dyDescent="0.35">
      <c r="A1716" s="56" t="s">
        <v>1784</v>
      </c>
      <c r="B1716" s="31"/>
      <c r="C1716" s="54"/>
      <c r="D1716" s="31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E1716" s="57" t="str">
        <f t="shared" si="141"/>
        <v/>
      </c>
      <c r="AF1716" s="18" t="str">
        <f t="shared" si="142"/>
        <v/>
      </c>
      <c r="AG1716" s="18" t="str">
        <f t="shared" si="143"/>
        <v/>
      </c>
      <c r="AH1716" s="18" t="str">
        <f t="shared" si="144"/>
        <v/>
      </c>
      <c r="AI1716" s="18" t="str">
        <f t="shared" si="145"/>
        <v/>
      </c>
      <c r="AJ1716" s="18" t="str">
        <f t="shared" si="146"/>
        <v/>
      </c>
      <c r="AK1716" s="18" t="str">
        <f t="shared" si="147"/>
        <v/>
      </c>
      <c r="AL1716" s="18" t="str">
        <f t="shared" si="148"/>
        <v/>
      </c>
      <c r="AM1716" s="18" t="str">
        <f t="shared" si="149"/>
        <v/>
      </c>
    </row>
    <row r="1717" spans="1:39" x14ac:dyDescent="0.35">
      <c r="A1717" s="56" t="s">
        <v>1785</v>
      </c>
      <c r="B1717" s="31"/>
      <c r="C1717" s="54"/>
      <c r="D1717" s="31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E1717" s="57" t="str">
        <f t="shared" si="141"/>
        <v/>
      </c>
      <c r="AF1717" s="18" t="str">
        <f t="shared" si="142"/>
        <v/>
      </c>
      <c r="AG1717" s="18" t="str">
        <f t="shared" si="143"/>
        <v/>
      </c>
      <c r="AH1717" s="18" t="str">
        <f t="shared" si="144"/>
        <v/>
      </c>
      <c r="AI1717" s="18" t="str">
        <f t="shared" si="145"/>
        <v/>
      </c>
      <c r="AJ1717" s="18" t="str">
        <f t="shared" si="146"/>
        <v/>
      </c>
      <c r="AK1717" s="18" t="str">
        <f t="shared" si="147"/>
        <v/>
      </c>
      <c r="AL1717" s="18" t="str">
        <f t="shared" si="148"/>
        <v/>
      </c>
      <c r="AM1717" s="18" t="str">
        <f t="shared" si="149"/>
        <v/>
      </c>
    </row>
    <row r="1718" spans="1:39" x14ac:dyDescent="0.35">
      <c r="A1718" s="56" t="s">
        <v>1786</v>
      </c>
      <c r="B1718" s="31"/>
      <c r="C1718" s="54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E1718" s="57" t="str">
        <f t="shared" si="141"/>
        <v/>
      </c>
      <c r="AF1718" s="18" t="str">
        <f t="shared" si="142"/>
        <v/>
      </c>
      <c r="AG1718" s="18" t="str">
        <f t="shared" si="143"/>
        <v/>
      </c>
      <c r="AH1718" s="18" t="str">
        <f t="shared" si="144"/>
        <v/>
      </c>
      <c r="AI1718" s="18" t="str">
        <f t="shared" si="145"/>
        <v/>
      </c>
      <c r="AJ1718" s="18" t="str">
        <f t="shared" si="146"/>
        <v/>
      </c>
      <c r="AK1718" s="18" t="str">
        <f t="shared" si="147"/>
        <v/>
      </c>
      <c r="AL1718" s="18" t="str">
        <f t="shared" si="148"/>
        <v/>
      </c>
      <c r="AM1718" s="18" t="str">
        <f t="shared" si="149"/>
        <v/>
      </c>
    </row>
    <row r="1719" spans="1:39" x14ac:dyDescent="0.35">
      <c r="A1719" s="56" t="s">
        <v>1787</v>
      </c>
      <c r="B1719" s="31"/>
      <c r="C1719" s="54"/>
      <c r="D1719" s="31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E1719" s="57" t="str">
        <f t="shared" si="141"/>
        <v/>
      </c>
      <c r="AF1719" s="18" t="str">
        <f t="shared" si="142"/>
        <v/>
      </c>
      <c r="AG1719" s="18" t="str">
        <f t="shared" si="143"/>
        <v/>
      </c>
      <c r="AH1719" s="18" t="str">
        <f t="shared" si="144"/>
        <v/>
      </c>
      <c r="AI1719" s="18" t="str">
        <f t="shared" si="145"/>
        <v/>
      </c>
      <c r="AJ1719" s="18" t="str">
        <f t="shared" si="146"/>
        <v/>
      </c>
      <c r="AK1719" s="18" t="str">
        <f t="shared" si="147"/>
        <v/>
      </c>
      <c r="AL1719" s="18" t="str">
        <f t="shared" si="148"/>
        <v/>
      </c>
      <c r="AM1719" s="18" t="str">
        <f t="shared" si="149"/>
        <v/>
      </c>
    </row>
    <row r="1720" spans="1:39" x14ac:dyDescent="0.35">
      <c r="A1720" s="56" t="s">
        <v>1788</v>
      </c>
      <c r="B1720" s="31"/>
      <c r="C1720" s="54"/>
      <c r="D1720" s="31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E1720" s="57" t="str">
        <f t="shared" si="141"/>
        <v/>
      </c>
      <c r="AF1720" s="18" t="str">
        <f t="shared" si="142"/>
        <v/>
      </c>
      <c r="AG1720" s="18" t="str">
        <f t="shared" si="143"/>
        <v/>
      </c>
      <c r="AH1720" s="18" t="str">
        <f t="shared" si="144"/>
        <v/>
      </c>
      <c r="AI1720" s="18" t="str">
        <f t="shared" si="145"/>
        <v/>
      </c>
      <c r="AJ1720" s="18" t="str">
        <f t="shared" si="146"/>
        <v/>
      </c>
      <c r="AK1720" s="18" t="str">
        <f t="shared" si="147"/>
        <v/>
      </c>
      <c r="AL1720" s="18" t="str">
        <f t="shared" si="148"/>
        <v/>
      </c>
      <c r="AM1720" s="18" t="str">
        <f t="shared" si="149"/>
        <v/>
      </c>
    </row>
    <row r="1721" spans="1:39" x14ac:dyDescent="0.35">
      <c r="A1721" s="56" t="s">
        <v>1789</v>
      </c>
      <c r="B1721" s="31"/>
      <c r="C1721" s="54"/>
      <c r="D1721" s="31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E1721" s="57" t="str">
        <f t="shared" si="141"/>
        <v/>
      </c>
      <c r="AF1721" s="18" t="str">
        <f t="shared" si="142"/>
        <v/>
      </c>
      <c r="AG1721" s="18" t="str">
        <f t="shared" si="143"/>
        <v/>
      </c>
      <c r="AH1721" s="18" t="str">
        <f t="shared" si="144"/>
        <v/>
      </c>
      <c r="AI1721" s="18" t="str">
        <f t="shared" si="145"/>
        <v/>
      </c>
      <c r="AJ1721" s="18" t="str">
        <f t="shared" si="146"/>
        <v/>
      </c>
      <c r="AK1721" s="18" t="str">
        <f t="shared" si="147"/>
        <v/>
      </c>
      <c r="AL1721" s="18" t="str">
        <f t="shared" si="148"/>
        <v/>
      </c>
      <c r="AM1721" s="18" t="str">
        <f t="shared" si="149"/>
        <v/>
      </c>
    </row>
    <row r="1722" spans="1:39" x14ac:dyDescent="0.35">
      <c r="A1722" s="56" t="s">
        <v>1790</v>
      </c>
      <c r="B1722" s="31"/>
      <c r="C1722" s="54"/>
      <c r="D1722" s="31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E1722" s="57" t="str">
        <f t="shared" si="141"/>
        <v/>
      </c>
      <c r="AF1722" s="18" t="str">
        <f t="shared" si="142"/>
        <v/>
      </c>
      <c r="AG1722" s="18" t="str">
        <f t="shared" si="143"/>
        <v/>
      </c>
      <c r="AH1722" s="18" t="str">
        <f t="shared" si="144"/>
        <v/>
      </c>
      <c r="AI1722" s="18" t="str">
        <f t="shared" si="145"/>
        <v/>
      </c>
      <c r="AJ1722" s="18" t="str">
        <f t="shared" si="146"/>
        <v/>
      </c>
      <c r="AK1722" s="18" t="str">
        <f t="shared" si="147"/>
        <v/>
      </c>
      <c r="AL1722" s="18" t="str">
        <f t="shared" si="148"/>
        <v/>
      </c>
      <c r="AM1722" s="18" t="str">
        <f t="shared" si="149"/>
        <v/>
      </c>
    </row>
    <row r="1723" spans="1:39" x14ac:dyDescent="0.35">
      <c r="A1723" s="56" t="s">
        <v>1791</v>
      </c>
      <c r="B1723" s="31"/>
      <c r="C1723" s="54"/>
      <c r="D1723" s="31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E1723" s="57" t="str">
        <f t="shared" si="141"/>
        <v/>
      </c>
      <c r="AF1723" s="18" t="str">
        <f t="shared" si="142"/>
        <v/>
      </c>
      <c r="AG1723" s="18" t="str">
        <f t="shared" si="143"/>
        <v/>
      </c>
      <c r="AH1723" s="18" t="str">
        <f t="shared" si="144"/>
        <v/>
      </c>
      <c r="AI1723" s="18" t="str">
        <f t="shared" si="145"/>
        <v/>
      </c>
      <c r="AJ1723" s="18" t="str">
        <f t="shared" si="146"/>
        <v/>
      </c>
      <c r="AK1723" s="18" t="str">
        <f t="shared" si="147"/>
        <v/>
      </c>
      <c r="AL1723" s="18" t="str">
        <f t="shared" si="148"/>
        <v/>
      </c>
      <c r="AM1723" s="18" t="str">
        <f t="shared" si="149"/>
        <v/>
      </c>
    </row>
    <row r="1724" spans="1:39" x14ac:dyDescent="0.35">
      <c r="A1724" s="56" t="s">
        <v>1792</v>
      </c>
      <c r="B1724" s="31"/>
      <c r="C1724" s="54"/>
      <c r="D1724" s="31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E1724" s="57" t="str">
        <f t="shared" si="141"/>
        <v/>
      </c>
      <c r="AF1724" s="18" t="str">
        <f t="shared" si="142"/>
        <v/>
      </c>
      <c r="AG1724" s="18" t="str">
        <f t="shared" si="143"/>
        <v/>
      </c>
      <c r="AH1724" s="18" t="str">
        <f t="shared" si="144"/>
        <v/>
      </c>
      <c r="AI1724" s="18" t="str">
        <f t="shared" si="145"/>
        <v/>
      </c>
      <c r="AJ1724" s="18" t="str">
        <f t="shared" si="146"/>
        <v/>
      </c>
      <c r="AK1724" s="18" t="str">
        <f t="shared" si="147"/>
        <v/>
      </c>
      <c r="AL1724" s="18" t="str">
        <f t="shared" si="148"/>
        <v/>
      </c>
      <c r="AM1724" s="18" t="str">
        <f t="shared" si="149"/>
        <v/>
      </c>
    </row>
    <row r="1725" spans="1:39" x14ac:dyDescent="0.35">
      <c r="A1725" s="56" t="s">
        <v>1793</v>
      </c>
      <c r="B1725" s="31"/>
      <c r="C1725" s="54"/>
      <c r="D1725" s="31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E1725" s="57" t="str">
        <f t="shared" si="141"/>
        <v/>
      </c>
      <c r="AF1725" s="18" t="str">
        <f t="shared" si="142"/>
        <v/>
      </c>
      <c r="AG1725" s="18" t="str">
        <f t="shared" si="143"/>
        <v/>
      </c>
      <c r="AH1725" s="18" t="str">
        <f t="shared" si="144"/>
        <v/>
      </c>
      <c r="AI1725" s="18" t="str">
        <f t="shared" si="145"/>
        <v/>
      </c>
      <c r="AJ1725" s="18" t="str">
        <f t="shared" si="146"/>
        <v/>
      </c>
      <c r="AK1725" s="18" t="str">
        <f t="shared" si="147"/>
        <v/>
      </c>
      <c r="AL1725" s="18" t="str">
        <f t="shared" si="148"/>
        <v/>
      </c>
      <c r="AM1725" s="18" t="str">
        <f t="shared" si="149"/>
        <v/>
      </c>
    </row>
    <row r="1726" spans="1:39" x14ac:dyDescent="0.35">
      <c r="A1726" s="56" t="s">
        <v>1794</v>
      </c>
      <c r="B1726" s="31"/>
      <c r="C1726" s="54"/>
      <c r="D1726" s="31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E1726" s="57" t="str">
        <f t="shared" si="141"/>
        <v/>
      </c>
      <c r="AF1726" s="18" t="str">
        <f t="shared" si="142"/>
        <v/>
      </c>
      <c r="AG1726" s="18" t="str">
        <f t="shared" si="143"/>
        <v/>
      </c>
      <c r="AH1726" s="18" t="str">
        <f t="shared" si="144"/>
        <v/>
      </c>
      <c r="AI1726" s="18" t="str">
        <f t="shared" si="145"/>
        <v/>
      </c>
      <c r="AJ1726" s="18" t="str">
        <f t="shared" si="146"/>
        <v/>
      </c>
      <c r="AK1726" s="18" t="str">
        <f t="shared" si="147"/>
        <v/>
      </c>
      <c r="AL1726" s="18" t="str">
        <f t="shared" si="148"/>
        <v/>
      </c>
      <c r="AM1726" s="18" t="str">
        <f t="shared" si="149"/>
        <v/>
      </c>
    </row>
    <row r="1727" spans="1:39" x14ac:dyDescent="0.35">
      <c r="A1727" s="56" t="s">
        <v>1795</v>
      </c>
      <c r="B1727" s="31"/>
      <c r="C1727" s="54"/>
      <c r="D1727" s="31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E1727" s="57" t="str">
        <f t="shared" si="141"/>
        <v/>
      </c>
      <c r="AF1727" s="18" t="str">
        <f t="shared" si="142"/>
        <v/>
      </c>
      <c r="AG1727" s="18" t="str">
        <f t="shared" si="143"/>
        <v/>
      </c>
      <c r="AH1727" s="18" t="str">
        <f t="shared" si="144"/>
        <v/>
      </c>
      <c r="AI1727" s="18" t="str">
        <f t="shared" si="145"/>
        <v/>
      </c>
      <c r="AJ1727" s="18" t="str">
        <f t="shared" si="146"/>
        <v/>
      </c>
      <c r="AK1727" s="18" t="str">
        <f t="shared" si="147"/>
        <v/>
      </c>
      <c r="AL1727" s="18" t="str">
        <f t="shared" si="148"/>
        <v/>
      </c>
      <c r="AM1727" s="18" t="str">
        <f t="shared" si="149"/>
        <v/>
      </c>
    </row>
    <row r="1728" spans="1:39" x14ac:dyDescent="0.35">
      <c r="A1728" s="56" t="s">
        <v>1796</v>
      </c>
      <c r="B1728" s="31"/>
      <c r="C1728" s="54"/>
      <c r="D1728" s="31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E1728" s="57" t="str">
        <f t="shared" si="141"/>
        <v/>
      </c>
      <c r="AF1728" s="18" t="str">
        <f t="shared" si="142"/>
        <v/>
      </c>
      <c r="AG1728" s="18" t="str">
        <f t="shared" si="143"/>
        <v/>
      </c>
      <c r="AH1728" s="18" t="str">
        <f t="shared" si="144"/>
        <v/>
      </c>
      <c r="AI1728" s="18" t="str">
        <f t="shared" si="145"/>
        <v/>
      </c>
      <c r="AJ1728" s="18" t="str">
        <f t="shared" si="146"/>
        <v/>
      </c>
      <c r="AK1728" s="18" t="str">
        <f t="shared" si="147"/>
        <v/>
      </c>
      <c r="AL1728" s="18" t="str">
        <f t="shared" si="148"/>
        <v/>
      </c>
      <c r="AM1728" s="18" t="str">
        <f t="shared" si="149"/>
        <v/>
      </c>
    </row>
    <row r="1729" spans="1:39" x14ac:dyDescent="0.35">
      <c r="A1729" s="56" t="s">
        <v>1797</v>
      </c>
      <c r="B1729" s="31"/>
      <c r="C1729" s="54"/>
      <c r="D1729" s="31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E1729" s="57" t="str">
        <f t="shared" si="141"/>
        <v/>
      </c>
      <c r="AF1729" s="18" t="str">
        <f t="shared" si="142"/>
        <v/>
      </c>
      <c r="AG1729" s="18" t="str">
        <f t="shared" si="143"/>
        <v/>
      </c>
      <c r="AH1729" s="18" t="str">
        <f t="shared" si="144"/>
        <v/>
      </c>
      <c r="AI1729" s="18" t="str">
        <f t="shared" si="145"/>
        <v/>
      </c>
      <c r="AJ1729" s="18" t="str">
        <f t="shared" si="146"/>
        <v/>
      </c>
      <c r="AK1729" s="18" t="str">
        <f t="shared" si="147"/>
        <v/>
      </c>
      <c r="AL1729" s="18" t="str">
        <f t="shared" si="148"/>
        <v/>
      </c>
      <c r="AM1729" s="18" t="str">
        <f t="shared" si="149"/>
        <v/>
      </c>
    </row>
    <row r="1730" spans="1:39" x14ac:dyDescent="0.35">
      <c r="A1730" s="56" t="s">
        <v>1798</v>
      </c>
      <c r="B1730" s="31"/>
      <c r="C1730" s="54"/>
      <c r="D1730" s="31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E1730" s="57" t="str">
        <f t="shared" si="141"/>
        <v/>
      </c>
      <c r="AF1730" s="18" t="str">
        <f t="shared" si="142"/>
        <v/>
      </c>
      <c r="AG1730" s="18" t="str">
        <f t="shared" si="143"/>
        <v/>
      </c>
      <c r="AH1730" s="18" t="str">
        <f t="shared" si="144"/>
        <v/>
      </c>
      <c r="AI1730" s="18" t="str">
        <f t="shared" si="145"/>
        <v/>
      </c>
      <c r="AJ1730" s="18" t="str">
        <f t="shared" si="146"/>
        <v/>
      </c>
      <c r="AK1730" s="18" t="str">
        <f t="shared" si="147"/>
        <v/>
      </c>
      <c r="AL1730" s="18" t="str">
        <f t="shared" si="148"/>
        <v/>
      </c>
      <c r="AM1730" s="18" t="str">
        <f t="shared" si="149"/>
        <v/>
      </c>
    </row>
    <row r="1731" spans="1:39" x14ac:dyDescent="0.35">
      <c r="A1731" s="56" t="s">
        <v>1799</v>
      </c>
      <c r="B1731" s="31"/>
      <c r="C1731" s="54"/>
      <c r="D1731" s="31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E1731" s="57" t="str">
        <f t="shared" ref="AE1731:AE1794" si="150">IFERROR(VLOOKUP(AD1731,$A$2:$AA$2000,2,0),"")</f>
        <v/>
      </c>
      <c r="AF1731" s="18" t="str">
        <f t="shared" ref="AF1731:AF1794" si="151">IFERROR(VLOOKUP(AD1731,$A$2:$AA$2000,22,0),"")</f>
        <v/>
      </c>
      <c r="AG1731" s="18" t="str">
        <f t="shared" ref="AG1731:AG1794" si="152">IFERROR(VLOOKUP(AD1731,$A$2:$AA$2000,18,0),"")</f>
        <v/>
      </c>
      <c r="AH1731" s="18" t="str">
        <f t="shared" ref="AH1731:AH1794" si="153">IFERROR(VLOOKUP(AD1731,$A$2:$AA$2000,17,0),"")</f>
        <v/>
      </c>
      <c r="AI1731" s="18" t="str">
        <f t="shared" ref="AI1731:AI1794" si="154">IFERROR(VLOOKUP(AD1731,$A$2:$AA$2000,20,0),"")</f>
        <v/>
      </c>
      <c r="AJ1731" s="18" t="str">
        <f t="shared" ref="AJ1731:AJ1794" si="155">IFERROR(VLOOKUP(AD1731,$A$2:$AA$2000,9,0),"")</f>
        <v/>
      </c>
      <c r="AK1731" s="18" t="str">
        <f t="shared" ref="AK1731:AK1794" si="156">IFERROR(VLOOKUP(AD1731,$A$2:$AA$2000,5,0),"")</f>
        <v/>
      </c>
      <c r="AL1731" s="18" t="str">
        <f t="shared" ref="AL1731:AL1794" si="157">IFERROR(VLOOKUP(AD1731,$A$2:$AA$2000,4,0),"")</f>
        <v/>
      </c>
      <c r="AM1731" s="18" t="str">
        <f t="shared" ref="AM1731:AM1794" si="158">IFERROR(VLOOKUP(AD1731,$A$2:$AA$2000,7,0),"")</f>
        <v/>
      </c>
    </row>
    <row r="1732" spans="1:39" x14ac:dyDescent="0.35">
      <c r="A1732" s="56" t="s">
        <v>1800</v>
      </c>
      <c r="B1732" s="31"/>
      <c r="C1732" s="54"/>
      <c r="D1732" s="31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E1732" s="57" t="str">
        <f t="shared" si="150"/>
        <v/>
      </c>
      <c r="AF1732" s="18" t="str">
        <f t="shared" si="151"/>
        <v/>
      </c>
      <c r="AG1732" s="18" t="str">
        <f t="shared" si="152"/>
        <v/>
      </c>
      <c r="AH1732" s="18" t="str">
        <f t="shared" si="153"/>
        <v/>
      </c>
      <c r="AI1732" s="18" t="str">
        <f t="shared" si="154"/>
        <v/>
      </c>
      <c r="AJ1732" s="18" t="str">
        <f t="shared" si="155"/>
        <v/>
      </c>
      <c r="AK1732" s="18" t="str">
        <f t="shared" si="156"/>
        <v/>
      </c>
      <c r="AL1732" s="18" t="str">
        <f t="shared" si="157"/>
        <v/>
      </c>
      <c r="AM1732" s="18" t="str">
        <f t="shared" si="158"/>
        <v/>
      </c>
    </row>
    <row r="1733" spans="1:39" x14ac:dyDescent="0.35">
      <c r="A1733" s="56" t="s">
        <v>1801</v>
      </c>
      <c r="B1733" s="31"/>
      <c r="C1733" s="54"/>
      <c r="D1733" s="31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E1733" s="57" t="str">
        <f t="shared" si="150"/>
        <v/>
      </c>
      <c r="AF1733" s="18" t="str">
        <f t="shared" si="151"/>
        <v/>
      </c>
      <c r="AG1733" s="18" t="str">
        <f t="shared" si="152"/>
        <v/>
      </c>
      <c r="AH1733" s="18" t="str">
        <f t="shared" si="153"/>
        <v/>
      </c>
      <c r="AI1733" s="18" t="str">
        <f t="shared" si="154"/>
        <v/>
      </c>
      <c r="AJ1733" s="18" t="str">
        <f t="shared" si="155"/>
        <v/>
      </c>
      <c r="AK1733" s="18" t="str">
        <f t="shared" si="156"/>
        <v/>
      </c>
      <c r="AL1733" s="18" t="str">
        <f t="shared" si="157"/>
        <v/>
      </c>
      <c r="AM1733" s="18" t="str">
        <f t="shared" si="158"/>
        <v/>
      </c>
    </row>
    <row r="1734" spans="1:39" x14ac:dyDescent="0.35">
      <c r="A1734" s="56" t="s">
        <v>1802</v>
      </c>
      <c r="B1734" s="31"/>
      <c r="C1734" s="54"/>
      <c r="D1734" s="31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E1734" s="57" t="str">
        <f t="shared" si="150"/>
        <v/>
      </c>
      <c r="AF1734" s="18" t="str">
        <f t="shared" si="151"/>
        <v/>
      </c>
      <c r="AG1734" s="18" t="str">
        <f t="shared" si="152"/>
        <v/>
      </c>
      <c r="AH1734" s="18" t="str">
        <f t="shared" si="153"/>
        <v/>
      </c>
      <c r="AI1734" s="18" t="str">
        <f t="shared" si="154"/>
        <v/>
      </c>
      <c r="AJ1734" s="18" t="str">
        <f t="shared" si="155"/>
        <v/>
      </c>
      <c r="AK1734" s="18" t="str">
        <f t="shared" si="156"/>
        <v/>
      </c>
      <c r="AL1734" s="18" t="str">
        <f t="shared" si="157"/>
        <v/>
      </c>
      <c r="AM1734" s="18" t="str">
        <f t="shared" si="158"/>
        <v/>
      </c>
    </row>
    <row r="1735" spans="1:39" x14ac:dyDescent="0.35">
      <c r="A1735" s="56" t="s">
        <v>1803</v>
      </c>
      <c r="B1735" s="31"/>
      <c r="C1735" s="54"/>
      <c r="D1735" s="31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E1735" s="57" t="str">
        <f t="shared" si="150"/>
        <v/>
      </c>
      <c r="AF1735" s="18" t="str">
        <f t="shared" si="151"/>
        <v/>
      </c>
      <c r="AG1735" s="18" t="str">
        <f t="shared" si="152"/>
        <v/>
      </c>
      <c r="AH1735" s="18" t="str">
        <f t="shared" si="153"/>
        <v/>
      </c>
      <c r="AI1735" s="18" t="str">
        <f t="shared" si="154"/>
        <v/>
      </c>
      <c r="AJ1735" s="18" t="str">
        <f t="shared" si="155"/>
        <v/>
      </c>
      <c r="AK1735" s="18" t="str">
        <f t="shared" si="156"/>
        <v/>
      </c>
      <c r="AL1735" s="18" t="str">
        <f t="shared" si="157"/>
        <v/>
      </c>
      <c r="AM1735" s="18" t="str">
        <f t="shared" si="158"/>
        <v/>
      </c>
    </row>
    <row r="1736" spans="1:39" x14ac:dyDescent="0.35">
      <c r="A1736" s="56" t="s">
        <v>1804</v>
      </c>
      <c r="B1736" s="31"/>
      <c r="C1736" s="54"/>
      <c r="D1736" s="31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E1736" s="57" t="str">
        <f t="shared" si="150"/>
        <v/>
      </c>
      <c r="AF1736" s="18" t="str">
        <f t="shared" si="151"/>
        <v/>
      </c>
      <c r="AG1736" s="18" t="str">
        <f t="shared" si="152"/>
        <v/>
      </c>
      <c r="AH1736" s="18" t="str">
        <f t="shared" si="153"/>
        <v/>
      </c>
      <c r="AI1736" s="18" t="str">
        <f t="shared" si="154"/>
        <v/>
      </c>
      <c r="AJ1736" s="18" t="str">
        <f t="shared" si="155"/>
        <v/>
      </c>
      <c r="AK1736" s="18" t="str">
        <f t="shared" si="156"/>
        <v/>
      </c>
      <c r="AL1736" s="18" t="str">
        <f t="shared" si="157"/>
        <v/>
      </c>
      <c r="AM1736" s="18" t="str">
        <f t="shared" si="158"/>
        <v/>
      </c>
    </row>
    <row r="1737" spans="1:39" x14ac:dyDescent="0.35">
      <c r="A1737" s="56" t="s">
        <v>1805</v>
      </c>
      <c r="B1737" s="31"/>
      <c r="C1737" s="54"/>
      <c r="D1737" s="31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E1737" s="57" t="str">
        <f t="shared" si="150"/>
        <v/>
      </c>
      <c r="AF1737" s="18" t="str">
        <f t="shared" si="151"/>
        <v/>
      </c>
      <c r="AG1737" s="18" t="str">
        <f t="shared" si="152"/>
        <v/>
      </c>
      <c r="AH1737" s="18" t="str">
        <f t="shared" si="153"/>
        <v/>
      </c>
      <c r="AI1737" s="18" t="str">
        <f t="shared" si="154"/>
        <v/>
      </c>
      <c r="AJ1737" s="18" t="str">
        <f t="shared" si="155"/>
        <v/>
      </c>
      <c r="AK1737" s="18" t="str">
        <f t="shared" si="156"/>
        <v/>
      </c>
      <c r="AL1737" s="18" t="str">
        <f t="shared" si="157"/>
        <v/>
      </c>
      <c r="AM1737" s="18" t="str">
        <f t="shared" si="158"/>
        <v/>
      </c>
    </row>
    <row r="1738" spans="1:39" x14ac:dyDescent="0.35">
      <c r="A1738" s="56" t="s">
        <v>1806</v>
      </c>
      <c r="B1738" s="31"/>
      <c r="C1738" s="54"/>
      <c r="D1738" s="31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E1738" s="57" t="str">
        <f t="shared" si="150"/>
        <v/>
      </c>
      <c r="AF1738" s="18" t="str">
        <f t="shared" si="151"/>
        <v/>
      </c>
      <c r="AG1738" s="18" t="str">
        <f t="shared" si="152"/>
        <v/>
      </c>
      <c r="AH1738" s="18" t="str">
        <f t="shared" si="153"/>
        <v/>
      </c>
      <c r="AI1738" s="18" t="str">
        <f t="shared" si="154"/>
        <v/>
      </c>
      <c r="AJ1738" s="18" t="str">
        <f t="shared" si="155"/>
        <v/>
      </c>
      <c r="AK1738" s="18" t="str">
        <f t="shared" si="156"/>
        <v/>
      </c>
      <c r="AL1738" s="18" t="str">
        <f t="shared" si="157"/>
        <v/>
      </c>
      <c r="AM1738" s="18" t="str">
        <f t="shared" si="158"/>
        <v/>
      </c>
    </row>
    <row r="1739" spans="1:39" x14ac:dyDescent="0.35">
      <c r="A1739" s="56" t="s">
        <v>1807</v>
      </c>
      <c r="B1739" s="31"/>
      <c r="C1739" s="54"/>
      <c r="D1739" s="31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E1739" s="57" t="str">
        <f t="shared" si="150"/>
        <v/>
      </c>
      <c r="AF1739" s="18" t="str">
        <f t="shared" si="151"/>
        <v/>
      </c>
      <c r="AG1739" s="18" t="str">
        <f t="shared" si="152"/>
        <v/>
      </c>
      <c r="AH1739" s="18" t="str">
        <f t="shared" si="153"/>
        <v/>
      </c>
      <c r="AI1739" s="18" t="str">
        <f t="shared" si="154"/>
        <v/>
      </c>
      <c r="AJ1739" s="18" t="str">
        <f t="shared" si="155"/>
        <v/>
      </c>
      <c r="AK1739" s="18" t="str">
        <f t="shared" si="156"/>
        <v/>
      </c>
      <c r="AL1739" s="18" t="str">
        <f t="shared" si="157"/>
        <v/>
      </c>
      <c r="AM1739" s="18" t="str">
        <f t="shared" si="158"/>
        <v/>
      </c>
    </row>
    <row r="1740" spans="1:39" x14ac:dyDescent="0.35">
      <c r="A1740" s="56" t="s">
        <v>1808</v>
      </c>
      <c r="B1740" s="31"/>
      <c r="C1740" s="54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E1740" s="57" t="str">
        <f t="shared" si="150"/>
        <v/>
      </c>
      <c r="AF1740" s="18" t="str">
        <f t="shared" si="151"/>
        <v/>
      </c>
      <c r="AG1740" s="18" t="str">
        <f t="shared" si="152"/>
        <v/>
      </c>
      <c r="AH1740" s="18" t="str">
        <f t="shared" si="153"/>
        <v/>
      </c>
      <c r="AI1740" s="18" t="str">
        <f t="shared" si="154"/>
        <v/>
      </c>
      <c r="AJ1740" s="18" t="str">
        <f t="shared" si="155"/>
        <v/>
      </c>
      <c r="AK1740" s="18" t="str">
        <f t="shared" si="156"/>
        <v/>
      </c>
      <c r="AL1740" s="18" t="str">
        <f t="shared" si="157"/>
        <v/>
      </c>
      <c r="AM1740" s="18" t="str">
        <f t="shared" si="158"/>
        <v/>
      </c>
    </row>
    <row r="1741" spans="1:39" x14ac:dyDescent="0.35">
      <c r="A1741" s="56" t="s">
        <v>1809</v>
      </c>
      <c r="B1741" s="31"/>
      <c r="C1741" s="54"/>
      <c r="D1741" s="31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E1741" s="57" t="str">
        <f t="shared" si="150"/>
        <v/>
      </c>
      <c r="AF1741" s="18" t="str">
        <f t="shared" si="151"/>
        <v/>
      </c>
      <c r="AG1741" s="18" t="str">
        <f t="shared" si="152"/>
        <v/>
      </c>
      <c r="AH1741" s="18" t="str">
        <f t="shared" si="153"/>
        <v/>
      </c>
      <c r="AI1741" s="18" t="str">
        <f t="shared" si="154"/>
        <v/>
      </c>
      <c r="AJ1741" s="18" t="str">
        <f t="shared" si="155"/>
        <v/>
      </c>
      <c r="AK1741" s="18" t="str">
        <f t="shared" si="156"/>
        <v/>
      </c>
      <c r="AL1741" s="18" t="str">
        <f t="shared" si="157"/>
        <v/>
      </c>
      <c r="AM1741" s="18" t="str">
        <f t="shared" si="158"/>
        <v/>
      </c>
    </row>
    <row r="1742" spans="1:39" x14ac:dyDescent="0.35">
      <c r="A1742" s="56" t="s">
        <v>1810</v>
      </c>
      <c r="B1742" s="31"/>
      <c r="C1742" s="54"/>
      <c r="D1742" s="31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E1742" s="57" t="str">
        <f t="shared" si="150"/>
        <v/>
      </c>
      <c r="AF1742" s="18" t="str">
        <f t="shared" si="151"/>
        <v/>
      </c>
      <c r="AG1742" s="18" t="str">
        <f t="shared" si="152"/>
        <v/>
      </c>
      <c r="AH1742" s="18" t="str">
        <f t="shared" si="153"/>
        <v/>
      </c>
      <c r="AI1742" s="18" t="str">
        <f t="shared" si="154"/>
        <v/>
      </c>
      <c r="AJ1742" s="18" t="str">
        <f t="shared" si="155"/>
        <v/>
      </c>
      <c r="AK1742" s="18" t="str">
        <f t="shared" si="156"/>
        <v/>
      </c>
      <c r="AL1742" s="18" t="str">
        <f t="shared" si="157"/>
        <v/>
      </c>
      <c r="AM1742" s="18" t="str">
        <f t="shared" si="158"/>
        <v/>
      </c>
    </row>
    <row r="1743" spans="1:39" x14ac:dyDescent="0.35">
      <c r="A1743" s="56" t="s">
        <v>1811</v>
      </c>
      <c r="B1743" s="31"/>
      <c r="C1743" s="54"/>
      <c r="D1743" s="31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E1743" s="57" t="str">
        <f t="shared" si="150"/>
        <v/>
      </c>
      <c r="AF1743" s="18" t="str">
        <f t="shared" si="151"/>
        <v/>
      </c>
      <c r="AG1743" s="18" t="str">
        <f t="shared" si="152"/>
        <v/>
      </c>
      <c r="AH1743" s="18" t="str">
        <f t="shared" si="153"/>
        <v/>
      </c>
      <c r="AI1743" s="18" t="str">
        <f t="shared" si="154"/>
        <v/>
      </c>
      <c r="AJ1743" s="18" t="str">
        <f t="shared" si="155"/>
        <v/>
      </c>
      <c r="AK1743" s="18" t="str">
        <f t="shared" si="156"/>
        <v/>
      </c>
      <c r="AL1743" s="18" t="str">
        <f t="shared" si="157"/>
        <v/>
      </c>
      <c r="AM1743" s="18" t="str">
        <f t="shared" si="158"/>
        <v/>
      </c>
    </row>
    <row r="1744" spans="1:39" x14ac:dyDescent="0.35">
      <c r="A1744" s="56" t="s">
        <v>1812</v>
      </c>
      <c r="B1744" s="31"/>
      <c r="C1744" s="54"/>
      <c r="D1744" s="31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E1744" s="57" t="str">
        <f t="shared" si="150"/>
        <v/>
      </c>
      <c r="AF1744" s="18" t="str">
        <f t="shared" si="151"/>
        <v/>
      </c>
      <c r="AG1744" s="18" t="str">
        <f t="shared" si="152"/>
        <v/>
      </c>
      <c r="AH1744" s="18" t="str">
        <f t="shared" si="153"/>
        <v/>
      </c>
      <c r="AI1744" s="18" t="str">
        <f t="shared" si="154"/>
        <v/>
      </c>
      <c r="AJ1744" s="18" t="str">
        <f t="shared" si="155"/>
        <v/>
      </c>
      <c r="AK1744" s="18" t="str">
        <f t="shared" si="156"/>
        <v/>
      </c>
      <c r="AL1744" s="18" t="str">
        <f t="shared" si="157"/>
        <v/>
      </c>
      <c r="AM1744" s="18" t="str">
        <f t="shared" si="158"/>
        <v/>
      </c>
    </row>
    <row r="1745" spans="1:39" x14ac:dyDescent="0.35">
      <c r="A1745" s="56" t="s">
        <v>1813</v>
      </c>
      <c r="B1745" s="31"/>
      <c r="C1745" s="54"/>
      <c r="D1745" s="31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E1745" s="57" t="str">
        <f t="shared" si="150"/>
        <v/>
      </c>
      <c r="AF1745" s="18" t="str">
        <f t="shared" si="151"/>
        <v/>
      </c>
      <c r="AG1745" s="18" t="str">
        <f t="shared" si="152"/>
        <v/>
      </c>
      <c r="AH1745" s="18" t="str">
        <f t="shared" si="153"/>
        <v/>
      </c>
      <c r="AI1745" s="18" t="str">
        <f t="shared" si="154"/>
        <v/>
      </c>
      <c r="AJ1745" s="18" t="str">
        <f t="shared" si="155"/>
        <v/>
      </c>
      <c r="AK1745" s="18" t="str">
        <f t="shared" si="156"/>
        <v/>
      </c>
      <c r="AL1745" s="18" t="str">
        <f t="shared" si="157"/>
        <v/>
      </c>
      <c r="AM1745" s="18" t="str">
        <f t="shared" si="158"/>
        <v/>
      </c>
    </row>
    <row r="1746" spans="1:39" x14ac:dyDescent="0.35">
      <c r="A1746" s="56" t="s">
        <v>1814</v>
      </c>
      <c r="B1746" s="31"/>
      <c r="C1746" s="54"/>
      <c r="D1746" s="31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E1746" s="57" t="str">
        <f t="shared" si="150"/>
        <v/>
      </c>
      <c r="AF1746" s="18" t="str">
        <f t="shared" si="151"/>
        <v/>
      </c>
      <c r="AG1746" s="18" t="str">
        <f t="shared" si="152"/>
        <v/>
      </c>
      <c r="AH1746" s="18" t="str">
        <f t="shared" si="153"/>
        <v/>
      </c>
      <c r="AI1746" s="18" t="str">
        <f t="shared" si="154"/>
        <v/>
      </c>
      <c r="AJ1746" s="18" t="str">
        <f t="shared" si="155"/>
        <v/>
      </c>
      <c r="AK1746" s="18" t="str">
        <f t="shared" si="156"/>
        <v/>
      </c>
      <c r="AL1746" s="18" t="str">
        <f t="shared" si="157"/>
        <v/>
      </c>
      <c r="AM1746" s="18" t="str">
        <f t="shared" si="158"/>
        <v/>
      </c>
    </row>
    <row r="1747" spans="1:39" x14ac:dyDescent="0.35">
      <c r="A1747" s="56" t="s">
        <v>1815</v>
      </c>
      <c r="B1747" s="31"/>
      <c r="C1747" s="54"/>
      <c r="D1747" s="31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E1747" s="57" t="str">
        <f t="shared" si="150"/>
        <v/>
      </c>
      <c r="AF1747" s="18" t="str">
        <f t="shared" si="151"/>
        <v/>
      </c>
      <c r="AG1747" s="18" t="str">
        <f t="shared" si="152"/>
        <v/>
      </c>
      <c r="AH1747" s="18" t="str">
        <f t="shared" si="153"/>
        <v/>
      </c>
      <c r="AI1747" s="18" t="str">
        <f t="shared" si="154"/>
        <v/>
      </c>
      <c r="AJ1747" s="18" t="str">
        <f t="shared" si="155"/>
        <v/>
      </c>
      <c r="AK1747" s="18" t="str">
        <f t="shared" si="156"/>
        <v/>
      </c>
      <c r="AL1747" s="18" t="str">
        <f t="shared" si="157"/>
        <v/>
      </c>
      <c r="AM1747" s="18" t="str">
        <f t="shared" si="158"/>
        <v/>
      </c>
    </row>
    <row r="1748" spans="1:39" x14ac:dyDescent="0.35">
      <c r="A1748" s="56" t="s">
        <v>1816</v>
      </c>
      <c r="B1748" s="31"/>
      <c r="C1748" s="54"/>
      <c r="D1748" s="31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E1748" s="57" t="str">
        <f t="shared" si="150"/>
        <v/>
      </c>
      <c r="AF1748" s="18" t="str">
        <f t="shared" si="151"/>
        <v/>
      </c>
      <c r="AG1748" s="18" t="str">
        <f t="shared" si="152"/>
        <v/>
      </c>
      <c r="AH1748" s="18" t="str">
        <f t="shared" si="153"/>
        <v/>
      </c>
      <c r="AI1748" s="18" t="str">
        <f t="shared" si="154"/>
        <v/>
      </c>
      <c r="AJ1748" s="18" t="str">
        <f t="shared" si="155"/>
        <v/>
      </c>
      <c r="AK1748" s="18" t="str">
        <f t="shared" si="156"/>
        <v/>
      </c>
      <c r="AL1748" s="18" t="str">
        <f t="shared" si="157"/>
        <v/>
      </c>
      <c r="AM1748" s="18" t="str">
        <f t="shared" si="158"/>
        <v/>
      </c>
    </row>
    <row r="1749" spans="1:39" x14ac:dyDescent="0.35">
      <c r="A1749" s="56" t="s">
        <v>1817</v>
      </c>
      <c r="B1749" s="31"/>
      <c r="C1749" s="54"/>
      <c r="D1749" s="31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E1749" s="57" t="str">
        <f t="shared" si="150"/>
        <v/>
      </c>
      <c r="AF1749" s="18" t="str">
        <f t="shared" si="151"/>
        <v/>
      </c>
      <c r="AG1749" s="18" t="str">
        <f t="shared" si="152"/>
        <v/>
      </c>
      <c r="AH1749" s="18" t="str">
        <f t="shared" si="153"/>
        <v/>
      </c>
      <c r="AI1749" s="18" t="str">
        <f t="shared" si="154"/>
        <v/>
      </c>
      <c r="AJ1749" s="18" t="str">
        <f t="shared" si="155"/>
        <v/>
      </c>
      <c r="AK1749" s="18" t="str">
        <f t="shared" si="156"/>
        <v/>
      </c>
      <c r="AL1749" s="18" t="str">
        <f t="shared" si="157"/>
        <v/>
      </c>
      <c r="AM1749" s="18" t="str">
        <f t="shared" si="158"/>
        <v/>
      </c>
    </row>
    <row r="1750" spans="1:39" x14ac:dyDescent="0.35">
      <c r="A1750" s="56" t="s">
        <v>1818</v>
      </c>
      <c r="B1750" s="31"/>
      <c r="C1750" s="54"/>
      <c r="D1750" s="31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E1750" s="57" t="str">
        <f t="shared" si="150"/>
        <v/>
      </c>
      <c r="AF1750" s="18" t="str">
        <f t="shared" si="151"/>
        <v/>
      </c>
      <c r="AG1750" s="18" t="str">
        <f t="shared" si="152"/>
        <v/>
      </c>
      <c r="AH1750" s="18" t="str">
        <f t="shared" si="153"/>
        <v/>
      </c>
      <c r="AI1750" s="18" t="str">
        <f t="shared" si="154"/>
        <v/>
      </c>
      <c r="AJ1750" s="18" t="str">
        <f t="shared" si="155"/>
        <v/>
      </c>
      <c r="AK1750" s="18" t="str">
        <f t="shared" si="156"/>
        <v/>
      </c>
      <c r="AL1750" s="18" t="str">
        <f t="shared" si="157"/>
        <v/>
      </c>
      <c r="AM1750" s="18" t="str">
        <f t="shared" si="158"/>
        <v/>
      </c>
    </row>
    <row r="1751" spans="1:39" x14ac:dyDescent="0.35">
      <c r="A1751" s="56" t="s">
        <v>1819</v>
      </c>
      <c r="B1751" s="31"/>
      <c r="C1751" s="54"/>
      <c r="D1751" s="31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E1751" s="57" t="str">
        <f t="shared" si="150"/>
        <v/>
      </c>
      <c r="AF1751" s="18" t="str">
        <f t="shared" si="151"/>
        <v/>
      </c>
      <c r="AG1751" s="18" t="str">
        <f t="shared" si="152"/>
        <v/>
      </c>
      <c r="AH1751" s="18" t="str">
        <f t="shared" si="153"/>
        <v/>
      </c>
      <c r="AI1751" s="18" t="str">
        <f t="shared" si="154"/>
        <v/>
      </c>
      <c r="AJ1751" s="18" t="str">
        <f t="shared" si="155"/>
        <v/>
      </c>
      <c r="AK1751" s="18" t="str">
        <f t="shared" si="156"/>
        <v/>
      </c>
      <c r="AL1751" s="18" t="str">
        <f t="shared" si="157"/>
        <v/>
      </c>
      <c r="AM1751" s="18" t="str">
        <f t="shared" si="158"/>
        <v/>
      </c>
    </row>
    <row r="1752" spans="1:39" x14ac:dyDescent="0.35">
      <c r="A1752" s="56" t="s">
        <v>1820</v>
      </c>
      <c r="B1752" s="31"/>
      <c r="C1752" s="54"/>
      <c r="D1752" s="31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E1752" s="57" t="str">
        <f t="shared" si="150"/>
        <v/>
      </c>
      <c r="AF1752" s="18" t="str">
        <f t="shared" si="151"/>
        <v/>
      </c>
      <c r="AG1752" s="18" t="str">
        <f t="shared" si="152"/>
        <v/>
      </c>
      <c r="AH1752" s="18" t="str">
        <f t="shared" si="153"/>
        <v/>
      </c>
      <c r="AI1752" s="18" t="str">
        <f t="shared" si="154"/>
        <v/>
      </c>
      <c r="AJ1752" s="18" t="str">
        <f t="shared" si="155"/>
        <v/>
      </c>
      <c r="AK1752" s="18" t="str">
        <f t="shared" si="156"/>
        <v/>
      </c>
      <c r="AL1752" s="18" t="str">
        <f t="shared" si="157"/>
        <v/>
      </c>
      <c r="AM1752" s="18" t="str">
        <f t="shared" si="158"/>
        <v/>
      </c>
    </row>
    <row r="1753" spans="1:39" x14ac:dyDescent="0.35">
      <c r="A1753" s="56" t="s">
        <v>1821</v>
      </c>
      <c r="B1753" s="31"/>
      <c r="C1753" s="54"/>
      <c r="D1753" s="31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E1753" s="57" t="str">
        <f t="shared" si="150"/>
        <v/>
      </c>
      <c r="AF1753" s="18" t="str">
        <f t="shared" si="151"/>
        <v/>
      </c>
      <c r="AG1753" s="18" t="str">
        <f t="shared" si="152"/>
        <v/>
      </c>
      <c r="AH1753" s="18" t="str">
        <f t="shared" si="153"/>
        <v/>
      </c>
      <c r="AI1753" s="18" t="str">
        <f t="shared" si="154"/>
        <v/>
      </c>
      <c r="AJ1753" s="18" t="str">
        <f t="shared" si="155"/>
        <v/>
      </c>
      <c r="AK1753" s="18" t="str">
        <f t="shared" si="156"/>
        <v/>
      </c>
      <c r="AL1753" s="18" t="str">
        <f t="shared" si="157"/>
        <v/>
      </c>
      <c r="AM1753" s="18" t="str">
        <f t="shared" si="158"/>
        <v/>
      </c>
    </row>
    <row r="1754" spans="1:39" x14ac:dyDescent="0.35">
      <c r="A1754" s="56" t="s">
        <v>1822</v>
      </c>
      <c r="B1754" s="31"/>
      <c r="C1754" s="54"/>
      <c r="D1754" s="31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E1754" s="57" t="str">
        <f t="shared" si="150"/>
        <v/>
      </c>
      <c r="AF1754" s="18" t="str">
        <f t="shared" si="151"/>
        <v/>
      </c>
      <c r="AG1754" s="18" t="str">
        <f t="shared" si="152"/>
        <v/>
      </c>
      <c r="AH1754" s="18" t="str">
        <f t="shared" si="153"/>
        <v/>
      </c>
      <c r="AI1754" s="18" t="str">
        <f t="shared" si="154"/>
        <v/>
      </c>
      <c r="AJ1754" s="18" t="str">
        <f t="shared" si="155"/>
        <v/>
      </c>
      <c r="AK1754" s="18" t="str">
        <f t="shared" si="156"/>
        <v/>
      </c>
      <c r="AL1754" s="18" t="str">
        <f t="shared" si="157"/>
        <v/>
      </c>
      <c r="AM1754" s="18" t="str">
        <f t="shared" si="158"/>
        <v/>
      </c>
    </row>
    <row r="1755" spans="1:39" x14ac:dyDescent="0.35">
      <c r="A1755" s="56" t="s">
        <v>1823</v>
      </c>
      <c r="B1755" s="31"/>
      <c r="C1755" s="54"/>
      <c r="D1755" s="31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E1755" s="57" t="str">
        <f t="shared" si="150"/>
        <v/>
      </c>
      <c r="AF1755" s="18" t="str">
        <f t="shared" si="151"/>
        <v/>
      </c>
      <c r="AG1755" s="18" t="str">
        <f t="shared" si="152"/>
        <v/>
      </c>
      <c r="AH1755" s="18" t="str">
        <f t="shared" si="153"/>
        <v/>
      </c>
      <c r="AI1755" s="18" t="str">
        <f t="shared" si="154"/>
        <v/>
      </c>
      <c r="AJ1755" s="18" t="str">
        <f t="shared" si="155"/>
        <v/>
      </c>
      <c r="AK1755" s="18" t="str">
        <f t="shared" si="156"/>
        <v/>
      </c>
      <c r="AL1755" s="18" t="str">
        <f t="shared" si="157"/>
        <v/>
      </c>
      <c r="AM1755" s="18" t="str">
        <f t="shared" si="158"/>
        <v/>
      </c>
    </row>
    <row r="1756" spans="1:39" x14ac:dyDescent="0.35">
      <c r="A1756" s="56" t="s">
        <v>1824</v>
      </c>
      <c r="B1756" s="31"/>
      <c r="C1756" s="54"/>
      <c r="D1756" s="31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E1756" s="57" t="str">
        <f t="shared" si="150"/>
        <v/>
      </c>
      <c r="AF1756" s="18" t="str">
        <f t="shared" si="151"/>
        <v/>
      </c>
      <c r="AG1756" s="18" t="str">
        <f t="shared" si="152"/>
        <v/>
      </c>
      <c r="AH1756" s="18" t="str">
        <f t="shared" si="153"/>
        <v/>
      </c>
      <c r="AI1756" s="18" t="str">
        <f t="shared" si="154"/>
        <v/>
      </c>
      <c r="AJ1756" s="18" t="str">
        <f t="shared" si="155"/>
        <v/>
      </c>
      <c r="AK1756" s="18" t="str">
        <f t="shared" si="156"/>
        <v/>
      </c>
      <c r="AL1756" s="18" t="str">
        <f t="shared" si="157"/>
        <v/>
      </c>
      <c r="AM1756" s="18" t="str">
        <f t="shared" si="158"/>
        <v/>
      </c>
    </row>
    <row r="1757" spans="1:39" x14ac:dyDescent="0.35">
      <c r="A1757" s="56" t="s">
        <v>1825</v>
      </c>
      <c r="B1757" s="31"/>
      <c r="C1757" s="54"/>
      <c r="D1757" s="31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E1757" s="57" t="str">
        <f t="shared" si="150"/>
        <v/>
      </c>
      <c r="AF1757" s="18" t="str">
        <f t="shared" si="151"/>
        <v/>
      </c>
      <c r="AG1757" s="18" t="str">
        <f t="shared" si="152"/>
        <v/>
      </c>
      <c r="AH1757" s="18" t="str">
        <f t="shared" si="153"/>
        <v/>
      </c>
      <c r="AI1757" s="18" t="str">
        <f t="shared" si="154"/>
        <v/>
      </c>
      <c r="AJ1757" s="18" t="str">
        <f t="shared" si="155"/>
        <v/>
      </c>
      <c r="AK1757" s="18" t="str">
        <f t="shared" si="156"/>
        <v/>
      </c>
      <c r="AL1757" s="18" t="str">
        <f t="shared" si="157"/>
        <v/>
      </c>
      <c r="AM1757" s="18" t="str">
        <f t="shared" si="158"/>
        <v/>
      </c>
    </row>
    <row r="1758" spans="1:39" x14ac:dyDescent="0.35">
      <c r="A1758" s="56" t="s">
        <v>1826</v>
      </c>
      <c r="B1758" s="31"/>
      <c r="C1758" s="54"/>
      <c r="D1758" s="31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E1758" s="57" t="str">
        <f t="shared" si="150"/>
        <v/>
      </c>
      <c r="AF1758" s="18" t="str">
        <f t="shared" si="151"/>
        <v/>
      </c>
      <c r="AG1758" s="18" t="str">
        <f t="shared" si="152"/>
        <v/>
      </c>
      <c r="AH1758" s="18" t="str">
        <f t="shared" si="153"/>
        <v/>
      </c>
      <c r="AI1758" s="18" t="str">
        <f t="shared" si="154"/>
        <v/>
      </c>
      <c r="AJ1758" s="18" t="str">
        <f t="shared" si="155"/>
        <v/>
      </c>
      <c r="AK1758" s="18" t="str">
        <f t="shared" si="156"/>
        <v/>
      </c>
      <c r="AL1758" s="18" t="str">
        <f t="shared" si="157"/>
        <v/>
      </c>
      <c r="AM1758" s="18" t="str">
        <f t="shared" si="158"/>
        <v/>
      </c>
    </row>
    <row r="1759" spans="1:39" x14ac:dyDescent="0.35">
      <c r="A1759" s="56" t="s">
        <v>1827</v>
      </c>
      <c r="B1759" s="31"/>
      <c r="C1759" s="54"/>
      <c r="D1759" s="31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E1759" s="57" t="str">
        <f t="shared" si="150"/>
        <v/>
      </c>
      <c r="AF1759" s="18" t="str">
        <f t="shared" si="151"/>
        <v/>
      </c>
      <c r="AG1759" s="18" t="str">
        <f t="shared" si="152"/>
        <v/>
      </c>
      <c r="AH1759" s="18" t="str">
        <f t="shared" si="153"/>
        <v/>
      </c>
      <c r="AI1759" s="18" t="str">
        <f t="shared" si="154"/>
        <v/>
      </c>
      <c r="AJ1759" s="18" t="str">
        <f t="shared" si="155"/>
        <v/>
      </c>
      <c r="AK1759" s="18" t="str">
        <f t="shared" si="156"/>
        <v/>
      </c>
      <c r="AL1759" s="18" t="str">
        <f t="shared" si="157"/>
        <v/>
      </c>
      <c r="AM1759" s="18" t="str">
        <f t="shared" si="158"/>
        <v/>
      </c>
    </row>
    <row r="1760" spans="1:39" x14ac:dyDescent="0.35">
      <c r="A1760" s="56" t="s">
        <v>1828</v>
      </c>
      <c r="B1760" s="31"/>
      <c r="C1760" s="54"/>
      <c r="D1760" s="31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E1760" s="57" t="str">
        <f t="shared" si="150"/>
        <v/>
      </c>
      <c r="AF1760" s="18" t="str">
        <f t="shared" si="151"/>
        <v/>
      </c>
      <c r="AG1760" s="18" t="str">
        <f t="shared" si="152"/>
        <v/>
      </c>
      <c r="AH1760" s="18" t="str">
        <f t="shared" si="153"/>
        <v/>
      </c>
      <c r="AI1760" s="18" t="str">
        <f t="shared" si="154"/>
        <v/>
      </c>
      <c r="AJ1760" s="18" t="str">
        <f t="shared" si="155"/>
        <v/>
      </c>
      <c r="AK1760" s="18" t="str">
        <f t="shared" si="156"/>
        <v/>
      </c>
      <c r="AL1760" s="18" t="str">
        <f t="shared" si="157"/>
        <v/>
      </c>
      <c r="AM1760" s="18" t="str">
        <f t="shared" si="158"/>
        <v/>
      </c>
    </row>
    <row r="1761" spans="1:39" x14ac:dyDescent="0.35">
      <c r="A1761" s="56" t="s">
        <v>1829</v>
      </c>
      <c r="B1761" s="31"/>
      <c r="C1761" s="54"/>
      <c r="D1761" s="31"/>
      <c r="E1761" s="31"/>
      <c r="F1761" s="31"/>
      <c r="G1761" s="31"/>
      <c r="H1761" s="31"/>
      <c r="I1761" s="31"/>
      <c r="J1761" s="31"/>
      <c r="K1761" s="31"/>
      <c r="L1761" s="31"/>
      <c r="M1761" s="31"/>
      <c r="N1761" s="31"/>
      <c r="O1761" s="31"/>
      <c r="P1761" s="3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E1761" s="57" t="str">
        <f t="shared" si="150"/>
        <v/>
      </c>
      <c r="AF1761" s="18" t="str">
        <f t="shared" si="151"/>
        <v/>
      </c>
      <c r="AG1761" s="18" t="str">
        <f t="shared" si="152"/>
        <v/>
      </c>
      <c r="AH1761" s="18" t="str">
        <f t="shared" si="153"/>
        <v/>
      </c>
      <c r="AI1761" s="18" t="str">
        <f t="shared" si="154"/>
        <v/>
      </c>
      <c r="AJ1761" s="18" t="str">
        <f t="shared" si="155"/>
        <v/>
      </c>
      <c r="AK1761" s="18" t="str">
        <f t="shared" si="156"/>
        <v/>
      </c>
      <c r="AL1761" s="18" t="str">
        <f t="shared" si="157"/>
        <v/>
      </c>
      <c r="AM1761" s="18" t="str">
        <f t="shared" si="158"/>
        <v/>
      </c>
    </row>
    <row r="1762" spans="1:39" x14ac:dyDescent="0.35">
      <c r="A1762" s="56" t="s">
        <v>1830</v>
      </c>
      <c r="B1762" s="31"/>
      <c r="C1762" s="54"/>
      <c r="D1762" s="31"/>
      <c r="E1762" s="31"/>
      <c r="F1762" s="31"/>
      <c r="G1762" s="31"/>
      <c r="H1762" s="31"/>
      <c r="I1762" s="31"/>
      <c r="J1762" s="31"/>
      <c r="K1762" s="31"/>
      <c r="L1762" s="31"/>
      <c r="M1762" s="31"/>
      <c r="N1762" s="31"/>
      <c r="O1762" s="31"/>
      <c r="P1762" s="3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E1762" s="57" t="str">
        <f t="shared" si="150"/>
        <v/>
      </c>
      <c r="AF1762" s="18" t="str">
        <f t="shared" si="151"/>
        <v/>
      </c>
      <c r="AG1762" s="18" t="str">
        <f t="shared" si="152"/>
        <v/>
      </c>
      <c r="AH1762" s="18" t="str">
        <f t="shared" si="153"/>
        <v/>
      </c>
      <c r="AI1762" s="18" t="str">
        <f t="shared" si="154"/>
        <v/>
      </c>
      <c r="AJ1762" s="18" t="str">
        <f t="shared" si="155"/>
        <v/>
      </c>
      <c r="AK1762" s="18" t="str">
        <f t="shared" si="156"/>
        <v/>
      </c>
      <c r="AL1762" s="18" t="str">
        <f t="shared" si="157"/>
        <v/>
      </c>
      <c r="AM1762" s="18" t="str">
        <f t="shared" si="158"/>
        <v/>
      </c>
    </row>
    <row r="1763" spans="1:39" x14ac:dyDescent="0.35">
      <c r="A1763" s="56" t="s">
        <v>1831</v>
      </c>
      <c r="B1763" s="31"/>
      <c r="C1763" s="54"/>
      <c r="D1763" s="31"/>
      <c r="E1763" s="31"/>
      <c r="F1763" s="31"/>
      <c r="G1763" s="31"/>
      <c r="H1763" s="31"/>
      <c r="I1763" s="31"/>
      <c r="J1763" s="31"/>
      <c r="K1763" s="31"/>
      <c r="L1763" s="31"/>
      <c r="M1763" s="31"/>
      <c r="N1763" s="31"/>
      <c r="O1763" s="31"/>
      <c r="P1763" s="3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E1763" s="57" t="str">
        <f t="shared" si="150"/>
        <v/>
      </c>
      <c r="AF1763" s="18" t="str">
        <f t="shared" si="151"/>
        <v/>
      </c>
      <c r="AG1763" s="18" t="str">
        <f t="shared" si="152"/>
        <v/>
      </c>
      <c r="AH1763" s="18" t="str">
        <f t="shared" si="153"/>
        <v/>
      </c>
      <c r="AI1763" s="18" t="str">
        <f t="shared" si="154"/>
        <v/>
      </c>
      <c r="AJ1763" s="18" t="str">
        <f t="shared" si="155"/>
        <v/>
      </c>
      <c r="AK1763" s="18" t="str">
        <f t="shared" si="156"/>
        <v/>
      </c>
      <c r="AL1763" s="18" t="str">
        <f t="shared" si="157"/>
        <v/>
      </c>
      <c r="AM1763" s="18" t="str">
        <f t="shared" si="158"/>
        <v/>
      </c>
    </row>
    <row r="1764" spans="1:39" x14ac:dyDescent="0.35">
      <c r="A1764" s="56" t="s">
        <v>1832</v>
      </c>
      <c r="B1764" s="31"/>
      <c r="C1764" s="54"/>
      <c r="D1764" s="31"/>
      <c r="E1764" s="31"/>
      <c r="F1764" s="31"/>
      <c r="G1764" s="31"/>
      <c r="H1764" s="31"/>
      <c r="I1764" s="31"/>
      <c r="J1764" s="31"/>
      <c r="K1764" s="31"/>
      <c r="L1764" s="31"/>
      <c r="M1764" s="31"/>
      <c r="N1764" s="31"/>
      <c r="O1764" s="31"/>
      <c r="P1764" s="3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E1764" s="57" t="str">
        <f t="shared" si="150"/>
        <v/>
      </c>
      <c r="AF1764" s="18" t="str">
        <f t="shared" si="151"/>
        <v/>
      </c>
      <c r="AG1764" s="18" t="str">
        <f t="shared" si="152"/>
        <v/>
      </c>
      <c r="AH1764" s="18" t="str">
        <f t="shared" si="153"/>
        <v/>
      </c>
      <c r="AI1764" s="18" t="str">
        <f t="shared" si="154"/>
        <v/>
      </c>
      <c r="AJ1764" s="18" t="str">
        <f t="shared" si="155"/>
        <v/>
      </c>
      <c r="AK1764" s="18" t="str">
        <f t="shared" si="156"/>
        <v/>
      </c>
      <c r="AL1764" s="18" t="str">
        <f t="shared" si="157"/>
        <v/>
      </c>
      <c r="AM1764" s="18" t="str">
        <f t="shared" si="158"/>
        <v/>
      </c>
    </row>
    <row r="1765" spans="1:39" x14ac:dyDescent="0.35">
      <c r="A1765" s="56" t="s">
        <v>1833</v>
      </c>
      <c r="B1765" s="31"/>
      <c r="C1765" s="54"/>
      <c r="D1765" s="31"/>
      <c r="E1765" s="31"/>
      <c r="F1765" s="31"/>
      <c r="G1765" s="31"/>
      <c r="H1765" s="31"/>
      <c r="I1765" s="31"/>
      <c r="J1765" s="31"/>
      <c r="K1765" s="31"/>
      <c r="L1765" s="31"/>
      <c r="M1765" s="31"/>
      <c r="N1765" s="31"/>
      <c r="O1765" s="31"/>
      <c r="P1765" s="3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E1765" s="57" t="str">
        <f t="shared" si="150"/>
        <v/>
      </c>
      <c r="AF1765" s="18" t="str">
        <f t="shared" si="151"/>
        <v/>
      </c>
      <c r="AG1765" s="18" t="str">
        <f t="shared" si="152"/>
        <v/>
      </c>
      <c r="AH1765" s="18" t="str">
        <f t="shared" si="153"/>
        <v/>
      </c>
      <c r="AI1765" s="18" t="str">
        <f t="shared" si="154"/>
        <v/>
      </c>
      <c r="AJ1765" s="18" t="str">
        <f t="shared" si="155"/>
        <v/>
      </c>
      <c r="AK1765" s="18" t="str">
        <f t="shared" si="156"/>
        <v/>
      </c>
      <c r="AL1765" s="18" t="str">
        <f t="shared" si="157"/>
        <v/>
      </c>
      <c r="AM1765" s="18" t="str">
        <f t="shared" si="158"/>
        <v/>
      </c>
    </row>
    <row r="1766" spans="1:39" x14ac:dyDescent="0.35">
      <c r="A1766" s="56" t="s">
        <v>1834</v>
      </c>
      <c r="B1766" s="31"/>
      <c r="C1766" s="54"/>
      <c r="D1766" s="31"/>
      <c r="E1766" s="31"/>
      <c r="F1766" s="31"/>
      <c r="G1766" s="31"/>
      <c r="H1766" s="31"/>
      <c r="I1766" s="31"/>
      <c r="J1766" s="31"/>
      <c r="K1766" s="31"/>
      <c r="L1766" s="31"/>
      <c r="M1766" s="31"/>
      <c r="N1766" s="31"/>
      <c r="O1766" s="31"/>
      <c r="P1766" s="3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E1766" s="57" t="str">
        <f t="shared" si="150"/>
        <v/>
      </c>
      <c r="AF1766" s="18" t="str">
        <f t="shared" si="151"/>
        <v/>
      </c>
      <c r="AG1766" s="18" t="str">
        <f t="shared" si="152"/>
        <v/>
      </c>
      <c r="AH1766" s="18" t="str">
        <f t="shared" si="153"/>
        <v/>
      </c>
      <c r="AI1766" s="18" t="str">
        <f t="shared" si="154"/>
        <v/>
      </c>
      <c r="AJ1766" s="18" t="str">
        <f t="shared" si="155"/>
        <v/>
      </c>
      <c r="AK1766" s="18" t="str">
        <f t="shared" si="156"/>
        <v/>
      </c>
      <c r="AL1766" s="18" t="str">
        <f t="shared" si="157"/>
        <v/>
      </c>
      <c r="AM1766" s="18" t="str">
        <f t="shared" si="158"/>
        <v/>
      </c>
    </row>
    <row r="1767" spans="1:39" x14ac:dyDescent="0.35">
      <c r="A1767" s="56" t="s">
        <v>1835</v>
      </c>
      <c r="B1767" s="31"/>
      <c r="C1767" s="54"/>
      <c r="D1767" s="31"/>
      <c r="E1767" s="31"/>
      <c r="F1767" s="31"/>
      <c r="G1767" s="31"/>
      <c r="H1767" s="31"/>
      <c r="I1767" s="31"/>
      <c r="J1767" s="31"/>
      <c r="K1767" s="31"/>
      <c r="L1767" s="31"/>
      <c r="M1767" s="31"/>
      <c r="N1767" s="31"/>
      <c r="O1767" s="31"/>
      <c r="P1767" s="3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E1767" s="57" t="str">
        <f t="shared" si="150"/>
        <v/>
      </c>
      <c r="AF1767" s="18" t="str">
        <f t="shared" si="151"/>
        <v/>
      </c>
      <c r="AG1767" s="18" t="str">
        <f t="shared" si="152"/>
        <v/>
      </c>
      <c r="AH1767" s="18" t="str">
        <f t="shared" si="153"/>
        <v/>
      </c>
      <c r="AI1767" s="18" t="str">
        <f t="shared" si="154"/>
        <v/>
      </c>
      <c r="AJ1767" s="18" t="str">
        <f t="shared" si="155"/>
        <v/>
      </c>
      <c r="AK1767" s="18" t="str">
        <f t="shared" si="156"/>
        <v/>
      </c>
      <c r="AL1767" s="18" t="str">
        <f t="shared" si="157"/>
        <v/>
      </c>
      <c r="AM1767" s="18" t="str">
        <f t="shared" si="158"/>
        <v/>
      </c>
    </row>
    <row r="1768" spans="1:39" x14ac:dyDescent="0.35">
      <c r="A1768" s="56" t="s">
        <v>1836</v>
      </c>
      <c r="B1768" s="31"/>
      <c r="C1768" s="54"/>
      <c r="D1768" s="31"/>
      <c r="E1768" s="31"/>
      <c r="F1768" s="31"/>
      <c r="G1768" s="31"/>
      <c r="H1768" s="31"/>
      <c r="I1768" s="31"/>
      <c r="J1768" s="31"/>
      <c r="K1768" s="31"/>
      <c r="L1768" s="31"/>
      <c r="M1768" s="31"/>
      <c r="N1768" s="31"/>
      <c r="O1768" s="31"/>
      <c r="P1768" s="3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E1768" s="57" t="str">
        <f t="shared" si="150"/>
        <v/>
      </c>
      <c r="AF1768" s="18" t="str">
        <f t="shared" si="151"/>
        <v/>
      </c>
      <c r="AG1768" s="18" t="str">
        <f t="shared" si="152"/>
        <v/>
      </c>
      <c r="AH1768" s="18" t="str">
        <f t="shared" si="153"/>
        <v/>
      </c>
      <c r="AI1768" s="18" t="str">
        <f t="shared" si="154"/>
        <v/>
      </c>
      <c r="AJ1768" s="18" t="str">
        <f t="shared" si="155"/>
        <v/>
      </c>
      <c r="AK1768" s="18" t="str">
        <f t="shared" si="156"/>
        <v/>
      </c>
      <c r="AL1768" s="18" t="str">
        <f t="shared" si="157"/>
        <v/>
      </c>
      <c r="AM1768" s="18" t="str">
        <f t="shared" si="158"/>
        <v/>
      </c>
    </row>
    <row r="1769" spans="1:39" x14ac:dyDescent="0.35">
      <c r="A1769" s="56" t="s">
        <v>1837</v>
      </c>
      <c r="B1769" s="31"/>
      <c r="C1769" s="54"/>
      <c r="D1769" s="31"/>
      <c r="E1769" s="31"/>
      <c r="F1769" s="31"/>
      <c r="G1769" s="31"/>
      <c r="H1769" s="31"/>
      <c r="I1769" s="31"/>
      <c r="J1769" s="31"/>
      <c r="K1769" s="31"/>
      <c r="L1769" s="31"/>
      <c r="M1769" s="31"/>
      <c r="N1769" s="31"/>
      <c r="O1769" s="31"/>
      <c r="P1769" s="3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E1769" s="57" t="str">
        <f t="shared" si="150"/>
        <v/>
      </c>
      <c r="AF1769" s="18" t="str">
        <f t="shared" si="151"/>
        <v/>
      </c>
      <c r="AG1769" s="18" t="str">
        <f t="shared" si="152"/>
        <v/>
      </c>
      <c r="AH1769" s="18" t="str">
        <f t="shared" si="153"/>
        <v/>
      </c>
      <c r="AI1769" s="18" t="str">
        <f t="shared" si="154"/>
        <v/>
      </c>
      <c r="AJ1769" s="18" t="str">
        <f t="shared" si="155"/>
        <v/>
      </c>
      <c r="AK1769" s="18" t="str">
        <f t="shared" si="156"/>
        <v/>
      </c>
      <c r="AL1769" s="18" t="str">
        <f t="shared" si="157"/>
        <v/>
      </c>
      <c r="AM1769" s="18" t="str">
        <f t="shared" si="158"/>
        <v/>
      </c>
    </row>
    <row r="1770" spans="1:39" x14ac:dyDescent="0.35">
      <c r="A1770" s="56" t="s">
        <v>1838</v>
      </c>
      <c r="B1770" s="31"/>
      <c r="C1770" s="54"/>
      <c r="D1770" s="31"/>
      <c r="E1770" s="31"/>
      <c r="F1770" s="31"/>
      <c r="G1770" s="31"/>
      <c r="H1770" s="31"/>
      <c r="I1770" s="31"/>
      <c r="J1770" s="31"/>
      <c r="K1770" s="31"/>
      <c r="L1770" s="31"/>
      <c r="M1770" s="31"/>
      <c r="N1770" s="31"/>
      <c r="O1770" s="31"/>
      <c r="P1770" s="3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E1770" s="57" t="str">
        <f t="shared" si="150"/>
        <v/>
      </c>
      <c r="AF1770" s="18" t="str">
        <f t="shared" si="151"/>
        <v/>
      </c>
      <c r="AG1770" s="18" t="str">
        <f t="shared" si="152"/>
        <v/>
      </c>
      <c r="AH1770" s="18" t="str">
        <f t="shared" si="153"/>
        <v/>
      </c>
      <c r="AI1770" s="18" t="str">
        <f t="shared" si="154"/>
        <v/>
      </c>
      <c r="AJ1770" s="18" t="str">
        <f t="shared" si="155"/>
        <v/>
      </c>
      <c r="AK1770" s="18" t="str">
        <f t="shared" si="156"/>
        <v/>
      </c>
      <c r="AL1770" s="18" t="str">
        <f t="shared" si="157"/>
        <v/>
      </c>
      <c r="AM1770" s="18" t="str">
        <f t="shared" si="158"/>
        <v/>
      </c>
    </row>
    <row r="1771" spans="1:39" x14ac:dyDescent="0.35">
      <c r="A1771" s="56" t="s">
        <v>1839</v>
      </c>
      <c r="B1771" s="31"/>
      <c r="C1771" s="54"/>
      <c r="D1771" s="31"/>
      <c r="E1771" s="31"/>
      <c r="F1771" s="31"/>
      <c r="G1771" s="31"/>
      <c r="H1771" s="31"/>
      <c r="I1771" s="31"/>
      <c r="J1771" s="31"/>
      <c r="K1771" s="31"/>
      <c r="L1771" s="31"/>
      <c r="M1771" s="31"/>
      <c r="N1771" s="31"/>
      <c r="O1771" s="31"/>
      <c r="P1771" s="3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E1771" s="57" t="str">
        <f t="shared" si="150"/>
        <v/>
      </c>
      <c r="AF1771" s="18" t="str">
        <f t="shared" si="151"/>
        <v/>
      </c>
      <c r="AG1771" s="18" t="str">
        <f t="shared" si="152"/>
        <v/>
      </c>
      <c r="AH1771" s="18" t="str">
        <f t="shared" si="153"/>
        <v/>
      </c>
      <c r="AI1771" s="18" t="str">
        <f t="shared" si="154"/>
        <v/>
      </c>
      <c r="AJ1771" s="18" t="str">
        <f t="shared" si="155"/>
        <v/>
      </c>
      <c r="AK1771" s="18" t="str">
        <f t="shared" si="156"/>
        <v/>
      </c>
      <c r="AL1771" s="18" t="str">
        <f t="shared" si="157"/>
        <v/>
      </c>
      <c r="AM1771" s="18" t="str">
        <f t="shared" si="158"/>
        <v/>
      </c>
    </row>
    <row r="1772" spans="1:39" x14ac:dyDescent="0.35">
      <c r="A1772" s="56" t="s">
        <v>1840</v>
      </c>
      <c r="B1772" s="31"/>
      <c r="C1772" s="54"/>
      <c r="D1772" s="31"/>
      <c r="E1772" s="31"/>
      <c r="F1772" s="31"/>
      <c r="G1772" s="31"/>
      <c r="H1772" s="31"/>
      <c r="I1772" s="31"/>
      <c r="J1772" s="31"/>
      <c r="K1772" s="31"/>
      <c r="L1772" s="31"/>
      <c r="M1772" s="31"/>
      <c r="N1772" s="31"/>
      <c r="O1772" s="31"/>
      <c r="P1772" s="3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E1772" s="57" t="str">
        <f t="shared" si="150"/>
        <v/>
      </c>
      <c r="AF1772" s="18" t="str">
        <f t="shared" si="151"/>
        <v/>
      </c>
      <c r="AG1772" s="18" t="str">
        <f t="shared" si="152"/>
        <v/>
      </c>
      <c r="AH1772" s="18" t="str">
        <f t="shared" si="153"/>
        <v/>
      </c>
      <c r="AI1772" s="18" t="str">
        <f t="shared" si="154"/>
        <v/>
      </c>
      <c r="AJ1772" s="18" t="str">
        <f t="shared" si="155"/>
        <v/>
      </c>
      <c r="AK1772" s="18" t="str">
        <f t="shared" si="156"/>
        <v/>
      </c>
      <c r="AL1772" s="18" t="str">
        <f t="shared" si="157"/>
        <v/>
      </c>
      <c r="AM1772" s="18" t="str">
        <f t="shared" si="158"/>
        <v/>
      </c>
    </row>
    <row r="1773" spans="1:39" x14ac:dyDescent="0.35">
      <c r="A1773" s="56" t="s">
        <v>1841</v>
      </c>
      <c r="B1773" s="31"/>
      <c r="C1773" s="54"/>
      <c r="D1773" s="31"/>
      <c r="E1773" s="31"/>
      <c r="F1773" s="31"/>
      <c r="G1773" s="31"/>
      <c r="H1773" s="31"/>
      <c r="I1773" s="31"/>
      <c r="J1773" s="31"/>
      <c r="K1773" s="31"/>
      <c r="L1773" s="31"/>
      <c r="M1773" s="31"/>
      <c r="N1773" s="31"/>
      <c r="O1773" s="31"/>
      <c r="P1773" s="3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E1773" s="57" t="str">
        <f t="shared" si="150"/>
        <v/>
      </c>
      <c r="AF1773" s="18" t="str">
        <f t="shared" si="151"/>
        <v/>
      </c>
      <c r="AG1773" s="18" t="str">
        <f t="shared" si="152"/>
        <v/>
      </c>
      <c r="AH1773" s="18" t="str">
        <f t="shared" si="153"/>
        <v/>
      </c>
      <c r="AI1773" s="18" t="str">
        <f t="shared" si="154"/>
        <v/>
      </c>
      <c r="AJ1773" s="18" t="str">
        <f t="shared" si="155"/>
        <v/>
      </c>
      <c r="AK1773" s="18" t="str">
        <f t="shared" si="156"/>
        <v/>
      </c>
      <c r="AL1773" s="18" t="str">
        <f t="shared" si="157"/>
        <v/>
      </c>
      <c r="AM1773" s="18" t="str">
        <f t="shared" si="158"/>
        <v/>
      </c>
    </row>
    <row r="1774" spans="1:39" x14ac:dyDescent="0.35">
      <c r="A1774" s="56" t="s">
        <v>1842</v>
      </c>
      <c r="B1774" s="31"/>
      <c r="C1774" s="54"/>
      <c r="D1774" s="31"/>
      <c r="E1774" s="31"/>
      <c r="F1774" s="31"/>
      <c r="G1774" s="31"/>
      <c r="H1774" s="31"/>
      <c r="I1774" s="31"/>
      <c r="J1774" s="31"/>
      <c r="K1774" s="31"/>
      <c r="L1774" s="31"/>
      <c r="M1774" s="31"/>
      <c r="N1774" s="31"/>
      <c r="O1774" s="31"/>
      <c r="P1774" s="3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E1774" s="57" t="str">
        <f t="shared" si="150"/>
        <v/>
      </c>
      <c r="AF1774" s="18" t="str">
        <f t="shared" si="151"/>
        <v/>
      </c>
      <c r="AG1774" s="18" t="str">
        <f t="shared" si="152"/>
        <v/>
      </c>
      <c r="AH1774" s="18" t="str">
        <f t="shared" si="153"/>
        <v/>
      </c>
      <c r="AI1774" s="18" t="str">
        <f t="shared" si="154"/>
        <v/>
      </c>
      <c r="AJ1774" s="18" t="str">
        <f t="shared" si="155"/>
        <v/>
      </c>
      <c r="AK1774" s="18" t="str">
        <f t="shared" si="156"/>
        <v/>
      </c>
      <c r="AL1774" s="18" t="str">
        <f t="shared" si="157"/>
        <v/>
      </c>
      <c r="AM1774" s="18" t="str">
        <f t="shared" si="158"/>
        <v/>
      </c>
    </row>
    <row r="1775" spans="1:39" x14ac:dyDescent="0.35">
      <c r="A1775" s="56" t="s">
        <v>1843</v>
      </c>
      <c r="B1775" s="31"/>
      <c r="C1775" s="54"/>
      <c r="D1775" s="31"/>
      <c r="E1775" s="31"/>
      <c r="F1775" s="31"/>
      <c r="G1775" s="31"/>
      <c r="H1775" s="31"/>
      <c r="I1775" s="31"/>
      <c r="J1775" s="31"/>
      <c r="K1775" s="31"/>
      <c r="L1775" s="31"/>
      <c r="M1775" s="31"/>
      <c r="N1775" s="31"/>
      <c r="O1775" s="31"/>
      <c r="P1775" s="3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E1775" s="57" t="str">
        <f t="shared" si="150"/>
        <v/>
      </c>
      <c r="AF1775" s="18" t="str">
        <f t="shared" si="151"/>
        <v/>
      </c>
      <c r="AG1775" s="18" t="str">
        <f t="shared" si="152"/>
        <v/>
      </c>
      <c r="AH1775" s="18" t="str">
        <f t="shared" si="153"/>
        <v/>
      </c>
      <c r="AI1775" s="18" t="str">
        <f t="shared" si="154"/>
        <v/>
      </c>
      <c r="AJ1775" s="18" t="str">
        <f t="shared" si="155"/>
        <v/>
      </c>
      <c r="AK1775" s="18" t="str">
        <f t="shared" si="156"/>
        <v/>
      </c>
      <c r="AL1775" s="18" t="str">
        <f t="shared" si="157"/>
        <v/>
      </c>
      <c r="AM1775" s="18" t="str">
        <f t="shared" si="158"/>
        <v/>
      </c>
    </row>
    <row r="1776" spans="1:39" x14ac:dyDescent="0.35">
      <c r="A1776" s="56" t="s">
        <v>1844</v>
      </c>
      <c r="B1776" s="31"/>
      <c r="C1776" s="54"/>
      <c r="D1776" s="31"/>
      <c r="E1776" s="31"/>
      <c r="F1776" s="31"/>
      <c r="G1776" s="31"/>
      <c r="H1776" s="31"/>
      <c r="I1776" s="31"/>
      <c r="J1776" s="31"/>
      <c r="K1776" s="31"/>
      <c r="L1776" s="31"/>
      <c r="M1776" s="31"/>
      <c r="N1776" s="31"/>
      <c r="O1776" s="31"/>
      <c r="P1776" s="3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E1776" s="57" t="str">
        <f t="shared" si="150"/>
        <v/>
      </c>
      <c r="AF1776" s="18" t="str">
        <f t="shared" si="151"/>
        <v/>
      </c>
      <c r="AG1776" s="18" t="str">
        <f t="shared" si="152"/>
        <v/>
      </c>
      <c r="AH1776" s="18" t="str">
        <f t="shared" si="153"/>
        <v/>
      </c>
      <c r="AI1776" s="18" t="str">
        <f t="shared" si="154"/>
        <v/>
      </c>
      <c r="AJ1776" s="18" t="str">
        <f t="shared" si="155"/>
        <v/>
      </c>
      <c r="AK1776" s="18" t="str">
        <f t="shared" si="156"/>
        <v/>
      </c>
      <c r="AL1776" s="18" t="str">
        <f t="shared" si="157"/>
        <v/>
      </c>
      <c r="AM1776" s="18" t="str">
        <f t="shared" si="158"/>
        <v/>
      </c>
    </row>
    <row r="1777" spans="1:39" x14ac:dyDescent="0.35">
      <c r="A1777" s="56" t="s">
        <v>1845</v>
      </c>
      <c r="B1777" s="31"/>
      <c r="C1777" s="54"/>
      <c r="D1777" s="31"/>
      <c r="E1777" s="31"/>
      <c r="F1777" s="31"/>
      <c r="G1777" s="31"/>
      <c r="H1777" s="31"/>
      <c r="I1777" s="31"/>
      <c r="J1777" s="31"/>
      <c r="K1777" s="31"/>
      <c r="L1777" s="31"/>
      <c r="M1777" s="31"/>
      <c r="N1777" s="31"/>
      <c r="O1777" s="31"/>
      <c r="P1777" s="3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E1777" s="57" t="str">
        <f t="shared" si="150"/>
        <v/>
      </c>
      <c r="AF1777" s="18" t="str">
        <f t="shared" si="151"/>
        <v/>
      </c>
      <c r="AG1777" s="18" t="str">
        <f t="shared" si="152"/>
        <v/>
      </c>
      <c r="AH1777" s="18" t="str">
        <f t="shared" si="153"/>
        <v/>
      </c>
      <c r="AI1777" s="18" t="str">
        <f t="shared" si="154"/>
        <v/>
      </c>
      <c r="AJ1777" s="18" t="str">
        <f t="shared" si="155"/>
        <v/>
      </c>
      <c r="AK1777" s="18" t="str">
        <f t="shared" si="156"/>
        <v/>
      </c>
      <c r="AL1777" s="18" t="str">
        <f t="shared" si="157"/>
        <v/>
      </c>
      <c r="AM1777" s="18" t="str">
        <f t="shared" si="158"/>
        <v/>
      </c>
    </row>
    <row r="1778" spans="1:39" x14ac:dyDescent="0.35">
      <c r="A1778" s="56" t="s">
        <v>1846</v>
      </c>
      <c r="B1778" s="31"/>
      <c r="C1778" s="54"/>
      <c r="D1778" s="31"/>
      <c r="E1778" s="31"/>
      <c r="F1778" s="31"/>
      <c r="G1778" s="31"/>
      <c r="H1778" s="31"/>
      <c r="I1778" s="31"/>
      <c r="J1778" s="31"/>
      <c r="K1778" s="31"/>
      <c r="L1778" s="31"/>
      <c r="M1778" s="31"/>
      <c r="N1778" s="31"/>
      <c r="O1778" s="31"/>
      <c r="P1778" s="3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E1778" s="57" t="str">
        <f t="shared" si="150"/>
        <v/>
      </c>
      <c r="AF1778" s="18" t="str">
        <f t="shared" si="151"/>
        <v/>
      </c>
      <c r="AG1778" s="18" t="str">
        <f t="shared" si="152"/>
        <v/>
      </c>
      <c r="AH1778" s="18" t="str">
        <f t="shared" si="153"/>
        <v/>
      </c>
      <c r="AI1778" s="18" t="str">
        <f t="shared" si="154"/>
        <v/>
      </c>
      <c r="AJ1778" s="18" t="str">
        <f t="shared" si="155"/>
        <v/>
      </c>
      <c r="AK1778" s="18" t="str">
        <f t="shared" si="156"/>
        <v/>
      </c>
      <c r="AL1778" s="18" t="str">
        <f t="shared" si="157"/>
        <v/>
      </c>
      <c r="AM1778" s="18" t="str">
        <f t="shared" si="158"/>
        <v/>
      </c>
    </row>
    <row r="1779" spans="1:39" x14ac:dyDescent="0.35">
      <c r="A1779" s="56" t="s">
        <v>1847</v>
      </c>
      <c r="B1779" s="31"/>
      <c r="C1779" s="54"/>
      <c r="D1779" s="31"/>
      <c r="E1779" s="31"/>
      <c r="F1779" s="31"/>
      <c r="G1779" s="31"/>
      <c r="H1779" s="31"/>
      <c r="I1779" s="31"/>
      <c r="J1779" s="31"/>
      <c r="K1779" s="31"/>
      <c r="L1779" s="31"/>
      <c r="M1779" s="31"/>
      <c r="N1779" s="31"/>
      <c r="O1779" s="31"/>
      <c r="P1779" s="3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E1779" s="57" t="str">
        <f t="shared" si="150"/>
        <v/>
      </c>
      <c r="AF1779" s="18" t="str">
        <f t="shared" si="151"/>
        <v/>
      </c>
      <c r="AG1779" s="18" t="str">
        <f t="shared" si="152"/>
        <v/>
      </c>
      <c r="AH1779" s="18" t="str">
        <f t="shared" si="153"/>
        <v/>
      </c>
      <c r="AI1779" s="18" t="str">
        <f t="shared" si="154"/>
        <v/>
      </c>
      <c r="AJ1779" s="18" t="str">
        <f t="shared" si="155"/>
        <v/>
      </c>
      <c r="AK1779" s="18" t="str">
        <f t="shared" si="156"/>
        <v/>
      </c>
      <c r="AL1779" s="18" t="str">
        <f t="shared" si="157"/>
        <v/>
      </c>
      <c r="AM1779" s="18" t="str">
        <f t="shared" si="158"/>
        <v/>
      </c>
    </row>
    <row r="1780" spans="1:39" x14ac:dyDescent="0.35">
      <c r="A1780" s="56" t="s">
        <v>1848</v>
      </c>
      <c r="B1780" s="31"/>
      <c r="C1780" s="54"/>
      <c r="D1780" s="31"/>
      <c r="E1780" s="31"/>
      <c r="F1780" s="31"/>
      <c r="G1780" s="31"/>
      <c r="H1780" s="31"/>
      <c r="I1780" s="31"/>
      <c r="J1780" s="31"/>
      <c r="K1780" s="31"/>
      <c r="L1780" s="31"/>
      <c r="M1780" s="31"/>
      <c r="N1780" s="31"/>
      <c r="O1780" s="31"/>
      <c r="P1780" s="3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E1780" s="57" t="str">
        <f t="shared" si="150"/>
        <v/>
      </c>
      <c r="AF1780" s="18" t="str">
        <f t="shared" si="151"/>
        <v/>
      </c>
      <c r="AG1780" s="18" t="str">
        <f t="shared" si="152"/>
        <v/>
      </c>
      <c r="AH1780" s="18" t="str">
        <f t="shared" si="153"/>
        <v/>
      </c>
      <c r="AI1780" s="18" t="str">
        <f t="shared" si="154"/>
        <v/>
      </c>
      <c r="AJ1780" s="18" t="str">
        <f t="shared" si="155"/>
        <v/>
      </c>
      <c r="AK1780" s="18" t="str">
        <f t="shared" si="156"/>
        <v/>
      </c>
      <c r="AL1780" s="18" t="str">
        <f t="shared" si="157"/>
        <v/>
      </c>
      <c r="AM1780" s="18" t="str">
        <f t="shared" si="158"/>
        <v/>
      </c>
    </row>
    <row r="1781" spans="1:39" x14ac:dyDescent="0.35">
      <c r="A1781" s="56" t="s">
        <v>1849</v>
      </c>
      <c r="B1781" s="31"/>
      <c r="C1781" s="54"/>
      <c r="D1781" s="31"/>
      <c r="E1781" s="31"/>
      <c r="F1781" s="31"/>
      <c r="G1781" s="31"/>
      <c r="H1781" s="31"/>
      <c r="I1781" s="31"/>
      <c r="J1781" s="31"/>
      <c r="K1781" s="31"/>
      <c r="L1781" s="31"/>
      <c r="M1781" s="31"/>
      <c r="N1781" s="31"/>
      <c r="O1781" s="31"/>
      <c r="P1781" s="3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E1781" s="57" t="str">
        <f t="shared" si="150"/>
        <v/>
      </c>
      <c r="AF1781" s="18" t="str">
        <f t="shared" si="151"/>
        <v/>
      </c>
      <c r="AG1781" s="18" t="str">
        <f t="shared" si="152"/>
        <v/>
      </c>
      <c r="AH1781" s="18" t="str">
        <f t="shared" si="153"/>
        <v/>
      </c>
      <c r="AI1781" s="18" t="str">
        <f t="shared" si="154"/>
        <v/>
      </c>
      <c r="AJ1781" s="18" t="str">
        <f t="shared" si="155"/>
        <v/>
      </c>
      <c r="AK1781" s="18" t="str">
        <f t="shared" si="156"/>
        <v/>
      </c>
      <c r="AL1781" s="18" t="str">
        <f t="shared" si="157"/>
        <v/>
      </c>
      <c r="AM1781" s="18" t="str">
        <f t="shared" si="158"/>
        <v/>
      </c>
    </row>
    <row r="1782" spans="1:39" x14ac:dyDescent="0.35">
      <c r="A1782" s="56" t="s">
        <v>1850</v>
      </c>
      <c r="B1782" s="31"/>
      <c r="C1782" s="54"/>
      <c r="D1782" s="31"/>
      <c r="E1782" s="31"/>
      <c r="F1782" s="31"/>
      <c r="G1782" s="31"/>
      <c r="H1782" s="31"/>
      <c r="I1782" s="31"/>
      <c r="J1782" s="31"/>
      <c r="K1782" s="31"/>
      <c r="L1782" s="31"/>
      <c r="M1782" s="31"/>
      <c r="N1782" s="31"/>
      <c r="O1782" s="31"/>
      <c r="P1782" s="3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E1782" s="57" t="str">
        <f t="shared" si="150"/>
        <v/>
      </c>
      <c r="AF1782" s="18" t="str">
        <f t="shared" si="151"/>
        <v/>
      </c>
      <c r="AG1782" s="18" t="str">
        <f t="shared" si="152"/>
        <v/>
      </c>
      <c r="AH1782" s="18" t="str">
        <f t="shared" si="153"/>
        <v/>
      </c>
      <c r="AI1782" s="18" t="str">
        <f t="shared" si="154"/>
        <v/>
      </c>
      <c r="AJ1782" s="18" t="str">
        <f t="shared" si="155"/>
        <v/>
      </c>
      <c r="AK1782" s="18" t="str">
        <f t="shared" si="156"/>
        <v/>
      </c>
      <c r="AL1782" s="18" t="str">
        <f t="shared" si="157"/>
        <v/>
      </c>
      <c r="AM1782" s="18" t="str">
        <f t="shared" si="158"/>
        <v/>
      </c>
    </row>
    <row r="1783" spans="1:39" x14ac:dyDescent="0.35">
      <c r="A1783" s="56" t="s">
        <v>1851</v>
      </c>
      <c r="B1783" s="31"/>
      <c r="C1783" s="54"/>
      <c r="D1783" s="31"/>
      <c r="E1783" s="31"/>
      <c r="F1783" s="31"/>
      <c r="G1783" s="31"/>
      <c r="H1783" s="31"/>
      <c r="I1783" s="31"/>
      <c r="J1783" s="31"/>
      <c r="K1783" s="31"/>
      <c r="L1783" s="31"/>
      <c r="M1783" s="31"/>
      <c r="N1783" s="31"/>
      <c r="O1783" s="31"/>
      <c r="P1783" s="3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E1783" s="57" t="str">
        <f t="shared" si="150"/>
        <v/>
      </c>
      <c r="AF1783" s="18" t="str">
        <f t="shared" si="151"/>
        <v/>
      </c>
      <c r="AG1783" s="18" t="str">
        <f t="shared" si="152"/>
        <v/>
      </c>
      <c r="AH1783" s="18" t="str">
        <f t="shared" si="153"/>
        <v/>
      </c>
      <c r="AI1783" s="18" t="str">
        <f t="shared" si="154"/>
        <v/>
      </c>
      <c r="AJ1783" s="18" t="str">
        <f t="shared" si="155"/>
        <v/>
      </c>
      <c r="AK1783" s="18" t="str">
        <f t="shared" si="156"/>
        <v/>
      </c>
      <c r="AL1783" s="18" t="str">
        <f t="shared" si="157"/>
        <v/>
      </c>
      <c r="AM1783" s="18" t="str">
        <f t="shared" si="158"/>
        <v/>
      </c>
    </row>
    <row r="1784" spans="1:39" x14ac:dyDescent="0.35">
      <c r="A1784" s="56" t="s">
        <v>1852</v>
      </c>
      <c r="B1784" s="31"/>
      <c r="C1784" s="54"/>
      <c r="D1784" s="31"/>
      <c r="E1784" s="31"/>
      <c r="F1784" s="31"/>
      <c r="G1784" s="31"/>
      <c r="H1784" s="31"/>
      <c r="I1784" s="31"/>
      <c r="J1784" s="31"/>
      <c r="K1784" s="31"/>
      <c r="L1784" s="31"/>
      <c r="M1784" s="31"/>
      <c r="N1784" s="31"/>
      <c r="O1784" s="31"/>
      <c r="P1784" s="3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E1784" s="57" t="str">
        <f t="shared" si="150"/>
        <v/>
      </c>
      <c r="AF1784" s="18" t="str">
        <f t="shared" si="151"/>
        <v/>
      </c>
      <c r="AG1784" s="18" t="str">
        <f t="shared" si="152"/>
        <v/>
      </c>
      <c r="AH1784" s="18" t="str">
        <f t="shared" si="153"/>
        <v/>
      </c>
      <c r="AI1784" s="18" t="str">
        <f t="shared" si="154"/>
        <v/>
      </c>
      <c r="AJ1784" s="18" t="str">
        <f t="shared" si="155"/>
        <v/>
      </c>
      <c r="AK1784" s="18" t="str">
        <f t="shared" si="156"/>
        <v/>
      </c>
      <c r="AL1784" s="18" t="str">
        <f t="shared" si="157"/>
        <v/>
      </c>
      <c r="AM1784" s="18" t="str">
        <f t="shared" si="158"/>
        <v/>
      </c>
    </row>
    <row r="1785" spans="1:39" x14ac:dyDescent="0.35">
      <c r="A1785" s="56" t="s">
        <v>1853</v>
      </c>
      <c r="B1785" s="31"/>
      <c r="C1785" s="54"/>
      <c r="D1785" s="31"/>
      <c r="E1785" s="31"/>
      <c r="F1785" s="31"/>
      <c r="G1785" s="31"/>
      <c r="H1785" s="31"/>
      <c r="I1785" s="31"/>
      <c r="J1785" s="31"/>
      <c r="K1785" s="31"/>
      <c r="L1785" s="31"/>
      <c r="M1785" s="31"/>
      <c r="N1785" s="31"/>
      <c r="O1785" s="31"/>
      <c r="P1785" s="3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E1785" s="57" t="str">
        <f t="shared" si="150"/>
        <v/>
      </c>
      <c r="AF1785" s="18" t="str">
        <f t="shared" si="151"/>
        <v/>
      </c>
      <c r="AG1785" s="18" t="str">
        <f t="shared" si="152"/>
        <v/>
      </c>
      <c r="AH1785" s="18" t="str">
        <f t="shared" si="153"/>
        <v/>
      </c>
      <c r="AI1785" s="18" t="str">
        <f t="shared" si="154"/>
        <v/>
      </c>
      <c r="AJ1785" s="18" t="str">
        <f t="shared" si="155"/>
        <v/>
      </c>
      <c r="AK1785" s="18" t="str">
        <f t="shared" si="156"/>
        <v/>
      </c>
      <c r="AL1785" s="18" t="str">
        <f t="shared" si="157"/>
        <v/>
      </c>
      <c r="AM1785" s="18" t="str">
        <f t="shared" si="158"/>
        <v/>
      </c>
    </row>
    <row r="1786" spans="1:39" x14ac:dyDescent="0.35">
      <c r="A1786" s="56" t="s">
        <v>1854</v>
      </c>
      <c r="B1786" s="31"/>
      <c r="C1786" s="54"/>
      <c r="D1786" s="31"/>
      <c r="E1786" s="31"/>
      <c r="F1786" s="31"/>
      <c r="G1786" s="31"/>
      <c r="H1786" s="31"/>
      <c r="I1786" s="31"/>
      <c r="J1786" s="31"/>
      <c r="K1786" s="31"/>
      <c r="L1786" s="31"/>
      <c r="M1786" s="31"/>
      <c r="N1786" s="31"/>
      <c r="O1786" s="31"/>
      <c r="P1786" s="3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E1786" s="57" t="str">
        <f t="shared" si="150"/>
        <v/>
      </c>
      <c r="AF1786" s="18" t="str">
        <f t="shared" si="151"/>
        <v/>
      </c>
      <c r="AG1786" s="18" t="str">
        <f t="shared" si="152"/>
        <v/>
      </c>
      <c r="AH1786" s="18" t="str">
        <f t="shared" si="153"/>
        <v/>
      </c>
      <c r="AI1786" s="18" t="str">
        <f t="shared" si="154"/>
        <v/>
      </c>
      <c r="AJ1786" s="18" t="str">
        <f t="shared" si="155"/>
        <v/>
      </c>
      <c r="AK1786" s="18" t="str">
        <f t="shared" si="156"/>
        <v/>
      </c>
      <c r="AL1786" s="18" t="str">
        <f t="shared" si="157"/>
        <v/>
      </c>
      <c r="AM1786" s="18" t="str">
        <f t="shared" si="158"/>
        <v/>
      </c>
    </row>
    <row r="1787" spans="1:39" x14ac:dyDescent="0.35">
      <c r="A1787" s="56" t="s">
        <v>1855</v>
      </c>
      <c r="B1787" s="31"/>
      <c r="C1787" s="54"/>
      <c r="D1787" s="31"/>
      <c r="E1787" s="31"/>
      <c r="F1787" s="31"/>
      <c r="G1787" s="31"/>
      <c r="H1787" s="31"/>
      <c r="I1787" s="31"/>
      <c r="J1787" s="31"/>
      <c r="K1787" s="31"/>
      <c r="L1787" s="31"/>
      <c r="M1787" s="31"/>
      <c r="N1787" s="31"/>
      <c r="O1787" s="31"/>
      <c r="P1787" s="3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E1787" s="57" t="str">
        <f t="shared" si="150"/>
        <v/>
      </c>
      <c r="AF1787" s="18" t="str">
        <f t="shared" si="151"/>
        <v/>
      </c>
      <c r="AG1787" s="18" t="str">
        <f t="shared" si="152"/>
        <v/>
      </c>
      <c r="AH1787" s="18" t="str">
        <f t="shared" si="153"/>
        <v/>
      </c>
      <c r="AI1787" s="18" t="str">
        <f t="shared" si="154"/>
        <v/>
      </c>
      <c r="AJ1787" s="18" t="str">
        <f t="shared" si="155"/>
        <v/>
      </c>
      <c r="AK1787" s="18" t="str">
        <f t="shared" si="156"/>
        <v/>
      </c>
      <c r="AL1787" s="18" t="str">
        <f t="shared" si="157"/>
        <v/>
      </c>
      <c r="AM1787" s="18" t="str">
        <f t="shared" si="158"/>
        <v/>
      </c>
    </row>
    <row r="1788" spans="1:39" x14ac:dyDescent="0.35">
      <c r="A1788" s="56" t="s">
        <v>1856</v>
      </c>
      <c r="B1788" s="31"/>
      <c r="C1788" s="54"/>
      <c r="D1788" s="31"/>
      <c r="E1788" s="31"/>
      <c r="F1788" s="31"/>
      <c r="G1788" s="31"/>
      <c r="H1788" s="31"/>
      <c r="I1788" s="31"/>
      <c r="J1788" s="31"/>
      <c r="K1788" s="31"/>
      <c r="L1788" s="31"/>
      <c r="M1788" s="31"/>
      <c r="N1788" s="31"/>
      <c r="O1788" s="31"/>
      <c r="P1788" s="3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E1788" s="57" t="str">
        <f t="shared" si="150"/>
        <v/>
      </c>
      <c r="AF1788" s="18" t="str">
        <f t="shared" si="151"/>
        <v/>
      </c>
      <c r="AG1788" s="18" t="str">
        <f t="shared" si="152"/>
        <v/>
      </c>
      <c r="AH1788" s="18" t="str">
        <f t="shared" si="153"/>
        <v/>
      </c>
      <c r="AI1788" s="18" t="str">
        <f t="shared" si="154"/>
        <v/>
      </c>
      <c r="AJ1788" s="18" t="str">
        <f t="shared" si="155"/>
        <v/>
      </c>
      <c r="AK1788" s="18" t="str">
        <f t="shared" si="156"/>
        <v/>
      </c>
      <c r="AL1788" s="18" t="str">
        <f t="shared" si="157"/>
        <v/>
      </c>
      <c r="AM1788" s="18" t="str">
        <f t="shared" si="158"/>
        <v/>
      </c>
    </row>
    <row r="1789" spans="1:39" x14ac:dyDescent="0.35">
      <c r="A1789" s="56" t="s">
        <v>1857</v>
      </c>
      <c r="B1789" s="31"/>
      <c r="C1789" s="54"/>
      <c r="D1789" s="31"/>
      <c r="E1789" s="31"/>
      <c r="F1789" s="31"/>
      <c r="G1789" s="31"/>
      <c r="H1789" s="31"/>
      <c r="I1789" s="31"/>
      <c r="J1789" s="31"/>
      <c r="K1789" s="31"/>
      <c r="L1789" s="31"/>
      <c r="M1789" s="31"/>
      <c r="N1789" s="31"/>
      <c r="O1789" s="31"/>
      <c r="P1789" s="3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E1789" s="57" t="str">
        <f t="shared" si="150"/>
        <v/>
      </c>
      <c r="AF1789" s="18" t="str">
        <f t="shared" si="151"/>
        <v/>
      </c>
      <c r="AG1789" s="18" t="str">
        <f t="shared" si="152"/>
        <v/>
      </c>
      <c r="AH1789" s="18" t="str">
        <f t="shared" si="153"/>
        <v/>
      </c>
      <c r="AI1789" s="18" t="str">
        <f t="shared" si="154"/>
        <v/>
      </c>
      <c r="AJ1789" s="18" t="str">
        <f t="shared" si="155"/>
        <v/>
      </c>
      <c r="AK1789" s="18" t="str">
        <f t="shared" si="156"/>
        <v/>
      </c>
      <c r="AL1789" s="18" t="str">
        <f t="shared" si="157"/>
        <v/>
      </c>
      <c r="AM1789" s="18" t="str">
        <f t="shared" si="158"/>
        <v/>
      </c>
    </row>
    <row r="1790" spans="1:39" x14ac:dyDescent="0.35">
      <c r="A1790" s="56" t="s">
        <v>1858</v>
      </c>
      <c r="B1790" s="31"/>
      <c r="C1790" s="54"/>
      <c r="D1790" s="31"/>
      <c r="E1790" s="31"/>
      <c r="F1790" s="31"/>
      <c r="G1790" s="31"/>
      <c r="H1790" s="31"/>
      <c r="I1790" s="31"/>
      <c r="J1790" s="31"/>
      <c r="K1790" s="31"/>
      <c r="L1790" s="31"/>
      <c r="M1790" s="31"/>
      <c r="N1790" s="31"/>
      <c r="O1790" s="31"/>
      <c r="P1790" s="3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E1790" s="57" t="str">
        <f t="shared" si="150"/>
        <v/>
      </c>
      <c r="AF1790" s="18" t="str">
        <f t="shared" si="151"/>
        <v/>
      </c>
      <c r="AG1790" s="18" t="str">
        <f t="shared" si="152"/>
        <v/>
      </c>
      <c r="AH1790" s="18" t="str">
        <f t="shared" si="153"/>
        <v/>
      </c>
      <c r="AI1790" s="18" t="str">
        <f t="shared" si="154"/>
        <v/>
      </c>
      <c r="AJ1790" s="18" t="str">
        <f t="shared" si="155"/>
        <v/>
      </c>
      <c r="AK1790" s="18" t="str">
        <f t="shared" si="156"/>
        <v/>
      </c>
      <c r="AL1790" s="18" t="str">
        <f t="shared" si="157"/>
        <v/>
      </c>
      <c r="AM1790" s="18" t="str">
        <f t="shared" si="158"/>
        <v/>
      </c>
    </row>
    <row r="1791" spans="1:39" x14ac:dyDescent="0.35">
      <c r="A1791" s="56" t="s">
        <v>1859</v>
      </c>
      <c r="B1791" s="31"/>
      <c r="C1791" s="54"/>
      <c r="D1791" s="31"/>
      <c r="E1791" s="31"/>
      <c r="F1791" s="31"/>
      <c r="G1791" s="31"/>
      <c r="H1791" s="31"/>
      <c r="I1791" s="31"/>
      <c r="J1791" s="31"/>
      <c r="K1791" s="31"/>
      <c r="L1791" s="31"/>
      <c r="M1791" s="31"/>
      <c r="N1791" s="31"/>
      <c r="O1791" s="31"/>
      <c r="P1791" s="3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E1791" s="57" t="str">
        <f t="shared" si="150"/>
        <v/>
      </c>
      <c r="AF1791" s="18" t="str">
        <f t="shared" si="151"/>
        <v/>
      </c>
      <c r="AG1791" s="18" t="str">
        <f t="shared" si="152"/>
        <v/>
      </c>
      <c r="AH1791" s="18" t="str">
        <f t="shared" si="153"/>
        <v/>
      </c>
      <c r="AI1791" s="18" t="str">
        <f t="shared" si="154"/>
        <v/>
      </c>
      <c r="AJ1791" s="18" t="str">
        <f t="shared" si="155"/>
        <v/>
      </c>
      <c r="AK1791" s="18" t="str">
        <f t="shared" si="156"/>
        <v/>
      </c>
      <c r="AL1791" s="18" t="str">
        <f t="shared" si="157"/>
        <v/>
      </c>
      <c r="AM1791" s="18" t="str">
        <f t="shared" si="158"/>
        <v/>
      </c>
    </row>
    <row r="1792" spans="1:39" x14ac:dyDescent="0.35">
      <c r="A1792" s="56" t="s">
        <v>1860</v>
      </c>
      <c r="B1792" s="31"/>
      <c r="C1792" s="54"/>
      <c r="D1792" s="31"/>
      <c r="E1792" s="31"/>
      <c r="F1792" s="31"/>
      <c r="G1792" s="31"/>
      <c r="H1792" s="31"/>
      <c r="I1792" s="31"/>
      <c r="J1792" s="31"/>
      <c r="K1792" s="31"/>
      <c r="L1792" s="31"/>
      <c r="M1792" s="31"/>
      <c r="N1792" s="31"/>
      <c r="O1792" s="31"/>
      <c r="P1792" s="3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E1792" s="57" t="str">
        <f t="shared" si="150"/>
        <v/>
      </c>
      <c r="AF1792" s="18" t="str">
        <f t="shared" si="151"/>
        <v/>
      </c>
      <c r="AG1792" s="18" t="str">
        <f t="shared" si="152"/>
        <v/>
      </c>
      <c r="AH1792" s="18" t="str">
        <f t="shared" si="153"/>
        <v/>
      </c>
      <c r="AI1792" s="18" t="str">
        <f t="shared" si="154"/>
        <v/>
      </c>
      <c r="AJ1792" s="18" t="str">
        <f t="shared" si="155"/>
        <v/>
      </c>
      <c r="AK1792" s="18" t="str">
        <f t="shared" si="156"/>
        <v/>
      </c>
      <c r="AL1792" s="18" t="str">
        <f t="shared" si="157"/>
        <v/>
      </c>
      <c r="AM1792" s="18" t="str">
        <f t="shared" si="158"/>
        <v/>
      </c>
    </row>
    <row r="1793" spans="1:39" x14ac:dyDescent="0.35">
      <c r="A1793" s="56" t="s">
        <v>1861</v>
      </c>
      <c r="B1793" s="31"/>
      <c r="C1793" s="54"/>
      <c r="D1793" s="31"/>
      <c r="E1793" s="31"/>
      <c r="F1793" s="31"/>
      <c r="G1793" s="31"/>
      <c r="H1793" s="31"/>
      <c r="I1793" s="31"/>
      <c r="J1793" s="31"/>
      <c r="K1793" s="31"/>
      <c r="L1793" s="31"/>
      <c r="M1793" s="31"/>
      <c r="N1793" s="31"/>
      <c r="O1793" s="31"/>
      <c r="P1793" s="3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E1793" s="57" t="str">
        <f t="shared" si="150"/>
        <v/>
      </c>
      <c r="AF1793" s="18" t="str">
        <f t="shared" si="151"/>
        <v/>
      </c>
      <c r="AG1793" s="18" t="str">
        <f t="shared" si="152"/>
        <v/>
      </c>
      <c r="AH1793" s="18" t="str">
        <f t="shared" si="153"/>
        <v/>
      </c>
      <c r="AI1793" s="18" t="str">
        <f t="shared" si="154"/>
        <v/>
      </c>
      <c r="AJ1793" s="18" t="str">
        <f t="shared" si="155"/>
        <v/>
      </c>
      <c r="AK1793" s="18" t="str">
        <f t="shared" si="156"/>
        <v/>
      </c>
      <c r="AL1793" s="18" t="str">
        <f t="shared" si="157"/>
        <v/>
      </c>
      <c r="AM1793" s="18" t="str">
        <f t="shared" si="158"/>
        <v/>
      </c>
    </row>
    <row r="1794" spans="1:39" x14ac:dyDescent="0.35">
      <c r="A1794" s="56" t="s">
        <v>1862</v>
      </c>
      <c r="B1794" s="31"/>
      <c r="C1794" s="54"/>
      <c r="D1794" s="31"/>
      <c r="E1794" s="31"/>
      <c r="F1794" s="31"/>
      <c r="G1794" s="31"/>
      <c r="H1794" s="31"/>
      <c r="I1794" s="31"/>
      <c r="J1794" s="31"/>
      <c r="K1794" s="31"/>
      <c r="L1794" s="31"/>
      <c r="M1794" s="31"/>
      <c r="N1794" s="31"/>
      <c r="O1794" s="31"/>
      <c r="P1794" s="3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E1794" s="57" t="str">
        <f t="shared" si="150"/>
        <v/>
      </c>
      <c r="AF1794" s="18" t="str">
        <f t="shared" si="151"/>
        <v/>
      </c>
      <c r="AG1794" s="18" t="str">
        <f t="shared" si="152"/>
        <v/>
      </c>
      <c r="AH1794" s="18" t="str">
        <f t="shared" si="153"/>
        <v/>
      </c>
      <c r="AI1794" s="18" t="str">
        <f t="shared" si="154"/>
        <v/>
      </c>
      <c r="AJ1794" s="18" t="str">
        <f t="shared" si="155"/>
        <v/>
      </c>
      <c r="AK1794" s="18" t="str">
        <f t="shared" si="156"/>
        <v/>
      </c>
      <c r="AL1794" s="18" t="str">
        <f t="shared" si="157"/>
        <v/>
      </c>
      <c r="AM1794" s="18" t="str">
        <f t="shared" si="158"/>
        <v/>
      </c>
    </row>
    <row r="1795" spans="1:39" x14ac:dyDescent="0.35">
      <c r="A1795" s="56" t="s">
        <v>1863</v>
      </c>
      <c r="B1795" s="31"/>
      <c r="C1795" s="54"/>
      <c r="D1795" s="31"/>
      <c r="E1795" s="31"/>
      <c r="F1795" s="31"/>
      <c r="G1795" s="31"/>
      <c r="H1795" s="31"/>
      <c r="I1795" s="31"/>
      <c r="J1795" s="31"/>
      <c r="K1795" s="31"/>
      <c r="L1795" s="31"/>
      <c r="M1795" s="31"/>
      <c r="N1795" s="31"/>
      <c r="O1795" s="31"/>
      <c r="P1795" s="3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E1795" s="57" t="str">
        <f t="shared" ref="AE1795:AE1858" si="159">IFERROR(VLOOKUP(AD1795,$A$2:$AA$2000,2,0),"")</f>
        <v/>
      </c>
      <c r="AF1795" s="18" t="str">
        <f t="shared" ref="AF1795:AF1858" si="160">IFERROR(VLOOKUP(AD1795,$A$2:$AA$2000,22,0),"")</f>
        <v/>
      </c>
      <c r="AG1795" s="18" t="str">
        <f t="shared" ref="AG1795:AG1858" si="161">IFERROR(VLOOKUP(AD1795,$A$2:$AA$2000,18,0),"")</f>
        <v/>
      </c>
      <c r="AH1795" s="18" t="str">
        <f t="shared" ref="AH1795:AH1858" si="162">IFERROR(VLOOKUP(AD1795,$A$2:$AA$2000,17,0),"")</f>
        <v/>
      </c>
      <c r="AI1795" s="18" t="str">
        <f t="shared" ref="AI1795:AI1858" si="163">IFERROR(VLOOKUP(AD1795,$A$2:$AA$2000,20,0),"")</f>
        <v/>
      </c>
      <c r="AJ1795" s="18" t="str">
        <f t="shared" ref="AJ1795:AJ1858" si="164">IFERROR(VLOOKUP(AD1795,$A$2:$AA$2000,9,0),"")</f>
        <v/>
      </c>
      <c r="AK1795" s="18" t="str">
        <f t="shared" ref="AK1795:AK1858" si="165">IFERROR(VLOOKUP(AD1795,$A$2:$AA$2000,5,0),"")</f>
        <v/>
      </c>
      <c r="AL1795" s="18" t="str">
        <f t="shared" ref="AL1795:AL1858" si="166">IFERROR(VLOOKUP(AD1795,$A$2:$AA$2000,4,0),"")</f>
        <v/>
      </c>
      <c r="AM1795" s="18" t="str">
        <f t="shared" ref="AM1795:AM1858" si="167">IFERROR(VLOOKUP(AD1795,$A$2:$AA$2000,7,0),"")</f>
        <v/>
      </c>
    </row>
    <row r="1796" spans="1:39" x14ac:dyDescent="0.35">
      <c r="A1796" s="56" t="s">
        <v>1864</v>
      </c>
      <c r="B1796" s="31"/>
      <c r="C1796" s="54"/>
      <c r="D1796" s="31"/>
      <c r="E1796" s="31"/>
      <c r="F1796" s="31"/>
      <c r="G1796" s="31"/>
      <c r="H1796" s="31"/>
      <c r="I1796" s="31"/>
      <c r="J1796" s="31"/>
      <c r="K1796" s="31"/>
      <c r="L1796" s="31"/>
      <c r="M1796" s="31"/>
      <c r="N1796" s="31"/>
      <c r="O1796" s="31"/>
      <c r="P1796" s="3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E1796" s="57" t="str">
        <f t="shared" si="159"/>
        <v/>
      </c>
      <c r="AF1796" s="18" t="str">
        <f t="shared" si="160"/>
        <v/>
      </c>
      <c r="AG1796" s="18" t="str">
        <f t="shared" si="161"/>
        <v/>
      </c>
      <c r="AH1796" s="18" t="str">
        <f t="shared" si="162"/>
        <v/>
      </c>
      <c r="AI1796" s="18" t="str">
        <f t="shared" si="163"/>
        <v/>
      </c>
      <c r="AJ1796" s="18" t="str">
        <f t="shared" si="164"/>
        <v/>
      </c>
      <c r="AK1796" s="18" t="str">
        <f t="shared" si="165"/>
        <v/>
      </c>
      <c r="AL1796" s="18" t="str">
        <f t="shared" si="166"/>
        <v/>
      </c>
      <c r="AM1796" s="18" t="str">
        <f t="shared" si="167"/>
        <v/>
      </c>
    </row>
    <row r="1797" spans="1:39" x14ac:dyDescent="0.35">
      <c r="A1797" s="56" t="s">
        <v>1865</v>
      </c>
      <c r="B1797" s="31"/>
      <c r="C1797" s="54"/>
      <c r="D1797" s="31"/>
      <c r="E1797" s="31"/>
      <c r="F1797" s="31"/>
      <c r="G1797" s="31"/>
      <c r="H1797" s="31"/>
      <c r="I1797" s="31"/>
      <c r="J1797" s="31"/>
      <c r="K1797" s="31"/>
      <c r="L1797" s="31"/>
      <c r="M1797" s="31"/>
      <c r="N1797" s="31"/>
      <c r="O1797" s="31"/>
      <c r="P1797" s="3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E1797" s="57" t="str">
        <f t="shared" si="159"/>
        <v/>
      </c>
      <c r="AF1797" s="18" t="str">
        <f t="shared" si="160"/>
        <v/>
      </c>
      <c r="AG1797" s="18" t="str">
        <f t="shared" si="161"/>
        <v/>
      </c>
      <c r="AH1797" s="18" t="str">
        <f t="shared" si="162"/>
        <v/>
      </c>
      <c r="AI1797" s="18" t="str">
        <f t="shared" si="163"/>
        <v/>
      </c>
      <c r="AJ1797" s="18" t="str">
        <f t="shared" si="164"/>
        <v/>
      </c>
      <c r="AK1797" s="18" t="str">
        <f t="shared" si="165"/>
        <v/>
      </c>
      <c r="AL1797" s="18" t="str">
        <f t="shared" si="166"/>
        <v/>
      </c>
      <c r="AM1797" s="18" t="str">
        <f t="shared" si="167"/>
        <v/>
      </c>
    </row>
    <row r="1798" spans="1:39" x14ac:dyDescent="0.35">
      <c r="A1798" s="56" t="s">
        <v>1866</v>
      </c>
      <c r="B1798" s="31"/>
      <c r="C1798" s="54"/>
      <c r="D1798" s="31"/>
      <c r="E1798" s="31"/>
      <c r="F1798" s="31"/>
      <c r="G1798" s="31"/>
      <c r="H1798" s="31"/>
      <c r="I1798" s="31"/>
      <c r="J1798" s="31"/>
      <c r="K1798" s="31"/>
      <c r="L1798" s="31"/>
      <c r="M1798" s="31"/>
      <c r="N1798" s="31"/>
      <c r="O1798" s="31"/>
      <c r="P1798" s="3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E1798" s="57" t="str">
        <f t="shared" si="159"/>
        <v/>
      </c>
      <c r="AF1798" s="18" t="str">
        <f t="shared" si="160"/>
        <v/>
      </c>
      <c r="AG1798" s="18" t="str">
        <f t="shared" si="161"/>
        <v/>
      </c>
      <c r="AH1798" s="18" t="str">
        <f t="shared" si="162"/>
        <v/>
      </c>
      <c r="AI1798" s="18" t="str">
        <f t="shared" si="163"/>
        <v/>
      </c>
      <c r="AJ1798" s="18" t="str">
        <f t="shared" si="164"/>
        <v/>
      </c>
      <c r="AK1798" s="18" t="str">
        <f t="shared" si="165"/>
        <v/>
      </c>
      <c r="AL1798" s="18" t="str">
        <f t="shared" si="166"/>
        <v/>
      </c>
      <c r="AM1798" s="18" t="str">
        <f t="shared" si="167"/>
        <v/>
      </c>
    </row>
    <row r="1799" spans="1:39" x14ac:dyDescent="0.35">
      <c r="A1799" s="56" t="s">
        <v>1867</v>
      </c>
      <c r="B1799" s="31"/>
      <c r="C1799" s="54"/>
      <c r="D1799" s="31"/>
      <c r="E1799" s="31"/>
      <c r="F1799" s="31"/>
      <c r="G1799" s="31"/>
      <c r="H1799" s="31"/>
      <c r="I1799" s="31"/>
      <c r="J1799" s="31"/>
      <c r="K1799" s="31"/>
      <c r="L1799" s="31"/>
      <c r="M1799" s="31"/>
      <c r="N1799" s="31"/>
      <c r="O1799" s="31"/>
      <c r="P1799" s="3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E1799" s="57" t="str">
        <f t="shared" si="159"/>
        <v/>
      </c>
      <c r="AF1799" s="18" t="str">
        <f t="shared" si="160"/>
        <v/>
      </c>
      <c r="AG1799" s="18" t="str">
        <f t="shared" si="161"/>
        <v/>
      </c>
      <c r="AH1799" s="18" t="str">
        <f t="shared" si="162"/>
        <v/>
      </c>
      <c r="AI1799" s="18" t="str">
        <f t="shared" si="163"/>
        <v/>
      </c>
      <c r="AJ1799" s="18" t="str">
        <f t="shared" si="164"/>
        <v/>
      </c>
      <c r="AK1799" s="18" t="str">
        <f t="shared" si="165"/>
        <v/>
      </c>
      <c r="AL1799" s="18" t="str">
        <f t="shared" si="166"/>
        <v/>
      </c>
      <c r="AM1799" s="18" t="str">
        <f t="shared" si="167"/>
        <v/>
      </c>
    </row>
    <row r="1800" spans="1:39" x14ac:dyDescent="0.35">
      <c r="A1800" s="56" t="s">
        <v>1868</v>
      </c>
      <c r="B1800" s="31"/>
      <c r="C1800" s="54"/>
      <c r="D1800" s="31"/>
      <c r="E1800" s="31"/>
      <c r="F1800" s="31"/>
      <c r="G1800" s="31"/>
      <c r="H1800" s="31"/>
      <c r="I1800" s="31"/>
      <c r="J1800" s="31"/>
      <c r="K1800" s="31"/>
      <c r="L1800" s="31"/>
      <c r="M1800" s="31"/>
      <c r="N1800" s="31"/>
      <c r="O1800" s="31"/>
      <c r="P1800" s="3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E1800" s="57" t="str">
        <f t="shared" si="159"/>
        <v/>
      </c>
      <c r="AF1800" s="18" t="str">
        <f t="shared" si="160"/>
        <v/>
      </c>
      <c r="AG1800" s="18" t="str">
        <f t="shared" si="161"/>
        <v/>
      </c>
      <c r="AH1800" s="18" t="str">
        <f t="shared" si="162"/>
        <v/>
      </c>
      <c r="AI1800" s="18" t="str">
        <f t="shared" si="163"/>
        <v/>
      </c>
      <c r="AJ1800" s="18" t="str">
        <f t="shared" si="164"/>
        <v/>
      </c>
      <c r="AK1800" s="18" t="str">
        <f t="shared" si="165"/>
        <v/>
      </c>
      <c r="AL1800" s="18" t="str">
        <f t="shared" si="166"/>
        <v/>
      </c>
      <c r="AM1800" s="18" t="str">
        <f t="shared" si="167"/>
        <v/>
      </c>
    </row>
    <row r="1801" spans="1:39" x14ac:dyDescent="0.35">
      <c r="A1801" s="56" t="s">
        <v>1869</v>
      </c>
      <c r="B1801" s="31"/>
      <c r="C1801" s="54"/>
      <c r="D1801" s="31"/>
      <c r="E1801" s="31"/>
      <c r="F1801" s="31"/>
      <c r="G1801" s="31"/>
      <c r="H1801" s="31"/>
      <c r="I1801" s="31"/>
      <c r="J1801" s="31"/>
      <c r="K1801" s="31"/>
      <c r="L1801" s="31"/>
      <c r="M1801" s="31"/>
      <c r="N1801" s="31"/>
      <c r="O1801" s="31"/>
      <c r="P1801" s="3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E1801" s="57" t="str">
        <f t="shared" si="159"/>
        <v/>
      </c>
      <c r="AF1801" s="18" t="str">
        <f t="shared" si="160"/>
        <v/>
      </c>
      <c r="AG1801" s="18" t="str">
        <f t="shared" si="161"/>
        <v/>
      </c>
      <c r="AH1801" s="18" t="str">
        <f t="shared" si="162"/>
        <v/>
      </c>
      <c r="AI1801" s="18" t="str">
        <f t="shared" si="163"/>
        <v/>
      </c>
      <c r="AJ1801" s="18" t="str">
        <f t="shared" si="164"/>
        <v/>
      </c>
      <c r="AK1801" s="18" t="str">
        <f t="shared" si="165"/>
        <v/>
      </c>
      <c r="AL1801" s="18" t="str">
        <f t="shared" si="166"/>
        <v/>
      </c>
      <c r="AM1801" s="18" t="str">
        <f t="shared" si="167"/>
        <v/>
      </c>
    </row>
    <row r="1802" spans="1:39" x14ac:dyDescent="0.35">
      <c r="A1802" s="56" t="s">
        <v>1870</v>
      </c>
      <c r="B1802" s="31"/>
      <c r="C1802" s="54"/>
      <c r="D1802" s="31"/>
      <c r="E1802" s="31"/>
      <c r="F1802" s="31"/>
      <c r="G1802" s="31"/>
      <c r="H1802" s="31"/>
      <c r="I1802" s="31"/>
      <c r="J1802" s="31"/>
      <c r="K1802" s="31"/>
      <c r="L1802" s="31"/>
      <c r="M1802" s="31"/>
      <c r="N1802" s="31"/>
      <c r="O1802" s="31"/>
      <c r="P1802" s="3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E1802" s="57" t="str">
        <f t="shared" si="159"/>
        <v/>
      </c>
      <c r="AF1802" s="18" t="str">
        <f t="shared" si="160"/>
        <v/>
      </c>
      <c r="AG1802" s="18" t="str">
        <f t="shared" si="161"/>
        <v/>
      </c>
      <c r="AH1802" s="18" t="str">
        <f t="shared" si="162"/>
        <v/>
      </c>
      <c r="AI1802" s="18" t="str">
        <f t="shared" si="163"/>
        <v/>
      </c>
      <c r="AJ1802" s="18" t="str">
        <f t="shared" si="164"/>
        <v/>
      </c>
      <c r="AK1802" s="18" t="str">
        <f t="shared" si="165"/>
        <v/>
      </c>
      <c r="AL1802" s="18" t="str">
        <f t="shared" si="166"/>
        <v/>
      </c>
      <c r="AM1802" s="18" t="str">
        <f t="shared" si="167"/>
        <v/>
      </c>
    </row>
    <row r="1803" spans="1:39" x14ac:dyDescent="0.35">
      <c r="A1803" s="56" t="s">
        <v>1871</v>
      </c>
      <c r="B1803" s="31"/>
      <c r="C1803" s="54"/>
      <c r="D1803" s="31"/>
      <c r="E1803" s="31"/>
      <c r="F1803" s="31"/>
      <c r="G1803" s="31"/>
      <c r="H1803" s="31"/>
      <c r="I1803" s="31"/>
      <c r="J1803" s="31"/>
      <c r="K1803" s="31"/>
      <c r="L1803" s="31"/>
      <c r="M1803" s="31"/>
      <c r="N1803" s="31"/>
      <c r="O1803" s="31"/>
      <c r="P1803" s="3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E1803" s="57" t="str">
        <f t="shared" si="159"/>
        <v/>
      </c>
      <c r="AF1803" s="18" t="str">
        <f t="shared" si="160"/>
        <v/>
      </c>
      <c r="AG1803" s="18" t="str">
        <f t="shared" si="161"/>
        <v/>
      </c>
      <c r="AH1803" s="18" t="str">
        <f t="shared" si="162"/>
        <v/>
      </c>
      <c r="AI1803" s="18" t="str">
        <f t="shared" si="163"/>
        <v/>
      </c>
      <c r="AJ1803" s="18" t="str">
        <f t="shared" si="164"/>
        <v/>
      </c>
      <c r="AK1803" s="18" t="str">
        <f t="shared" si="165"/>
        <v/>
      </c>
      <c r="AL1803" s="18" t="str">
        <f t="shared" si="166"/>
        <v/>
      </c>
      <c r="AM1803" s="18" t="str">
        <f t="shared" si="167"/>
        <v/>
      </c>
    </row>
    <row r="1804" spans="1:39" x14ac:dyDescent="0.35">
      <c r="A1804" s="56" t="s">
        <v>1872</v>
      </c>
      <c r="B1804" s="31"/>
      <c r="C1804" s="54"/>
      <c r="D1804" s="31"/>
      <c r="E1804" s="31"/>
      <c r="F1804" s="31"/>
      <c r="G1804" s="31"/>
      <c r="H1804" s="31"/>
      <c r="I1804" s="31"/>
      <c r="J1804" s="31"/>
      <c r="K1804" s="31"/>
      <c r="L1804" s="31"/>
      <c r="M1804" s="31"/>
      <c r="N1804" s="31"/>
      <c r="O1804" s="31"/>
      <c r="P1804" s="3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E1804" s="57" t="str">
        <f t="shared" si="159"/>
        <v/>
      </c>
      <c r="AF1804" s="18" t="str">
        <f t="shared" si="160"/>
        <v/>
      </c>
      <c r="AG1804" s="18" t="str">
        <f t="shared" si="161"/>
        <v/>
      </c>
      <c r="AH1804" s="18" t="str">
        <f t="shared" si="162"/>
        <v/>
      </c>
      <c r="AI1804" s="18" t="str">
        <f t="shared" si="163"/>
        <v/>
      </c>
      <c r="AJ1804" s="18" t="str">
        <f t="shared" si="164"/>
        <v/>
      </c>
      <c r="AK1804" s="18" t="str">
        <f t="shared" si="165"/>
        <v/>
      </c>
      <c r="AL1804" s="18" t="str">
        <f t="shared" si="166"/>
        <v/>
      </c>
      <c r="AM1804" s="18" t="str">
        <f t="shared" si="167"/>
        <v/>
      </c>
    </row>
    <row r="1805" spans="1:39" x14ac:dyDescent="0.35">
      <c r="A1805" s="56" t="s">
        <v>1873</v>
      </c>
      <c r="B1805" s="31"/>
      <c r="C1805" s="54"/>
      <c r="D1805" s="31"/>
      <c r="E1805" s="31"/>
      <c r="F1805" s="31"/>
      <c r="G1805" s="31"/>
      <c r="H1805" s="31"/>
      <c r="I1805" s="31"/>
      <c r="J1805" s="31"/>
      <c r="K1805" s="31"/>
      <c r="L1805" s="31"/>
      <c r="M1805" s="31"/>
      <c r="N1805" s="31"/>
      <c r="O1805" s="31"/>
      <c r="P1805" s="3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E1805" s="57" t="str">
        <f t="shared" si="159"/>
        <v/>
      </c>
      <c r="AF1805" s="18" t="str">
        <f t="shared" si="160"/>
        <v/>
      </c>
      <c r="AG1805" s="18" t="str">
        <f t="shared" si="161"/>
        <v/>
      </c>
      <c r="AH1805" s="18" t="str">
        <f t="shared" si="162"/>
        <v/>
      </c>
      <c r="AI1805" s="18" t="str">
        <f t="shared" si="163"/>
        <v/>
      </c>
      <c r="AJ1805" s="18" t="str">
        <f t="shared" si="164"/>
        <v/>
      </c>
      <c r="AK1805" s="18" t="str">
        <f t="shared" si="165"/>
        <v/>
      </c>
      <c r="AL1805" s="18" t="str">
        <f t="shared" si="166"/>
        <v/>
      </c>
      <c r="AM1805" s="18" t="str">
        <f t="shared" si="167"/>
        <v/>
      </c>
    </row>
    <row r="1806" spans="1:39" x14ac:dyDescent="0.35">
      <c r="A1806" s="56" t="s">
        <v>1874</v>
      </c>
      <c r="B1806" s="31"/>
      <c r="C1806" s="54"/>
      <c r="D1806" s="31"/>
      <c r="E1806" s="31"/>
      <c r="F1806" s="31"/>
      <c r="G1806" s="31"/>
      <c r="H1806" s="31"/>
      <c r="I1806" s="31"/>
      <c r="J1806" s="31"/>
      <c r="K1806" s="31"/>
      <c r="L1806" s="31"/>
      <c r="M1806" s="31"/>
      <c r="N1806" s="31"/>
      <c r="O1806" s="31"/>
      <c r="P1806" s="3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E1806" s="57" t="str">
        <f t="shared" si="159"/>
        <v/>
      </c>
      <c r="AF1806" s="18" t="str">
        <f t="shared" si="160"/>
        <v/>
      </c>
      <c r="AG1806" s="18" t="str">
        <f t="shared" si="161"/>
        <v/>
      </c>
      <c r="AH1806" s="18" t="str">
        <f t="shared" si="162"/>
        <v/>
      </c>
      <c r="AI1806" s="18" t="str">
        <f t="shared" si="163"/>
        <v/>
      </c>
      <c r="AJ1806" s="18" t="str">
        <f t="shared" si="164"/>
        <v/>
      </c>
      <c r="AK1806" s="18" t="str">
        <f t="shared" si="165"/>
        <v/>
      </c>
      <c r="AL1806" s="18" t="str">
        <f t="shared" si="166"/>
        <v/>
      </c>
      <c r="AM1806" s="18" t="str">
        <f t="shared" si="167"/>
        <v/>
      </c>
    </row>
    <row r="1807" spans="1:39" x14ac:dyDescent="0.35">
      <c r="A1807" s="56" t="s">
        <v>1875</v>
      </c>
      <c r="B1807" s="31"/>
      <c r="C1807" s="54"/>
      <c r="D1807" s="31"/>
      <c r="E1807" s="31"/>
      <c r="F1807" s="31"/>
      <c r="G1807" s="31"/>
      <c r="H1807" s="31"/>
      <c r="I1807" s="31"/>
      <c r="J1807" s="31"/>
      <c r="K1807" s="31"/>
      <c r="L1807" s="31"/>
      <c r="M1807" s="31"/>
      <c r="N1807" s="31"/>
      <c r="O1807" s="31"/>
      <c r="P1807" s="3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E1807" s="57" t="str">
        <f t="shared" si="159"/>
        <v/>
      </c>
      <c r="AF1807" s="18" t="str">
        <f t="shared" si="160"/>
        <v/>
      </c>
      <c r="AG1807" s="18" t="str">
        <f t="shared" si="161"/>
        <v/>
      </c>
      <c r="AH1807" s="18" t="str">
        <f t="shared" si="162"/>
        <v/>
      </c>
      <c r="AI1807" s="18" t="str">
        <f t="shared" si="163"/>
        <v/>
      </c>
      <c r="AJ1807" s="18" t="str">
        <f t="shared" si="164"/>
        <v/>
      </c>
      <c r="AK1807" s="18" t="str">
        <f t="shared" si="165"/>
        <v/>
      </c>
      <c r="AL1807" s="18" t="str">
        <f t="shared" si="166"/>
        <v/>
      </c>
      <c r="AM1807" s="18" t="str">
        <f t="shared" si="167"/>
        <v/>
      </c>
    </row>
    <row r="1808" spans="1:39" x14ac:dyDescent="0.35">
      <c r="A1808" s="56" t="s">
        <v>1876</v>
      </c>
      <c r="B1808" s="31"/>
      <c r="C1808" s="54"/>
      <c r="D1808" s="31"/>
      <c r="E1808" s="31"/>
      <c r="F1808" s="31"/>
      <c r="G1808" s="31"/>
      <c r="H1808" s="31"/>
      <c r="I1808" s="31"/>
      <c r="J1808" s="31"/>
      <c r="K1808" s="31"/>
      <c r="L1808" s="31"/>
      <c r="M1808" s="31"/>
      <c r="N1808" s="31"/>
      <c r="O1808" s="31"/>
      <c r="P1808" s="3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E1808" s="57" t="str">
        <f t="shared" si="159"/>
        <v/>
      </c>
      <c r="AF1808" s="18" t="str">
        <f t="shared" si="160"/>
        <v/>
      </c>
      <c r="AG1808" s="18" t="str">
        <f t="shared" si="161"/>
        <v/>
      </c>
      <c r="AH1808" s="18" t="str">
        <f t="shared" si="162"/>
        <v/>
      </c>
      <c r="AI1808" s="18" t="str">
        <f t="shared" si="163"/>
        <v/>
      </c>
      <c r="AJ1808" s="18" t="str">
        <f t="shared" si="164"/>
        <v/>
      </c>
      <c r="AK1808" s="18" t="str">
        <f t="shared" si="165"/>
        <v/>
      </c>
      <c r="AL1808" s="18" t="str">
        <f t="shared" si="166"/>
        <v/>
      </c>
      <c r="AM1808" s="18" t="str">
        <f t="shared" si="167"/>
        <v/>
      </c>
    </row>
    <row r="1809" spans="1:39" x14ac:dyDescent="0.35">
      <c r="A1809" s="56" t="s">
        <v>1877</v>
      </c>
      <c r="B1809" s="31"/>
      <c r="C1809" s="54"/>
      <c r="D1809" s="31"/>
      <c r="E1809" s="31"/>
      <c r="F1809" s="31"/>
      <c r="G1809" s="31"/>
      <c r="H1809" s="31"/>
      <c r="I1809" s="31"/>
      <c r="J1809" s="31"/>
      <c r="K1809" s="31"/>
      <c r="L1809" s="31"/>
      <c r="M1809" s="31"/>
      <c r="N1809" s="31"/>
      <c r="O1809" s="31"/>
      <c r="P1809" s="3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E1809" s="57" t="str">
        <f t="shared" si="159"/>
        <v/>
      </c>
      <c r="AF1809" s="18" t="str">
        <f t="shared" si="160"/>
        <v/>
      </c>
      <c r="AG1809" s="18" t="str">
        <f t="shared" si="161"/>
        <v/>
      </c>
      <c r="AH1809" s="18" t="str">
        <f t="shared" si="162"/>
        <v/>
      </c>
      <c r="AI1809" s="18" t="str">
        <f t="shared" si="163"/>
        <v/>
      </c>
      <c r="AJ1809" s="18" t="str">
        <f t="shared" si="164"/>
        <v/>
      </c>
      <c r="AK1809" s="18" t="str">
        <f t="shared" si="165"/>
        <v/>
      </c>
      <c r="AL1809" s="18" t="str">
        <f t="shared" si="166"/>
        <v/>
      </c>
      <c r="AM1809" s="18" t="str">
        <f t="shared" si="167"/>
        <v/>
      </c>
    </row>
    <row r="1810" spans="1:39" x14ac:dyDescent="0.35">
      <c r="A1810" s="56" t="s">
        <v>1878</v>
      </c>
      <c r="B1810" s="31"/>
      <c r="C1810" s="54"/>
      <c r="D1810" s="31"/>
      <c r="E1810" s="31"/>
      <c r="F1810" s="31"/>
      <c r="G1810" s="31"/>
      <c r="H1810" s="31"/>
      <c r="I1810" s="31"/>
      <c r="J1810" s="31"/>
      <c r="K1810" s="31"/>
      <c r="L1810" s="31"/>
      <c r="M1810" s="31"/>
      <c r="N1810" s="31"/>
      <c r="O1810" s="31"/>
      <c r="P1810" s="3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E1810" s="57" t="str">
        <f t="shared" si="159"/>
        <v/>
      </c>
      <c r="AF1810" s="18" t="str">
        <f t="shared" si="160"/>
        <v/>
      </c>
      <c r="AG1810" s="18" t="str">
        <f t="shared" si="161"/>
        <v/>
      </c>
      <c r="AH1810" s="18" t="str">
        <f t="shared" si="162"/>
        <v/>
      </c>
      <c r="AI1810" s="18" t="str">
        <f t="shared" si="163"/>
        <v/>
      </c>
      <c r="AJ1810" s="18" t="str">
        <f t="shared" si="164"/>
        <v/>
      </c>
      <c r="AK1810" s="18" t="str">
        <f t="shared" si="165"/>
        <v/>
      </c>
      <c r="AL1810" s="18" t="str">
        <f t="shared" si="166"/>
        <v/>
      </c>
      <c r="AM1810" s="18" t="str">
        <f t="shared" si="167"/>
        <v/>
      </c>
    </row>
    <row r="1811" spans="1:39" x14ac:dyDescent="0.35">
      <c r="A1811" s="56" t="s">
        <v>1879</v>
      </c>
      <c r="B1811" s="31"/>
      <c r="C1811" s="54"/>
      <c r="D1811" s="31"/>
      <c r="E1811" s="31"/>
      <c r="F1811" s="31"/>
      <c r="G1811" s="31"/>
      <c r="H1811" s="31"/>
      <c r="I1811" s="31"/>
      <c r="J1811" s="31"/>
      <c r="K1811" s="31"/>
      <c r="L1811" s="31"/>
      <c r="M1811" s="31"/>
      <c r="N1811" s="31"/>
      <c r="O1811" s="31"/>
      <c r="P1811" s="3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E1811" s="57" t="str">
        <f t="shared" si="159"/>
        <v/>
      </c>
      <c r="AF1811" s="18" t="str">
        <f t="shared" si="160"/>
        <v/>
      </c>
      <c r="AG1811" s="18" t="str">
        <f t="shared" si="161"/>
        <v/>
      </c>
      <c r="AH1811" s="18" t="str">
        <f t="shared" si="162"/>
        <v/>
      </c>
      <c r="AI1811" s="18" t="str">
        <f t="shared" si="163"/>
        <v/>
      </c>
      <c r="AJ1811" s="18" t="str">
        <f t="shared" si="164"/>
        <v/>
      </c>
      <c r="AK1811" s="18" t="str">
        <f t="shared" si="165"/>
        <v/>
      </c>
      <c r="AL1811" s="18" t="str">
        <f t="shared" si="166"/>
        <v/>
      </c>
      <c r="AM1811" s="18" t="str">
        <f t="shared" si="167"/>
        <v/>
      </c>
    </row>
    <row r="1812" spans="1:39" x14ac:dyDescent="0.35">
      <c r="A1812" s="56" t="s">
        <v>1880</v>
      </c>
      <c r="B1812" s="31"/>
      <c r="C1812" s="54"/>
      <c r="D1812" s="31"/>
      <c r="E1812" s="31"/>
      <c r="F1812" s="31"/>
      <c r="G1812" s="31"/>
      <c r="H1812" s="31"/>
      <c r="I1812" s="31"/>
      <c r="J1812" s="31"/>
      <c r="K1812" s="31"/>
      <c r="L1812" s="31"/>
      <c r="M1812" s="31"/>
      <c r="N1812" s="31"/>
      <c r="O1812" s="31"/>
      <c r="P1812" s="3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E1812" s="57" t="str">
        <f t="shared" si="159"/>
        <v/>
      </c>
      <c r="AF1812" s="18" t="str">
        <f t="shared" si="160"/>
        <v/>
      </c>
      <c r="AG1812" s="18" t="str">
        <f t="shared" si="161"/>
        <v/>
      </c>
      <c r="AH1812" s="18" t="str">
        <f t="shared" si="162"/>
        <v/>
      </c>
      <c r="AI1812" s="18" t="str">
        <f t="shared" si="163"/>
        <v/>
      </c>
      <c r="AJ1812" s="18" t="str">
        <f t="shared" si="164"/>
        <v/>
      </c>
      <c r="AK1812" s="18" t="str">
        <f t="shared" si="165"/>
        <v/>
      </c>
      <c r="AL1812" s="18" t="str">
        <f t="shared" si="166"/>
        <v/>
      </c>
      <c r="AM1812" s="18" t="str">
        <f t="shared" si="167"/>
        <v/>
      </c>
    </row>
    <row r="1813" spans="1:39" x14ac:dyDescent="0.35">
      <c r="A1813" s="56" t="s">
        <v>1881</v>
      </c>
      <c r="B1813" s="31"/>
      <c r="C1813" s="54"/>
      <c r="D1813" s="31"/>
      <c r="E1813" s="31"/>
      <c r="F1813" s="31"/>
      <c r="G1813" s="31"/>
      <c r="H1813" s="31"/>
      <c r="I1813" s="31"/>
      <c r="J1813" s="31"/>
      <c r="K1813" s="31"/>
      <c r="L1813" s="31"/>
      <c r="M1813" s="31"/>
      <c r="N1813" s="31"/>
      <c r="O1813" s="31"/>
      <c r="P1813" s="3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E1813" s="57" t="str">
        <f t="shared" si="159"/>
        <v/>
      </c>
      <c r="AF1813" s="18" t="str">
        <f t="shared" si="160"/>
        <v/>
      </c>
      <c r="AG1813" s="18" t="str">
        <f t="shared" si="161"/>
        <v/>
      </c>
      <c r="AH1813" s="18" t="str">
        <f t="shared" si="162"/>
        <v/>
      </c>
      <c r="AI1813" s="18" t="str">
        <f t="shared" si="163"/>
        <v/>
      </c>
      <c r="AJ1813" s="18" t="str">
        <f t="shared" si="164"/>
        <v/>
      </c>
      <c r="AK1813" s="18" t="str">
        <f t="shared" si="165"/>
        <v/>
      </c>
      <c r="AL1813" s="18" t="str">
        <f t="shared" si="166"/>
        <v/>
      </c>
      <c r="AM1813" s="18" t="str">
        <f t="shared" si="167"/>
        <v/>
      </c>
    </row>
    <row r="1814" spans="1:39" x14ac:dyDescent="0.35">
      <c r="A1814" s="56" t="s">
        <v>1882</v>
      </c>
      <c r="B1814" s="31"/>
      <c r="C1814" s="54"/>
      <c r="D1814" s="31"/>
      <c r="E1814" s="31"/>
      <c r="F1814" s="31"/>
      <c r="G1814" s="31"/>
      <c r="H1814" s="31"/>
      <c r="I1814" s="31"/>
      <c r="J1814" s="31"/>
      <c r="K1814" s="31"/>
      <c r="L1814" s="31"/>
      <c r="M1814" s="31"/>
      <c r="N1814" s="31"/>
      <c r="O1814" s="31"/>
      <c r="P1814" s="3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E1814" s="57" t="str">
        <f t="shared" si="159"/>
        <v/>
      </c>
      <c r="AF1814" s="18" t="str">
        <f t="shared" si="160"/>
        <v/>
      </c>
      <c r="AG1814" s="18" t="str">
        <f t="shared" si="161"/>
        <v/>
      </c>
      <c r="AH1814" s="18" t="str">
        <f t="shared" si="162"/>
        <v/>
      </c>
      <c r="AI1814" s="18" t="str">
        <f t="shared" si="163"/>
        <v/>
      </c>
      <c r="AJ1814" s="18" t="str">
        <f t="shared" si="164"/>
        <v/>
      </c>
      <c r="AK1814" s="18" t="str">
        <f t="shared" si="165"/>
        <v/>
      </c>
      <c r="AL1814" s="18" t="str">
        <f t="shared" si="166"/>
        <v/>
      </c>
      <c r="AM1814" s="18" t="str">
        <f t="shared" si="167"/>
        <v/>
      </c>
    </row>
    <row r="1815" spans="1:39" x14ac:dyDescent="0.35">
      <c r="A1815" s="56" t="s">
        <v>1883</v>
      </c>
      <c r="B1815" s="31"/>
      <c r="C1815" s="54"/>
      <c r="D1815" s="31"/>
      <c r="E1815" s="31"/>
      <c r="F1815" s="31"/>
      <c r="G1815" s="31"/>
      <c r="H1815" s="31"/>
      <c r="I1815" s="31"/>
      <c r="J1815" s="31"/>
      <c r="K1815" s="31"/>
      <c r="L1815" s="31"/>
      <c r="M1815" s="31"/>
      <c r="N1815" s="31"/>
      <c r="O1815" s="31"/>
      <c r="P1815" s="3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E1815" s="57" t="str">
        <f t="shared" si="159"/>
        <v/>
      </c>
      <c r="AF1815" s="18" t="str">
        <f t="shared" si="160"/>
        <v/>
      </c>
      <c r="AG1815" s="18" t="str">
        <f t="shared" si="161"/>
        <v/>
      </c>
      <c r="AH1815" s="18" t="str">
        <f t="shared" si="162"/>
        <v/>
      </c>
      <c r="AI1815" s="18" t="str">
        <f t="shared" si="163"/>
        <v/>
      </c>
      <c r="AJ1815" s="18" t="str">
        <f t="shared" si="164"/>
        <v/>
      </c>
      <c r="AK1815" s="18" t="str">
        <f t="shared" si="165"/>
        <v/>
      </c>
      <c r="AL1815" s="18" t="str">
        <f t="shared" si="166"/>
        <v/>
      </c>
      <c r="AM1815" s="18" t="str">
        <f t="shared" si="167"/>
        <v/>
      </c>
    </row>
    <row r="1816" spans="1:39" x14ac:dyDescent="0.35">
      <c r="A1816" s="56" t="s">
        <v>1884</v>
      </c>
      <c r="B1816" s="31"/>
      <c r="C1816" s="54"/>
      <c r="D1816" s="31"/>
      <c r="E1816" s="31"/>
      <c r="F1816" s="31"/>
      <c r="G1816" s="31"/>
      <c r="H1816" s="31"/>
      <c r="I1816" s="31"/>
      <c r="J1816" s="31"/>
      <c r="K1816" s="31"/>
      <c r="L1816" s="31"/>
      <c r="M1816" s="31"/>
      <c r="N1816" s="31"/>
      <c r="O1816" s="31"/>
      <c r="P1816" s="3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E1816" s="57" t="str">
        <f t="shared" si="159"/>
        <v/>
      </c>
      <c r="AF1816" s="18" t="str">
        <f t="shared" si="160"/>
        <v/>
      </c>
      <c r="AG1816" s="18" t="str">
        <f t="shared" si="161"/>
        <v/>
      </c>
      <c r="AH1816" s="18" t="str">
        <f t="shared" si="162"/>
        <v/>
      </c>
      <c r="AI1816" s="18" t="str">
        <f t="shared" si="163"/>
        <v/>
      </c>
      <c r="AJ1816" s="18" t="str">
        <f t="shared" si="164"/>
        <v/>
      </c>
      <c r="AK1816" s="18" t="str">
        <f t="shared" si="165"/>
        <v/>
      </c>
      <c r="AL1816" s="18" t="str">
        <f t="shared" si="166"/>
        <v/>
      </c>
      <c r="AM1816" s="18" t="str">
        <f t="shared" si="167"/>
        <v/>
      </c>
    </row>
    <row r="1817" spans="1:39" x14ac:dyDescent="0.35">
      <c r="A1817" s="56" t="s">
        <v>1885</v>
      </c>
      <c r="B1817" s="31"/>
      <c r="C1817" s="54"/>
      <c r="D1817" s="31"/>
      <c r="E1817" s="31"/>
      <c r="F1817" s="31"/>
      <c r="G1817" s="31"/>
      <c r="H1817" s="31"/>
      <c r="I1817" s="31"/>
      <c r="J1817" s="31"/>
      <c r="K1817" s="31"/>
      <c r="L1817" s="31"/>
      <c r="M1817" s="31"/>
      <c r="N1817" s="31"/>
      <c r="O1817" s="31"/>
      <c r="P1817" s="3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E1817" s="57" t="str">
        <f t="shared" si="159"/>
        <v/>
      </c>
      <c r="AF1817" s="18" t="str">
        <f t="shared" si="160"/>
        <v/>
      </c>
      <c r="AG1817" s="18" t="str">
        <f t="shared" si="161"/>
        <v/>
      </c>
      <c r="AH1817" s="18" t="str">
        <f t="shared" si="162"/>
        <v/>
      </c>
      <c r="AI1817" s="18" t="str">
        <f t="shared" si="163"/>
        <v/>
      </c>
      <c r="AJ1817" s="18" t="str">
        <f t="shared" si="164"/>
        <v/>
      </c>
      <c r="AK1817" s="18" t="str">
        <f t="shared" si="165"/>
        <v/>
      </c>
      <c r="AL1817" s="18" t="str">
        <f t="shared" si="166"/>
        <v/>
      </c>
      <c r="AM1817" s="18" t="str">
        <f t="shared" si="167"/>
        <v/>
      </c>
    </row>
    <row r="1818" spans="1:39" x14ac:dyDescent="0.35">
      <c r="A1818" s="56" t="s">
        <v>1886</v>
      </c>
      <c r="B1818" s="31"/>
      <c r="C1818" s="54"/>
      <c r="D1818" s="31"/>
      <c r="E1818" s="31"/>
      <c r="F1818" s="31"/>
      <c r="G1818" s="31"/>
      <c r="H1818" s="31"/>
      <c r="I1818" s="31"/>
      <c r="J1818" s="31"/>
      <c r="K1818" s="31"/>
      <c r="L1818" s="31"/>
      <c r="M1818" s="31"/>
      <c r="N1818" s="31"/>
      <c r="O1818" s="31"/>
      <c r="P1818" s="3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E1818" s="57" t="str">
        <f t="shared" si="159"/>
        <v/>
      </c>
      <c r="AF1818" s="18" t="str">
        <f t="shared" si="160"/>
        <v/>
      </c>
      <c r="AG1818" s="18" t="str">
        <f t="shared" si="161"/>
        <v/>
      </c>
      <c r="AH1818" s="18" t="str">
        <f t="shared" si="162"/>
        <v/>
      </c>
      <c r="AI1818" s="18" t="str">
        <f t="shared" si="163"/>
        <v/>
      </c>
      <c r="AJ1818" s="18" t="str">
        <f t="shared" si="164"/>
        <v/>
      </c>
      <c r="AK1818" s="18" t="str">
        <f t="shared" si="165"/>
        <v/>
      </c>
      <c r="AL1818" s="18" t="str">
        <f t="shared" si="166"/>
        <v/>
      </c>
      <c r="AM1818" s="18" t="str">
        <f t="shared" si="167"/>
        <v/>
      </c>
    </row>
    <row r="1819" spans="1:39" x14ac:dyDescent="0.35">
      <c r="A1819" s="56" t="s">
        <v>1887</v>
      </c>
      <c r="B1819" s="31"/>
      <c r="C1819" s="54"/>
      <c r="D1819" s="31"/>
      <c r="E1819" s="31"/>
      <c r="F1819" s="31"/>
      <c r="G1819" s="31"/>
      <c r="H1819" s="31"/>
      <c r="I1819" s="31"/>
      <c r="J1819" s="31"/>
      <c r="K1819" s="31"/>
      <c r="L1819" s="31"/>
      <c r="M1819" s="31"/>
      <c r="N1819" s="31"/>
      <c r="O1819" s="31"/>
      <c r="P1819" s="3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E1819" s="57" t="str">
        <f t="shared" si="159"/>
        <v/>
      </c>
      <c r="AF1819" s="18" t="str">
        <f t="shared" si="160"/>
        <v/>
      </c>
      <c r="AG1819" s="18" t="str">
        <f t="shared" si="161"/>
        <v/>
      </c>
      <c r="AH1819" s="18" t="str">
        <f t="shared" si="162"/>
        <v/>
      </c>
      <c r="AI1819" s="18" t="str">
        <f t="shared" si="163"/>
        <v/>
      </c>
      <c r="AJ1819" s="18" t="str">
        <f t="shared" si="164"/>
        <v/>
      </c>
      <c r="AK1819" s="18" t="str">
        <f t="shared" si="165"/>
        <v/>
      </c>
      <c r="AL1819" s="18" t="str">
        <f t="shared" si="166"/>
        <v/>
      </c>
      <c r="AM1819" s="18" t="str">
        <f t="shared" si="167"/>
        <v/>
      </c>
    </row>
    <row r="1820" spans="1:39" x14ac:dyDescent="0.35">
      <c r="A1820" s="56" t="s">
        <v>1888</v>
      </c>
      <c r="B1820" s="31"/>
      <c r="C1820" s="54"/>
      <c r="D1820" s="31"/>
      <c r="E1820" s="31"/>
      <c r="F1820" s="31"/>
      <c r="G1820" s="31"/>
      <c r="H1820" s="31"/>
      <c r="I1820" s="31"/>
      <c r="J1820" s="31"/>
      <c r="K1820" s="31"/>
      <c r="L1820" s="31"/>
      <c r="M1820" s="31"/>
      <c r="N1820" s="31"/>
      <c r="O1820" s="31"/>
      <c r="P1820" s="3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E1820" s="57" t="str">
        <f t="shared" si="159"/>
        <v/>
      </c>
      <c r="AF1820" s="18" t="str">
        <f t="shared" si="160"/>
        <v/>
      </c>
      <c r="AG1820" s="18" t="str">
        <f t="shared" si="161"/>
        <v/>
      </c>
      <c r="AH1820" s="18" t="str">
        <f t="shared" si="162"/>
        <v/>
      </c>
      <c r="AI1820" s="18" t="str">
        <f t="shared" si="163"/>
        <v/>
      </c>
      <c r="AJ1820" s="18" t="str">
        <f t="shared" si="164"/>
        <v/>
      </c>
      <c r="AK1820" s="18" t="str">
        <f t="shared" si="165"/>
        <v/>
      </c>
      <c r="AL1820" s="18" t="str">
        <f t="shared" si="166"/>
        <v/>
      </c>
      <c r="AM1820" s="18" t="str">
        <f t="shared" si="167"/>
        <v/>
      </c>
    </row>
    <row r="1821" spans="1:39" x14ac:dyDescent="0.35">
      <c r="A1821" s="56" t="s">
        <v>1889</v>
      </c>
      <c r="B1821" s="31"/>
      <c r="C1821" s="54"/>
      <c r="D1821" s="31"/>
      <c r="E1821" s="31"/>
      <c r="F1821" s="31"/>
      <c r="G1821" s="31"/>
      <c r="H1821" s="31"/>
      <c r="I1821" s="31"/>
      <c r="J1821" s="31"/>
      <c r="K1821" s="31"/>
      <c r="L1821" s="31"/>
      <c r="M1821" s="31"/>
      <c r="N1821" s="31"/>
      <c r="O1821" s="31"/>
      <c r="P1821" s="3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E1821" s="57" t="str">
        <f t="shared" si="159"/>
        <v/>
      </c>
      <c r="AF1821" s="18" t="str">
        <f t="shared" si="160"/>
        <v/>
      </c>
      <c r="AG1821" s="18" t="str">
        <f t="shared" si="161"/>
        <v/>
      </c>
      <c r="AH1821" s="18" t="str">
        <f t="shared" si="162"/>
        <v/>
      </c>
      <c r="AI1821" s="18" t="str">
        <f t="shared" si="163"/>
        <v/>
      </c>
      <c r="AJ1821" s="18" t="str">
        <f t="shared" si="164"/>
        <v/>
      </c>
      <c r="AK1821" s="18" t="str">
        <f t="shared" si="165"/>
        <v/>
      </c>
      <c r="AL1821" s="18" t="str">
        <f t="shared" si="166"/>
        <v/>
      </c>
      <c r="AM1821" s="18" t="str">
        <f t="shared" si="167"/>
        <v/>
      </c>
    </row>
    <row r="1822" spans="1:39" x14ac:dyDescent="0.35">
      <c r="A1822" s="56" t="s">
        <v>1890</v>
      </c>
      <c r="B1822" s="31"/>
      <c r="C1822" s="54"/>
      <c r="D1822" s="31"/>
      <c r="E1822" s="31"/>
      <c r="F1822" s="31"/>
      <c r="G1822" s="31"/>
      <c r="H1822" s="31"/>
      <c r="I1822" s="31"/>
      <c r="J1822" s="31"/>
      <c r="K1822" s="31"/>
      <c r="L1822" s="31"/>
      <c r="M1822" s="31"/>
      <c r="N1822" s="31"/>
      <c r="O1822" s="31"/>
      <c r="P1822" s="3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E1822" s="57" t="str">
        <f t="shared" si="159"/>
        <v/>
      </c>
      <c r="AF1822" s="18" t="str">
        <f t="shared" si="160"/>
        <v/>
      </c>
      <c r="AG1822" s="18" t="str">
        <f t="shared" si="161"/>
        <v/>
      </c>
      <c r="AH1822" s="18" t="str">
        <f t="shared" si="162"/>
        <v/>
      </c>
      <c r="AI1822" s="18" t="str">
        <f t="shared" si="163"/>
        <v/>
      </c>
      <c r="AJ1822" s="18" t="str">
        <f t="shared" si="164"/>
        <v/>
      </c>
      <c r="AK1822" s="18" t="str">
        <f t="shared" si="165"/>
        <v/>
      </c>
      <c r="AL1822" s="18" t="str">
        <f t="shared" si="166"/>
        <v/>
      </c>
      <c r="AM1822" s="18" t="str">
        <f t="shared" si="167"/>
        <v/>
      </c>
    </row>
    <row r="1823" spans="1:39" x14ac:dyDescent="0.35">
      <c r="A1823" s="56" t="s">
        <v>1891</v>
      </c>
      <c r="B1823" s="31"/>
      <c r="C1823" s="54"/>
      <c r="D1823" s="31"/>
      <c r="E1823" s="31"/>
      <c r="F1823" s="31"/>
      <c r="G1823" s="31"/>
      <c r="H1823" s="31"/>
      <c r="I1823" s="31"/>
      <c r="J1823" s="31"/>
      <c r="K1823" s="31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E1823" s="57" t="str">
        <f t="shared" si="159"/>
        <v/>
      </c>
      <c r="AF1823" s="18" t="str">
        <f t="shared" si="160"/>
        <v/>
      </c>
      <c r="AG1823" s="18" t="str">
        <f t="shared" si="161"/>
        <v/>
      </c>
      <c r="AH1823" s="18" t="str">
        <f t="shared" si="162"/>
        <v/>
      </c>
      <c r="AI1823" s="18" t="str">
        <f t="shared" si="163"/>
        <v/>
      </c>
      <c r="AJ1823" s="18" t="str">
        <f t="shared" si="164"/>
        <v/>
      </c>
      <c r="AK1823" s="18" t="str">
        <f t="shared" si="165"/>
        <v/>
      </c>
      <c r="AL1823" s="18" t="str">
        <f t="shared" si="166"/>
        <v/>
      </c>
      <c r="AM1823" s="18" t="str">
        <f t="shared" si="167"/>
        <v/>
      </c>
    </row>
    <row r="1824" spans="1:39" x14ac:dyDescent="0.35">
      <c r="A1824" s="56" t="s">
        <v>1892</v>
      </c>
      <c r="B1824" s="31"/>
      <c r="C1824" s="54"/>
      <c r="D1824" s="31"/>
      <c r="E1824" s="31"/>
      <c r="F1824" s="31"/>
      <c r="G1824" s="31"/>
      <c r="H1824" s="31"/>
      <c r="I1824" s="31"/>
      <c r="J1824" s="31"/>
      <c r="K1824" s="31"/>
      <c r="L1824" s="31"/>
      <c r="M1824" s="31"/>
      <c r="N1824" s="31"/>
      <c r="O1824" s="31"/>
      <c r="P1824" s="3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E1824" s="57" t="str">
        <f t="shared" si="159"/>
        <v/>
      </c>
      <c r="AF1824" s="18" t="str">
        <f t="shared" si="160"/>
        <v/>
      </c>
      <c r="AG1824" s="18" t="str">
        <f t="shared" si="161"/>
        <v/>
      </c>
      <c r="AH1824" s="18" t="str">
        <f t="shared" si="162"/>
        <v/>
      </c>
      <c r="AI1824" s="18" t="str">
        <f t="shared" si="163"/>
        <v/>
      </c>
      <c r="AJ1824" s="18" t="str">
        <f t="shared" si="164"/>
        <v/>
      </c>
      <c r="AK1824" s="18" t="str">
        <f t="shared" si="165"/>
        <v/>
      </c>
      <c r="AL1824" s="18" t="str">
        <f t="shared" si="166"/>
        <v/>
      </c>
      <c r="AM1824" s="18" t="str">
        <f t="shared" si="167"/>
        <v/>
      </c>
    </row>
    <row r="1825" spans="1:39" x14ac:dyDescent="0.35">
      <c r="A1825" s="56" t="s">
        <v>1893</v>
      </c>
      <c r="B1825" s="31"/>
      <c r="C1825" s="54"/>
      <c r="D1825" s="31"/>
      <c r="E1825" s="31"/>
      <c r="F1825" s="31"/>
      <c r="G1825" s="31"/>
      <c r="H1825" s="31"/>
      <c r="I1825" s="31"/>
      <c r="J1825" s="31"/>
      <c r="K1825" s="31"/>
      <c r="L1825" s="31"/>
      <c r="M1825" s="31"/>
      <c r="N1825" s="31"/>
      <c r="O1825" s="31"/>
      <c r="P1825" s="3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E1825" s="57" t="str">
        <f t="shared" si="159"/>
        <v/>
      </c>
      <c r="AF1825" s="18" t="str">
        <f t="shared" si="160"/>
        <v/>
      </c>
      <c r="AG1825" s="18" t="str">
        <f t="shared" si="161"/>
        <v/>
      </c>
      <c r="AH1825" s="18" t="str">
        <f t="shared" si="162"/>
        <v/>
      </c>
      <c r="AI1825" s="18" t="str">
        <f t="shared" si="163"/>
        <v/>
      </c>
      <c r="AJ1825" s="18" t="str">
        <f t="shared" si="164"/>
        <v/>
      </c>
      <c r="AK1825" s="18" t="str">
        <f t="shared" si="165"/>
        <v/>
      </c>
      <c r="AL1825" s="18" t="str">
        <f t="shared" si="166"/>
        <v/>
      </c>
      <c r="AM1825" s="18" t="str">
        <f t="shared" si="167"/>
        <v/>
      </c>
    </row>
    <row r="1826" spans="1:39" x14ac:dyDescent="0.35">
      <c r="A1826" s="56" t="s">
        <v>1894</v>
      </c>
      <c r="B1826" s="31"/>
      <c r="C1826" s="54"/>
      <c r="D1826" s="31"/>
      <c r="E1826" s="31"/>
      <c r="F1826" s="31"/>
      <c r="G1826" s="31"/>
      <c r="H1826" s="31"/>
      <c r="I1826" s="31"/>
      <c r="J1826" s="31"/>
      <c r="K1826" s="31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E1826" s="57" t="str">
        <f t="shared" si="159"/>
        <v/>
      </c>
      <c r="AF1826" s="18" t="str">
        <f t="shared" si="160"/>
        <v/>
      </c>
      <c r="AG1826" s="18" t="str">
        <f t="shared" si="161"/>
        <v/>
      </c>
      <c r="AH1826" s="18" t="str">
        <f t="shared" si="162"/>
        <v/>
      </c>
      <c r="AI1826" s="18" t="str">
        <f t="shared" si="163"/>
        <v/>
      </c>
      <c r="AJ1826" s="18" t="str">
        <f t="shared" si="164"/>
        <v/>
      </c>
      <c r="AK1826" s="18" t="str">
        <f t="shared" si="165"/>
        <v/>
      </c>
      <c r="AL1826" s="18" t="str">
        <f t="shared" si="166"/>
        <v/>
      </c>
      <c r="AM1826" s="18" t="str">
        <f t="shared" si="167"/>
        <v/>
      </c>
    </row>
    <row r="1827" spans="1:39" x14ac:dyDescent="0.35">
      <c r="A1827" s="56" t="s">
        <v>1895</v>
      </c>
      <c r="B1827" s="31"/>
      <c r="C1827" s="54"/>
      <c r="D1827" s="31"/>
      <c r="E1827" s="31"/>
      <c r="F1827" s="31"/>
      <c r="G1827" s="31"/>
      <c r="H1827" s="31"/>
      <c r="I1827" s="31"/>
      <c r="J1827" s="31"/>
      <c r="K1827" s="31"/>
      <c r="L1827" s="31"/>
      <c r="M1827" s="31"/>
      <c r="N1827" s="31"/>
      <c r="O1827" s="31"/>
      <c r="P1827" s="3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E1827" s="57" t="str">
        <f t="shared" si="159"/>
        <v/>
      </c>
      <c r="AF1827" s="18" t="str">
        <f t="shared" si="160"/>
        <v/>
      </c>
      <c r="AG1827" s="18" t="str">
        <f t="shared" si="161"/>
        <v/>
      </c>
      <c r="AH1827" s="18" t="str">
        <f t="shared" si="162"/>
        <v/>
      </c>
      <c r="AI1827" s="18" t="str">
        <f t="shared" si="163"/>
        <v/>
      </c>
      <c r="AJ1827" s="18" t="str">
        <f t="shared" si="164"/>
        <v/>
      </c>
      <c r="AK1827" s="18" t="str">
        <f t="shared" si="165"/>
        <v/>
      </c>
      <c r="AL1827" s="18" t="str">
        <f t="shared" si="166"/>
        <v/>
      </c>
      <c r="AM1827" s="18" t="str">
        <f t="shared" si="167"/>
        <v/>
      </c>
    </row>
    <row r="1828" spans="1:39" x14ac:dyDescent="0.35">
      <c r="A1828" s="56" t="s">
        <v>1896</v>
      </c>
      <c r="B1828" s="31"/>
      <c r="C1828" s="54"/>
      <c r="D1828" s="31"/>
      <c r="E1828" s="31"/>
      <c r="F1828" s="31"/>
      <c r="G1828" s="31"/>
      <c r="H1828" s="31"/>
      <c r="I1828" s="31"/>
      <c r="J1828" s="31"/>
      <c r="K1828" s="31"/>
      <c r="L1828" s="31"/>
      <c r="M1828" s="31"/>
      <c r="N1828" s="31"/>
      <c r="O1828" s="31"/>
      <c r="P1828" s="3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E1828" s="57" t="str">
        <f t="shared" si="159"/>
        <v/>
      </c>
      <c r="AF1828" s="18" t="str">
        <f t="shared" si="160"/>
        <v/>
      </c>
      <c r="AG1828" s="18" t="str">
        <f t="shared" si="161"/>
        <v/>
      </c>
      <c r="AH1828" s="18" t="str">
        <f t="shared" si="162"/>
        <v/>
      </c>
      <c r="AI1828" s="18" t="str">
        <f t="shared" si="163"/>
        <v/>
      </c>
      <c r="AJ1828" s="18" t="str">
        <f t="shared" si="164"/>
        <v/>
      </c>
      <c r="AK1828" s="18" t="str">
        <f t="shared" si="165"/>
        <v/>
      </c>
      <c r="AL1828" s="18" t="str">
        <f t="shared" si="166"/>
        <v/>
      </c>
      <c r="AM1828" s="18" t="str">
        <f t="shared" si="167"/>
        <v/>
      </c>
    </row>
    <row r="1829" spans="1:39" x14ac:dyDescent="0.35">
      <c r="A1829" s="56" t="s">
        <v>1897</v>
      </c>
      <c r="B1829" s="31"/>
      <c r="C1829" s="54"/>
      <c r="D1829" s="31"/>
      <c r="E1829" s="31"/>
      <c r="F1829" s="31"/>
      <c r="G1829" s="31"/>
      <c r="H1829" s="31"/>
      <c r="I1829" s="31"/>
      <c r="J1829" s="31"/>
      <c r="K1829" s="31"/>
      <c r="L1829" s="31"/>
      <c r="M1829" s="31"/>
      <c r="N1829" s="31"/>
      <c r="O1829" s="31"/>
      <c r="P1829" s="3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E1829" s="57" t="str">
        <f t="shared" si="159"/>
        <v/>
      </c>
      <c r="AF1829" s="18" t="str">
        <f t="shared" si="160"/>
        <v/>
      </c>
      <c r="AG1829" s="18" t="str">
        <f t="shared" si="161"/>
        <v/>
      </c>
      <c r="AH1829" s="18" t="str">
        <f t="shared" si="162"/>
        <v/>
      </c>
      <c r="AI1829" s="18" t="str">
        <f t="shared" si="163"/>
        <v/>
      </c>
      <c r="AJ1829" s="18" t="str">
        <f t="shared" si="164"/>
        <v/>
      </c>
      <c r="AK1829" s="18" t="str">
        <f t="shared" si="165"/>
        <v/>
      </c>
      <c r="AL1829" s="18" t="str">
        <f t="shared" si="166"/>
        <v/>
      </c>
      <c r="AM1829" s="18" t="str">
        <f t="shared" si="167"/>
        <v/>
      </c>
    </row>
    <row r="1830" spans="1:39" x14ac:dyDescent="0.35">
      <c r="A1830" s="56" t="s">
        <v>1898</v>
      </c>
      <c r="B1830" s="31"/>
      <c r="C1830" s="54"/>
      <c r="D1830" s="31"/>
      <c r="E1830" s="31"/>
      <c r="F1830" s="31"/>
      <c r="G1830" s="31"/>
      <c r="H1830" s="31"/>
      <c r="I1830" s="31"/>
      <c r="J1830" s="31"/>
      <c r="K1830" s="31"/>
      <c r="L1830" s="31"/>
      <c r="M1830" s="31"/>
      <c r="N1830" s="31"/>
      <c r="O1830" s="31"/>
      <c r="P1830" s="3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E1830" s="57" t="str">
        <f t="shared" si="159"/>
        <v/>
      </c>
      <c r="AF1830" s="18" t="str">
        <f t="shared" si="160"/>
        <v/>
      </c>
      <c r="AG1830" s="18" t="str">
        <f t="shared" si="161"/>
        <v/>
      </c>
      <c r="AH1830" s="18" t="str">
        <f t="shared" si="162"/>
        <v/>
      </c>
      <c r="AI1830" s="18" t="str">
        <f t="shared" si="163"/>
        <v/>
      </c>
      <c r="AJ1830" s="18" t="str">
        <f t="shared" si="164"/>
        <v/>
      </c>
      <c r="AK1830" s="18" t="str">
        <f t="shared" si="165"/>
        <v/>
      </c>
      <c r="AL1830" s="18" t="str">
        <f t="shared" si="166"/>
        <v/>
      </c>
      <c r="AM1830" s="18" t="str">
        <f t="shared" si="167"/>
        <v/>
      </c>
    </row>
    <row r="1831" spans="1:39" x14ac:dyDescent="0.35">
      <c r="A1831" s="56" t="s">
        <v>1899</v>
      </c>
      <c r="B1831" s="31"/>
      <c r="C1831" s="54"/>
      <c r="D1831" s="31"/>
      <c r="E1831" s="31"/>
      <c r="F1831" s="31"/>
      <c r="G1831" s="31"/>
      <c r="H1831" s="31"/>
      <c r="I1831" s="31"/>
      <c r="J1831" s="31"/>
      <c r="K1831" s="31"/>
      <c r="L1831" s="31"/>
      <c r="M1831" s="31"/>
      <c r="N1831" s="31"/>
      <c r="O1831" s="31"/>
      <c r="P1831" s="3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E1831" s="57" t="str">
        <f t="shared" si="159"/>
        <v/>
      </c>
      <c r="AF1831" s="18" t="str">
        <f t="shared" si="160"/>
        <v/>
      </c>
      <c r="AG1831" s="18" t="str">
        <f t="shared" si="161"/>
        <v/>
      </c>
      <c r="AH1831" s="18" t="str">
        <f t="shared" si="162"/>
        <v/>
      </c>
      <c r="AI1831" s="18" t="str">
        <f t="shared" si="163"/>
        <v/>
      </c>
      <c r="AJ1831" s="18" t="str">
        <f t="shared" si="164"/>
        <v/>
      </c>
      <c r="AK1831" s="18" t="str">
        <f t="shared" si="165"/>
        <v/>
      </c>
      <c r="AL1831" s="18" t="str">
        <f t="shared" si="166"/>
        <v/>
      </c>
      <c r="AM1831" s="18" t="str">
        <f t="shared" si="167"/>
        <v/>
      </c>
    </row>
    <row r="1832" spans="1:39" x14ac:dyDescent="0.35">
      <c r="A1832" s="56" t="s">
        <v>1900</v>
      </c>
      <c r="B1832" s="31"/>
      <c r="C1832" s="54"/>
      <c r="D1832" s="31"/>
      <c r="E1832" s="31"/>
      <c r="F1832" s="31"/>
      <c r="G1832" s="31"/>
      <c r="H1832" s="31"/>
      <c r="I1832" s="31"/>
      <c r="J1832" s="31"/>
      <c r="K1832" s="31"/>
      <c r="L1832" s="31"/>
      <c r="M1832" s="31"/>
      <c r="N1832" s="31"/>
      <c r="O1832" s="31"/>
      <c r="P1832" s="3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E1832" s="57" t="str">
        <f t="shared" si="159"/>
        <v/>
      </c>
      <c r="AF1832" s="18" t="str">
        <f t="shared" si="160"/>
        <v/>
      </c>
      <c r="AG1832" s="18" t="str">
        <f t="shared" si="161"/>
        <v/>
      </c>
      <c r="AH1832" s="18" t="str">
        <f t="shared" si="162"/>
        <v/>
      </c>
      <c r="AI1832" s="18" t="str">
        <f t="shared" si="163"/>
        <v/>
      </c>
      <c r="AJ1832" s="18" t="str">
        <f t="shared" si="164"/>
        <v/>
      </c>
      <c r="AK1832" s="18" t="str">
        <f t="shared" si="165"/>
        <v/>
      </c>
      <c r="AL1832" s="18" t="str">
        <f t="shared" si="166"/>
        <v/>
      </c>
      <c r="AM1832" s="18" t="str">
        <f t="shared" si="167"/>
        <v/>
      </c>
    </row>
    <row r="1833" spans="1:39" x14ac:dyDescent="0.35">
      <c r="A1833" s="56" t="s">
        <v>1901</v>
      </c>
      <c r="B1833" s="31"/>
      <c r="C1833" s="54"/>
      <c r="D1833" s="31"/>
      <c r="E1833" s="31"/>
      <c r="F1833" s="31"/>
      <c r="G1833" s="31"/>
      <c r="H1833" s="31"/>
      <c r="I1833" s="31"/>
      <c r="J1833" s="31"/>
      <c r="K1833" s="31"/>
      <c r="L1833" s="31"/>
      <c r="M1833" s="31"/>
      <c r="N1833" s="31"/>
      <c r="O1833" s="31"/>
      <c r="P1833" s="3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E1833" s="57" t="str">
        <f t="shared" si="159"/>
        <v/>
      </c>
      <c r="AF1833" s="18" t="str">
        <f t="shared" si="160"/>
        <v/>
      </c>
      <c r="AG1833" s="18" t="str">
        <f t="shared" si="161"/>
        <v/>
      </c>
      <c r="AH1833" s="18" t="str">
        <f t="shared" si="162"/>
        <v/>
      </c>
      <c r="AI1833" s="18" t="str">
        <f t="shared" si="163"/>
        <v/>
      </c>
      <c r="AJ1833" s="18" t="str">
        <f t="shared" si="164"/>
        <v/>
      </c>
      <c r="AK1833" s="18" t="str">
        <f t="shared" si="165"/>
        <v/>
      </c>
      <c r="AL1833" s="18" t="str">
        <f t="shared" si="166"/>
        <v/>
      </c>
      <c r="AM1833" s="18" t="str">
        <f t="shared" si="167"/>
        <v/>
      </c>
    </row>
    <row r="1834" spans="1:39" x14ac:dyDescent="0.35">
      <c r="A1834" s="56" t="s">
        <v>1902</v>
      </c>
      <c r="B1834" s="31"/>
      <c r="C1834" s="54"/>
      <c r="D1834" s="31"/>
      <c r="E1834" s="31"/>
      <c r="F1834" s="31"/>
      <c r="G1834" s="31"/>
      <c r="H1834" s="31"/>
      <c r="I1834" s="31"/>
      <c r="J1834" s="31"/>
      <c r="K1834" s="31"/>
      <c r="L1834" s="31"/>
      <c r="M1834" s="31"/>
      <c r="N1834" s="31"/>
      <c r="O1834" s="31"/>
      <c r="P1834" s="3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E1834" s="57" t="str">
        <f t="shared" si="159"/>
        <v/>
      </c>
      <c r="AF1834" s="18" t="str">
        <f t="shared" si="160"/>
        <v/>
      </c>
      <c r="AG1834" s="18" t="str">
        <f t="shared" si="161"/>
        <v/>
      </c>
      <c r="AH1834" s="18" t="str">
        <f t="shared" si="162"/>
        <v/>
      </c>
      <c r="AI1834" s="18" t="str">
        <f t="shared" si="163"/>
        <v/>
      </c>
      <c r="AJ1834" s="18" t="str">
        <f t="shared" si="164"/>
        <v/>
      </c>
      <c r="AK1834" s="18" t="str">
        <f t="shared" si="165"/>
        <v/>
      </c>
      <c r="AL1834" s="18" t="str">
        <f t="shared" si="166"/>
        <v/>
      </c>
      <c r="AM1834" s="18" t="str">
        <f t="shared" si="167"/>
        <v/>
      </c>
    </row>
    <row r="1835" spans="1:39" x14ac:dyDescent="0.35">
      <c r="A1835" s="56" t="s">
        <v>1903</v>
      </c>
      <c r="B1835" s="31"/>
      <c r="C1835" s="54"/>
      <c r="D1835" s="31"/>
      <c r="E1835" s="31"/>
      <c r="F1835" s="31"/>
      <c r="G1835" s="31"/>
      <c r="H1835" s="31"/>
      <c r="I1835" s="31"/>
      <c r="J1835" s="31"/>
      <c r="K1835" s="31"/>
      <c r="L1835" s="31"/>
      <c r="M1835" s="31"/>
      <c r="N1835" s="31"/>
      <c r="O1835" s="31"/>
      <c r="P1835" s="3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E1835" s="57" t="str">
        <f t="shared" si="159"/>
        <v/>
      </c>
      <c r="AF1835" s="18" t="str">
        <f t="shared" si="160"/>
        <v/>
      </c>
      <c r="AG1835" s="18" t="str">
        <f t="shared" si="161"/>
        <v/>
      </c>
      <c r="AH1835" s="18" t="str">
        <f t="shared" si="162"/>
        <v/>
      </c>
      <c r="AI1835" s="18" t="str">
        <f t="shared" si="163"/>
        <v/>
      </c>
      <c r="AJ1835" s="18" t="str">
        <f t="shared" si="164"/>
        <v/>
      </c>
      <c r="AK1835" s="18" t="str">
        <f t="shared" si="165"/>
        <v/>
      </c>
      <c r="AL1835" s="18" t="str">
        <f t="shared" si="166"/>
        <v/>
      </c>
      <c r="AM1835" s="18" t="str">
        <f t="shared" si="167"/>
        <v/>
      </c>
    </row>
    <row r="1836" spans="1:39" x14ac:dyDescent="0.35">
      <c r="A1836" s="56" t="s">
        <v>1904</v>
      </c>
      <c r="B1836" s="31"/>
      <c r="C1836" s="54"/>
      <c r="D1836" s="31"/>
      <c r="E1836" s="31"/>
      <c r="F1836" s="31"/>
      <c r="G1836" s="31"/>
      <c r="H1836" s="31"/>
      <c r="I1836" s="31"/>
      <c r="J1836" s="31"/>
      <c r="K1836" s="31"/>
      <c r="L1836" s="31"/>
      <c r="M1836" s="31"/>
      <c r="N1836" s="31"/>
      <c r="O1836" s="31"/>
      <c r="P1836" s="3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E1836" s="57" t="str">
        <f t="shared" si="159"/>
        <v/>
      </c>
      <c r="AF1836" s="18" t="str">
        <f t="shared" si="160"/>
        <v/>
      </c>
      <c r="AG1836" s="18" t="str">
        <f t="shared" si="161"/>
        <v/>
      </c>
      <c r="AH1836" s="18" t="str">
        <f t="shared" si="162"/>
        <v/>
      </c>
      <c r="AI1836" s="18" t="str">
        <f t="shared" si="163"/>
        <v/>
      </c>
      <c r="AJ1836" s="18" t="str">
        <f t="shared" si="164"/>
        <v/>
      </c>
      <c r="AK1836" s="18" t="str">
        <f t="shared" si="165"/>
        <v/>
      </c>
      <c r="AL1836" s="18" t="str">
        <f t="shared" si="166"/>
        <v/>
      </c>
      <c r="AM1836" s="18" t="str">
        <f t="shared" si="167"/>
        <v/>
      </c>
    </row>
    <row r="1837" spans="1:39" x14ac:dyDescent="0.35">
      <c r="A1837" s="56" t="s">
        <v>1905</v>
      </c>
      <c r="B1837" s="31"/>
      <c r="C1837" s="54"/>
      <c r="D1837" s="31"/>
      <c r="E1837" s="31"/>
      <c r="F1837" s="31"/>
      <c r="G1837" s="31"/>
      <c r="H1837" s="31"/>
      <c r="I1837" s="31"/>
      <c r="J1837" s="31"/>
      <c r="K1837" s="31"/>
      <c r="L1837" s="31"/>
      <c r="M1837" s="31"/>
      <c r="N1837" s="31"/>
      <c r="O1837" s="31"/>
      <c r="P1837" s="3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E1837" s="57" t="str">
        <f t="shared" si="159"/>
        <v/>
      </c>
      <c r="AF1837" s="18" t="str">
        <f t="shared" si="160"/>
        <v/>
      </c>
      <c r="AG1837" s="18" t="str">
        <f t="shared" si="161"/>
        <v/>
      </c>
      <c r="AH1837" s="18" t="str">
        <f t="shared" si="162"/>
        <v/>
      </c>
      <c r="AI1837" s="18" t="str">
        <f t="shared" si="163"/>
        <v/>
      </c>
      <c r="AJ1837" s="18" t="str">
        <f t="shared" si="164"/>
        <v/>
      </c>
      <c r="AK1837" s="18" t="str">
        <f t="shared" si="165"/>
        <v/>
      </c>
      <c r="AL1837" s="18" t="str">
        <f t="shared" si="166"/>
        <v/>
      </c>
      <c r="AM1837" s="18" t="str">
        <f t="shared" si="167"/>
        <v/>
      </c>
    </row>
    <row r="1838" spans="1:39" x14ac:dyDescent="0.35">
      <c r="A1838" s="56" t="s">
        <v>1906</v>
      </c>
      <c r="B1838" s="31"/>
      <c r="C1838" s="54"/>
      <c r="D1838" s="31"/>
      <c r="E1838" s="31"/>
      <c r="F1838" s="31"/>
      <c r="G1838" s="31"/>
      <c r="H1838" s="31"/>
      <c r="I1838" s="31"/>
      <c r="J1838" s="31"/>
      <c r="K1838" s="31"/>
      <c r="L1838" s="31"/>
      <c r="M1838" s="31"/>
      <c r="N1838" s="31"/>
      <c r="O1838" s="31"/>
      <c r="P1838" s="3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E1838" s="57" t="str">
        <f t="shared" si="159"/>
        <v/>
      </c>
      <c r="AF1838" s="18" t="str">
        <f t="shared" si="160"/>
        <v/>
      </c>
      <c r="AG1838" s="18" t="str">
        <f t="shared" si="161"/>
        <v/>
      </c>
      <c r="AH1838" s="18" t="str">
        <f t="shared" si="162"/>
        <v/>
      </c>
      <c r="AI1838" s="18" t="str">
        <f t="shared" si="163"/>
        <v/>
      </c>
      <c r="AJ1838" s="18" t="str">
        <f t="shared" si="164"/>
        <v/>
      </c>
      <c r="AK1838" s="18" t="str">
        <f t="shared" si="165"/>
        <v/>
      </c>
      <c r="AL1838" s="18" t="str">
        <f t="shared" si="166"/>
        <v/>
      </c>
      <c r="AM1838" s="18" t="str">
        <f t="shared" si="167"/>
        <v/>
      </c>
    </row>
    <row r="1839" spans="1:39" x14ac:dyDescent="0.35">
      <c r="A1839" s="56" t="s">
        <v>1907</v>
      </c>
      <c r="B1839" s="31"/>
      <c r="C1839" s="54"/>
      <c r="D1839" s="31"/>
      <c r="E1839" s="31"/>
      <c r="F1839" s="31"/>
      <c r="G1839" s="31"/>
      <c r="H1839" s="31"/>
      <c r="I1839" s="31"/>
      <c r="J1839" s="31"/>
      <c r="K1839" s="31"/>
      <c r="L1839" s="31"/>
      <c r="M1839" s="31"/>
      <c r="N1839" s="31"/>
      <c r="O1839" s="31"/>
      <c r="P1839" s="3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E1839" s="57" t="str">
        <f t="shared" si="159"/>
        <v/>
      </c>
      <c r="AF1839" s="18" t="str">
        <f t="shared" si="160"/>
        <v/>
      </c>
      <c r="AG1839" s="18" t="str">
        <f t="shared" si="161"/>
        <v/>
      </c>
      <c r="AH1839" s="18" t="str">
        <f t="shared" si="162"/>
        <v/>
      </c>
      <c r="AI1839" s="18" t="str">
        <f t="shared" si="163"/>
        <v/>
      </c>
      <c r="AJ1839" s="18" t="str">
        <f t="shared" si="164"/>
        <v/>
      </c>
      <c r="AK1839" s="18" t="str">
        <f t="shared" si="165"/>
        <v/>
      </c>
      <c r="AL1839" s="18" t="str">
        <f t="shared" si="166"/>
        <v/>
      </c>
      <c r="AM1839" s="18" t="str">
        <f t="shared" si="167"/>
        <v/>
      </c>
    </row>
    <row r="1840" spans="1:39" x14ac:dyDescent="0.35">
      <c r="A1840" s="56" t="s">
        <v>1908</v>
      </c>
      <c r="B1840" s="31"/>
      <c r="C1840" s="54"/>
      <c r="D1840" s="31"/>
      <c r="E1840" s="31"/>
      <c r="F1840" s="31"/>
      <c r="G1840" s="31"/>
      <c r="H1840" s="31"/>
      <c r="I1840" s="31"/>
      <c r="J1840" s="31"/>
      <c r="K1840" s="31"/>
      <c r="L1840" s="31"/>
      <c r="M1840" s="31"/>
      <c r="N1840" s="31"/>
      <c r="O1840" s="31"/>
      <c r="P1840" s="3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E1840" s="57" t="str">
        <f t="shared" si="159"/>
        <v/>
      </c>
      <c r="AF1840" s="18" t="str">
        <f t="shared" si="160"/>
        <v/>
      </c>
      <c r="AG1840" s="18" t="str">
        <f t="shared" si="161"/>
        <v/>
      </c>
      <c r="AH1840" s="18" t="str">
        <f t="shared" si="162"/>
        <v/>
      </c>
      <c r="AI1840" s="18" t="str">
        <f t="shared" si="163"/>
        <v/>
      </c>
      <c r="AJ1840" s="18" t="str">
        <f t="shared" si="164"/>
        <v/>
      </c>
      <c r="AK1840" s="18" t="str">
        <f t="shared" si="165"/>
        <v/>
      </c>
      <c r="AL1840" s="18" t="str">
        <f t="shared" si="166"/>
        <v/>
      </c>
      <c r="AM1840" s="18" t="str">
        <f t="shared" si="167"/>
        <v/>
      </c>
    </row>
    <row r="1841" spans="1:39" x14ac:dyDescent="0.35">
      <c r="A1841" s="56" t="s">
        <v>1909</v>
      </c>
      <c r="B1841" s="31"/>
      <c r="C1841" s="54"/>
      <c r="D1841" s="31"/>
      <c r="E1841" s="31"/>
      <c r="F1841" s="31"/>
      <c r="G1841" s="31"/>
      <c r="H1841" s="31"/>
      <c r="I1841" s="31"/>
      <c r="J1841" s="31"/>
      <c r="K1841" s="31"/>
      <c r="L1841" s="31"/>
      <c r="M1841" s="31"/>
      <c r="N1841" s="31"/>
      <c r="O1841" s="31"/>
      <c r="P1841" s="3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E1841" s="57" t="str">
        <f t="shared" si="159"/>
        <v/>
      </c>
      <c r="AF1841" s="18" t="str">
        <f t="shared" si="160"/>
        <v/>
      </c>
      <c r="AG1841" s="18" t="str">
        <f t="shared" si="161"/>
        <v/>
      </c>
      <c r="AH1841" s="18" t="str">
        <f t="shared" si="162"/>
        <v/>
      </c>
      <c r="AI1841" s="18" t="str">
        <f t="shared" si="163"/>
        <v/>
      </c>
      <c r="AJ1841" s="18" t="str">
        <f t="shared" si="164"/>
        <v/>
      </c>
      <c r="AK1841" s="18" t="str">
        <f t="shared" si="165"/>
        <v/>
      </c>
      <c r="AL1841" s="18" t="str">
        <f t="shared" si="166"/>
        <v/>
      </c>
      <c r="AM1841" s="18" t="str">
        <f t="shared" si="167"/>
        <v/>
      </c>
    </row>
    <row r="1842" spans="1:39" x14ac:dyDescent="0.35">
      <c r="A1842" s="56" t="s">
        <v>1910</v>
      </c>
      <c r="B1842" s="31"/>
      <c r="C1842" s="54"/>
      <c r="D1842" s="31"/>
      <c r="E1842" s="31"/>
      <c r="F1842" s="31"/>
      <c r="G1842" s="31"/>
      <c r="H1842" s="31"/>
      <c r="I1842" s="31"/>
      <c r="J1842" s="31"/>
      <c r="K1842" s="31"/>
      <c r="L1842" s="31"/>
      <c r="M1842" s="31"/>
      <c r="N1842" s="31"/>
      <c r="O1842" s="31"/>
      <c r="P1842" s="3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E1842" s="57" t="str">
        <f t="shared" si="159"/>
        <v/>
      </c>
      <c r="AF1842" s="18" t="str">
        <f t="shared" si="160"/>
        <v/>
      </c>
      <c r="AG1842" s="18" t="str">
        <f t="shared" si="161"/>
        <v/>
      </c>
      <c r="AH1842" s="18" t="str">
        <f t="shared" si="162"/>
        <v/>
      </c>
      <c r="AI1842" s="18" t="str">
        <f t="shared" si="163"/>
        <v/>
      </c>
      <c r="AJ1842" s="18" t="str">
        <f t="shared" si="164"/>
        <v/>
      </c>
      <c r="AK1842" s="18" t="str">
        <f t="shared" si="165"/>
        <v/>
      </c>
      <c r="AL1842" s="18" t="str">
        <f t="shared" si="166"/>
        <v/>
      </c>
      <c r="AM1842" s="18" t="str">
        <f t="shared" si="167"/>
        <v/>
      </c>
    </row>
    <row r="1843" spans="1:39" x14ac:dyDescent="0.35">
      <c r="A1843" s="56" t="s">
        <v>1911</v>
      </c>
      <c r="B1843" s="31"/>
      <c r="C1843" s="54"/>
      <c r="D1843" s="31"/>
      <c r="E1843" s="31"/>
      <c r="F1843" s="31"/>
      <c r="G1843" s="31"/>
      <c r="H1843" s="31"/>
      <c r="I1843" s="31"/>
      <c r="J1843" s="31"/>
      <c r="K1843" s="31"/>
      <c r="L1843" s="31"/>
      <c r="M1843" s="31"/>
      <c r="N1843" s="31"/>
      <c r="O1843" s="31"/>
      <c r="P1843" s="3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E1843" s="57" t="str">
        <f t="shared" si="159"/>
        <v/>
      </c>
      <c r="AF1843" s="18" t="str">
        <f t="shared" si="160"/>
        <v/>
      </c>
      <c r="AG1843" s="18" t="str">
        <f t="shared" si="161"/>
        <v/>
      </c>
      <c r="AH1843" s="18" t="str">
        <f t="shared" si="162"/>
        <v/>
      </c>
      <c r="AI1843" s="18" t="str">
        <f t="shared" si="163"/>
        <v/>
      </c>
      <c r="AJ1843" s="18" t="str">
        <f t="shared" si="164"/>
        <v/>
      </c>
      <c r="AK1843" s="18" t="str">
        <f t="shared" si="165"/>
        <v/>
      </c>
      <c r="AL1843" s="18" t="str">
        <f t="shared" si="166"/>
        <v/>
      </c>
      <c r="AM1843" s="18" t="str">
        <f t="shared" si="167"/>
        <v/>
      </c>
    </row>
    <row r="1844" spans="1:39" x14ac:dyDescent="0.35">
      <c r="A1844" s="56" t="s">
        <v>1912</v>
      </c>
      <c r="B1844" s="31"/>
      <c r="C1844" s="54"/>
      <c r="D1844" s="31"/>
      <c r="E1844" s="31"/>
      <c r="F1844" s="31"/>
      <c r="G1844" s="31"/>
      <c r="H1844" s="31"/>
      <c r="I1844" s="31"/>
      <c r="J1844" s="31"/>
      <c r="K1844" s="31"/>
      <c r="L1844" s="31"/>
      <c r="M1844" s="31"/>
      <c r="N1844" s="31"/>
      <c r="O1844" s="31"/>
      <c r="P1844" s="3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E1844" s="57" t="str">
        <f t="shared" si="159"/>
        <v/>
      </c>
      <c r="AF1844" s="18" t="str">
        <f t="shared" si="160"/>
        <v/>
      </c>
      <c r="AG1844" s="18" t="str">
        <f t="shared" si="161"/>
        <v/>
      </c>
      <c r="AH1844" s="18" t="str">
        <f t="shared" si="162"/>
        <v/>
      </c>
      <c r="AI1844" s="18" t="str">
        <f t="shared" si="163"/>
        <v/>
      </c>
      <c r="AJ1844" s="18" t="str">
        <f t="shared" si="164"/>
        <v/>
      </c>
      <c r="AK1844" s="18" t="str">
        <f t="shared" si="165"/>
        <v/>
      </c>
      <c r="AL1844" s="18" t="str">
        <f t="shared" si="166"/>
        <v/>
      </c>
      <c r="AM1844" s="18" t="str">
        <f t="shared" si="167"/>
        <v/>
      </c>
    </row>
    <row r="1845" spans="1:39" x14ac:dyDescent="0.35">
      <c r="A1845" s="56" t="s">
        <v>1913</v>
      </c>
      <c r="B1845" s="31"/>
      <c r="C1845" s="54"/>
      <c r="D1845" s="31"/>
      <c r="E1845" s="31"/>
      <c r="F1845" s="31"/>
      <c r="G1845" s="31"/>
      <c r="H1845" s="31"/>
      <c r="I1845" s="31"/>
      <c r="J1845" s="31"/>
      <c r="K1845" s="31"/>
      <c r="L1845" s="31"/>
      <c r="M1845" s="31"/>
      <c r="N1845" s="31"/>
      <c r="O1845" s="31"/>
      <c r="P1845" s="3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E1845" s="57" t="str">
        <f t="shared" si="159"/>
        <v/>
      </c>
      <c r="AF1845" s="18" t="str">
        <f t="shared" si="160"/>
        <v/>
      </c>
      <c r="AG1845" s="18" t="str">
        <f t="shared" si="161"/>
        <v/>
      </c>
      <c r="AH1845" s="18" t="str">
        <f t="shared" si="162"/>
        <v/>
      </c>
      <c r="AI1845" s="18" t="str">
        <f t="shared" si="163"/>
        <v/>
      </c>
      <c r="AJ1845" s="18" t="str">
        <f t="shared" si="164"/>
        <v/>
      </c>
      <c r="AK1845" s="18" t="str">
        <f t="shared" si="165"/>
        <v/>
      </c>
      <c r="AL1845" s="18" t="str">
        <f t="shared" si="166"/>
        <v/>
      </c>
      <c r="AM1845" s="18" t="str">
        <f t="shared" si="167"/>
        <v/>
      </c>
    </row>
    <row r="1846" spans="1:39" x14ac:dyDescent="0.35">
      <c r="A1846" s="56" t="s">
        <v>1914</v>
      </c>
      <c r="B1846" s="31"/>
      <c r="C1846" s="54"/>
      <c r="D1846" s="31"/>
      <c r="E1846" s="31"/>
      <c r="F1846" s="31"/>
      <c r="G1846" s="31"/>
      <c r="H1846" s="31"/>
      <c r="I1846" s="31"/>
      <c r="J1846" s="31"/>
      <c r="K1846" s="31"/>
      <c r="L1846" s="31"/>
      <c r="M1846" s="31"/>
      <c r="N1846" s="31"/>
      <c r="O1846" s="31"/>
      <c r="P1846" s="3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E1846" s="57" t="str">
        <f t="shared" si="159"/>
        <v/>
      </c>
      <c r="AF1846" s="18" t="str">
        <f t="shared" si="160"/>
        <v/>
      </c>
      <c r="AG1846" s="18" t="str">
        <f t="shared" si="161"/>
        <v/>
      </c>
      <c r="AH1846" s="18" t="str">
        <f t="shared" si="162"/>
        <v/>
      </c>
      <c r="AI1846" s="18" t="str">
        <f t="shared" si="163"/>
        <v/>
      </c>
      <c r="AJ1846" s="18" t="str">
        <f t="shared" si="164"/>
        <v/>
      </c>
      <c r="AK1846" s="18" t="str">
        <f t="shared" si="165"/>
        <v/>
      </c>
      <c r="AL1846" s="18" t="str">
        <f t="shared" si="166"/>
        <v/>
      </c>
      <c r="AM1846" s="18" t="str">
        <f t="shared" si="167"/>
        <v/>
      </c>
    </row>
    <row r="1847" spans="1:39" x14ac:dyDescent="0.35">
      <c r="A1847" s="56" t="s">
        <v>1915</v>
      </c>
      <c r="B1847" s="31"/>
      <c r="C1847" s="54"/>
      <c r="D1847" s="31"/>
      <c r="E1847" s="31"/>
      <c r="F1847" s="31"/>
      <c r="G1847" s="31"/>
      <c r="H1847" s="31"/>
      <c r="I1847" s="31"/>
      <c r="J1847" s="31"/>
      <c r="K1847" s="31"/>
      <c r="L1847" s="31"/>
      <c r="M1847" s="31"/>
      <c r="N1847" s="31"/>
      <c r="O1847" s="31"/>
      <c r="P1847" s="3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E1847" s="57" t="str">
        <f t="shared" si="159"/>
        <v/>
      </c>
      <c r="AF1847" s="18" t="str">
        <f t="shared" si="160"/>
        <v/>
      </c>
      <c r="AG1847" s="18" t="str">
        <f t="shared" si="161"/>
        <v/>
      </c>
      <c r="AH1847" s="18" t="str">
        <f t="shared" si="162"/>
        <v/>
      </c>
      <c r="AI1847" s="18" t="str">
        <f t="shared" si="163"/>
        <v/>
      </c>
      <c r="AJ1847" s="18" t="str">
        <f t="shared" si="164"/>
        <v/>
      </c>
      <c r="AK1847" s="18" t="str">
        <f t="shared" si="165"/>
        <v/>
      </c>
      <c r="AL1847" s="18" t="str">
        <f t="shared" si="166"/>
        <v/>
      </c>
      <c r="AM1847" s="18" t="str">
        <f t="shared" si="167"/>
        <v/>
      </c>
    </row>
    <row r="1848" spans="1:39" x14ac:dyDescent="0.35">
      <c r="A1848" s="56" t="s">
        <v>1916</v>
      </c>
      <c r="B1848" s="31"/>
      <c r="C1848" s="54"/>
      <c r="D1848" s="31"/>
      <c r="E1848" s="31"/>
      <c r="F1848" s="31"/>
      <c r="G1848" s="31"/>
      <c r="H1848" s="31"/>
      <c r="I1848" s="31"/>
      <c r="J1848" s="31"/>
      <c r="K1848" s="31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E1848" s="57" t="str">
        <f t="shared" si="159"/>
        <v/>
      </c>
      <c r="AF1848" s="18" t="str">
        <f t="shared" si="160"/>
        <v/>
      </c>
      <c r="AG1848" s="18" t="str">
        <f t="shared" si="161"/>
        <v/>
      </c>
      <c r="AH1848" s="18" t="str">
        <f t="shared" si="162"/>
        <v/>
      </c>
      <c r="AI1848" s="18" t="str">
        <f t="shared" si="163"/>
        <v/>
      </c>
      <c r="AJ1848" s="18" t="str">
        <f t="shared" si="164"/>
        <v/>
      </c>
      <c r="AK1848" s="18" t="str">
        <f t="shared" si="165"/>
        <v/>
      </c>
      <c r="AL1848" s="18" t="str">
        <f t="shared" si="166"/>
        <v/>
      </c>
      <c r="AM1848" s="18" t="str">
        <f t="shared" si="167"/>
        <v/>
      </c>
    </row>
    <row r="1849" spans="1:39" x14ac:dyDescent="0.35">
      <c r="A1849" s="56" t="s">
        <v>1917</v>
      </c>
      <c r="B1849" s="31"/>
      <c r="C1849" s="54"/>
      <c r="D1849" s="31"/>
      <c r="E1849" s="31"/>
      <c r="F1849" s="31"/>
      <c r="G1849" s="31"/>
      <c r="H1849" s="31"/>
      <c r="I1849" s="31"/>
      <c r="J1849" s="31"/>
      <c r="K1849" s="31"/>
      <c r="L1849" s="31"/>
      <c r="M1849" s="31"/>
      <c r="N1849" s="31"/>
      <c r="O1849" s="31"/>
      <c r="P1849" s="3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E1849" s="57" t="str">
        <f t="shared" si="159"/>
        <v/>
      </c>
      <c r="AF1849" s="18" t="str">
        <f t="shared" si="160"/>
        <v/>
      </c>
      <c r="AG1849" s="18" t="str">
        <f t="shared" si="161"/>
        <v/>
      </c>
      <c r="AH1849" s="18" t="str">
        <f t="shared" si="162"/>
        <v/>
      </c>
      <c r="AI1849" s="18" t="str">
        <f t="shared" si="163"/>
        <v/>
      </c>
      <c r="AJ1849" s="18" t="str">
        <f t="shared" si="164"/>
        <v/>
      </c>
      <c r="AK1849" s="18" t="str">
        <f t="shared" si="165"/>
        <v/>
      </c>
      <c r="AL1849" s="18" t="str">
        <f t="shared" si="166"/>
        <v/>
      </c>
      <c r="AM1849" s="18" t="str">
        <f t="shared" si="167"/>
        <v/>
      </c>
    </row>
    <row r="1850" spans="1:39" x14ac:dyDescent="0.35">
      <c r="A1850" s="56" t="s">
        <v>1918</v>
      </c>
      <c r="B1850" s="31"/>
      <c r="C1850" s="54"/>
      <c r="D1850" s="31"/>
      <c r="E1850" s="31"/>
      <c r="F1850" s="31"/>
      <c r="G1850" s="31"/>
      <c r="H1850" s="31"/>
      <c r="I1850" s="31"/>
      <c r="J1850" s="31"/>
      <c r="K1850" s="31"/>
      <c r="L1850" s="31"/>
      <c r="M1850" s="31"/>
      <c r="N1850" s="31"/>
      <c r="O1850" s="31"/>
      <c r="P1850" s="3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E1850" s="57" t="str">
        <f t="shared" si="159"/>
        <v/>
      </c>
      <c r="AF1850" s="18" t="str">
        <f t="shared" si="160"/>
        <v/>
      </c>
      <c r="AG1850" s="18" t="str">
        <f t="shared" si="161"/>
        <v/>
      </c>
      <c r="AH1850" s="18" t="str">
        <f t="shared" si="162"/>
        <v/>
      </c>
      <c r="AI1850" s="18" t="str">
        <f t="shared" si="163"/>
        <v/>
      </c>
      <c r="AJ1850" s="18" t="str">
        <f t="shared" si="164"/>
        <v/>
      </c>
      <c r="AK1850" s="18" t="str">
        <f t="shared" si="165"/>
        <v/>
      </c>
      <c r="AL1850" s="18" t="str">
        <f t="shared" si="166"/>
        <v/>
      </c>
      <c r="AM1850" s="18" t="str">
        <f t="shared" si="167"/>
        <v/>
      </c>
    </row>
    <row r="1851" spans="1:39" x14ac:dyDescent="0.35">
      <c r="A1851" s="56" t="s">
        <v>1919</v>
      </c>
      <c r="B1851" s="31"/>
      <c r="C1851" s="54"/>
      <c r="D1851" s="31"/>
      <c r="E1851" s="31"/>
      <c r="F1851" s="31"/>
      <c r="G1851" s="31"/>
      <c r="H1851" s="31"/>
      <c r="I1851" s="31"/>
      <c r="J1851" s="31"/>
      <c r="K1851" s="31"/>
      <c r="L1851" s="31"/>
      <c r="M1851" s="31"/>
      <c r="N1851" s="31"/>
      <c r="O1851" s="31"/>
      <c r="P1851" s="3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E1851" s="57" t="str">
        <f t="shared" si="159"/>
        <v/>
      </c>
      <c r="AF1851" s="18" t="str">
        <f t="shared" si="160"/>
        <v/>
      </c>
      <c r="AG1851" s="18" t="str">
        <f t="shared" si="161"/>
        <v/>
      </c>
      <c r="AH1851" s="18" t="str">
        <f t="shared" si="162"/>
        <v/>
      </c>
      <c r="AI1851" s="18" t="str">
        <f t="shared" si="163"/>
        <v/>
      </c>
      <c r="AJ1851" s="18" t="str">
        <f t="shared" si="164"/>
        <v/>
      </c>
      <c r="AK1851" s="18" t="str">
        <f t="shared" si="165"/>
        <v/>
      </c>
      <c r="AL1851" s="18" t="str">
        <f t="shared" si="166"/>
        <v/>
      </c>
      <c r="AM1851" s="18" t="str">
        <f t="shared" si="167"/>
        <v/>
      </c>
    </row>
    <row r="1852" spans="1:39" x14ac:dyDescent="0.35">
      <c r="A1852" s="56" t="s">
        <v>1920</v>
      </c>
      <c r="B1852" s="31"/>
      <c r="C1852" s="54"/>
      <c r="D1852" s="31"/>
      <c r="E1852" s="31"/>
      <c r="F1852" s="31"/>
      <c r="G1852" s="31"/>
      <c r="H1852" s="31"/>
      <c r="I1852" s="31"/>
      <c r="J1852" s="31"/>
      <c r="K1852" s="31"/>
      <c r="L1852" s="31"/>
      <c r="M1852" s="31"/>
      <c r="N1852" s="31"/>
      <c r="O1852" s="31"/>
      <c r="P1852" s="3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E1852" s="57" t="str">
        <f t="shared" si="159"/>
        <v/>
      </c>
      <c r="AF1852" s="18" t="str">
        <f t="shared" si="160"/>
        <v/>
      </c>
      <c r="AG1852" s="18" t="str">
        <f t="shared" si="161"/>
        <v/>
      </c>
      <c r="AH1852" s="18" t="str">
        <f t="shared" si="162"/>
        <v/>
      </c>
      <c r="AI1852" s="18" t="str">
        <f t="shared" si="163"/>
        <v/>
      </c>
      <c r="AJ1852" s="18" t="str">
        <f t="shared" si="164"/>
        <v/>
      </c>
      <c r="AK1852" s="18" t="str">
        <f t="shared" si="165"/>
        <v/>
      </c>
      <c r="AL1852" s="18" t="str">
        <f t="shared" si="166"/>
        <v/>
      </c>
      <c r="AM1852" s="18" t="str">
        <f t="shared" si="167"/>
        <v/>
      </c>
    </row>
    <row r="1853" spans="1:39" x14ac:dyDescent="0.35">
      <c r="A1853" s="56" t="s">
        <v>1921</v>
      </c>
      <c r="B1853" s="31"/>
      <c r="C1853" s="54"/>
      <c r="D1853" s="31"/>
      <c r="E1853" s="31"/>
      <c r="F1853" s="31"/>
      <c r="G1853" s="31"/>
      <c r="H1853" s="31"/>
      <c r="I1853" s="31"/>
      <c r="J1853" s="31"/>
      <c r="K1853" s="31"/>
      <c r="L1853" s="31"/>
      <c r="M1853" s="31"/>
      <c r="N1853" s="31"/>
      <c r="O1853" s="31"/>
      <c r="P1853" s="3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E1853" s="57" t="str">
        <f t="shared" si="159"/>
        <v/>
      </c>
      <c r="AF1853" s="18" t="str">
        <f t="shared" si="160"/>
        <v/>
      </c>
      <c r="AG1853" s="18" t="str">
        <f t="shared" si="161"/>
        <v/>
      </c>
      <c r="AH1853" s="18" t="str">
        <f t="shared" si="162"/>
        <v/>
      </c>
      <c r="AI1853" s="18" t="str">
        <f t="shared" si="163"/>
        <v/>
      </c>
      <c r="AJ1853" s="18" t="str">
        <f t="shared" si="164"/>
        <v/>
      </c>
      <c r="AK1853" s="18" t="str">
        <f t="shared" si="165"/>
        <v/>
      </c>
      <c r="AL1853" s="18" t="str">
        <f t="shared" si="166"/>
        <v/>
      </c>
      <c r="AM1853" s="18" t="str">
        <f t="shared" si="167"/>
        <v/>
      </c>
    </row>
    <row r="1854" spans="1:39" x14ac:dyDescent="0.35">
      <c r="A1854" s="56" t="s">
        <v>1922</v>
      </c>
      <c r="B1854" s="31"/>
      <c r="C1854" s="54"/>
      <c r="D1854" s="31"/>
      <c r="E1854" s="31"/>
      <c r="F1854" s="31"/>
      <c r="G1854" s="31"/>
      <c r="H1854" s="31"/>
      <c r="I1854" s="31"/>
      <c r="J1854" s="31"/>
      <c r="K1854" s="31"/>
      <c r="L1854" s="31"/>
      <c r="M1854" s="31"/>
      <c r="N1854" s="31"/>
      <c r="O1854" s="31"/>
      <c r="P1854" s="3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E1854" s="57" t="str">
        <f t="shared" si="159"/>
        <v/>
      </c>
      <c r="AF1854" s="18" t="str">
        <f t="shared" si="160"/>
        <v/>
      </c>
      <c r="AG1854" s="18" t="str">
        <f t="shared" si="161"/>
        <v/>
      </c>
      <c r="AH1854" s="18" t="str">
        <f t="shared" si="162"/>
        <v/>
      </c>
      <c r="AI1854" s="18" t="str">
        <f t="shared" si="163"/>
        <v/>
      </c>
      <c r="AJ1854" s="18" t="str">
        <f t="shared" si="164"/>
        <v/>
      </c>
      <c r="AK1854" s="18" t="str">
        <f t="shared" si="165"/>
        <v/>
      </c>
      <c r="AL1854" s="18" t="str">
        <f t="shared" si="166"/>
        <v/>
      </c>
      <c r="AM1854" s="18" t="str">
        <f t="shared" si="167"/>
        <v/>
      </c>
    </row>
    <row r="1855" spans="1:39" x14ac:dyDescent="0.35">
      <c r="A1855" s="56" t="s">
        <v>1923</v>
      </c>
      <c r="B1855" s="31"/>
      <c r="C1855" s="54"/>
      <c r="D1855" s="31"/>
      <c r="E1855" s="31"/>
      <c r="F1855" s="31"/>
      <c r="G1855" s="31"/>
      <c r="H1855" s="31"/>
      <c r="I1855" s="31"/>
      <c r="J1855" s="31"/>
      <c r="K1855" s="31"/>
      <c r="L1855" s="31"/>
      <c r="M1855" s="31"/>
      <c r="N1855" s="31"/>
      <c r="O1855" s="31"/>
      <c r="P1855" s="3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E1855" s="57" t="str">
        <f t="shared" si="159"/>
        <v/>
      </c>
      <c r="AF1855" s="18" t="str">
        <f t="shared" si="160"/>
        <v/>
      </c>
      <c r="AG1855" s="18" t="str">
        <f t="shared" si="161"/>
        <v/>
      </c>
      <c r="AH1855" s="18" t="str">
        <f t="shared" si="162"/>
        <v/>
      </c>
      <c r="AI1855" s="18" t="str">
        <f t="shared" si="163"/>
        <v/>
      </c>
      <c r="AJ1855" s="18" t="str">
        <f t="shared" si="164"/>
        <v/>
      </c>
      <c r="AK1855" s="18" t="str">
        <f t="shared" si="165"/>
        <v/>
      </c>
      <c r="AL1855" s="18" t="str">
        <f t="shared" si="166"/>
        <v/>
      </c>
      <c r="AM1855" s="18" t="str">
        <f t="shared" si="167"/>
        <v/>
      </c>
    </row>
    <row r="1856" spans="1:39" x14ac:dyDescent="0.35">
      <c r="A1856" s="56" t="s">
        <v>1924</v>
      </c>
      <c r="B1856" s="31"/>
      <c r="C1856" s="54"/>
      <c r="D1856" s="31"/>
      <c r="E1856" s="31"/>
      <c r="F1856" s="31"/>
      <c r="G1856" s="31"/>
      <c r="H1856" s="31"/>
      <c r="I1856" s="31"/>
      <c r="J1856" s="31"/>
      <c r="K1856" s="31"/>
      <c r="L1856" s="31"/>
      <c r="M1856" s="31"/>
      <c r="N1856" s="31"/>
      <c r="O1856" s="31"/>
      <c r="P1856" s="3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E1856" s="57" t="str">
        <f t="shared" si="159"/>
        <v/>
      </c>
      <c r="AF1856" s="18" t="str">
        <f t="shared" si="160"/>
        <v/>
      </c>
      <c r="AG1856" s="18" t="str">
        <f t="shared" si="161"/>
        <v/>
      </c>
      <c r="AH1856" s="18" t="str">
        <f t="shared" si="162"/>
        <v/>
      </c>
      <c r="AI1856" s="18" t="str">
        <f t="shared" si="163"/>
        <v/>
      </c>
      <c r="AJ1856" s="18" t="str">
        <f t="shared" si="164"/>
        <v/>
      </c>
      <c r="AK1856" s="18" t="str">
        <f t="shared" si="165"/>
        <v/>
      </c>
      <c r="AL1856" s="18" t="str">
        <f t="shared" si="166"/>
        <v/>
      </c>
      <c r="AM1856" s="18" t="str">
        <f t="shared" si="167"/>
        <v/>
      </c>
    </row>
    <row r="1857" spans="1:39" x14ac:dyDescent="0.35">
      <c r="A1857" s="56" t="s">
        <v>1925</v>
      </c>
      <c r="B1857" s="31"/>
      <c r="C1857" s="54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E1857" s="57" t="str">
        <f t="shared" si="159"/>
        <v/>
      </c>
      <c r="AF1857" s="18" t="str">
        <f t="shared" si="160"/>
        <v/>
      </c>
      <c r="AG1857" s="18" t="str">
        <f t="shared" si="161"/>
        <v/>
      </c>
      <c r="AH1857" s="18" t="str">
        <f t="shared" si="162"/>
        <v/>
      </c>
      <c r="AI1857" s="18" t="str">
        <f t="shared" si="163"/>
        <v/>
      </c>
      <c r="AJ1857" s="18" t="str">
        <f t="shared" si="164"/>
        <v/>
      </c>
      <c r="AK1857" s="18" t="str">
        <f t="shared" si="165"/>
        <v/>
      </c>
      <c r="AL1857" s="18" t="str">
        <f t="shared" si="166"/>
        <v/>
      </c>
      <c r="AM1857" s="18" t="str">
        <f t="shared" si="167"/>
        <v/>
      </c>
    </row>
    <row r="1858" spans="1:39" x14ac:dyDescent="0.35">
      <c r="A1858" s="56" t="s">
        <v>1926</v>
      </c>
      <c r="B1858" s="31"/>
      <c r="C1858" s="54"/>
      <c r="D1858" s="31"/>
      <c r="E1858" s="31"/>
      <c r="F1858" s="31"/>
      <c r="G1858" s="31"/>
      <c r="H1858" s="31"/>
      <c r="I1858" s="31"/>
      <c r="J1858" s="31"/>
      <c r="K1858" s="31"/>
      <c r="L1858" s="31"/>
      <c r="M1858" s="31"/>
      <c r="N1858" s="31"/>
      <c r="O1858" s="31"/>
      <c r="P1858" s="3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E1858" s="57" t="str">
        <f t="shared" si="159"/>
        <v/>
      </c>
      <c r="AF1858" s="18" t="str">
        <f t="shared" si="160"/>
        <v/>
      </c>
      <c r="AG1858" s="18" t="str">
        <f t="shared" si="161"/>
        <v/>
      </c>
      <c r="AH1858" s="18" t="str">
        <f t="shared" si="162"/>
        <v/>
      </c>
      <c r="AI1858" s="18" t="str">
        <f t="shared" si="163"/>
        <v/>
      </c>
      <c r="AJ1858" s="18" t="str">
        <f t="shared" si="164"/>
        <v/>
      </c>
      <c r="AK1858" s="18" t="str">
        <f t="shared" si="165"/>
        <v/>
      </c>
      <c r="AL1858" s="18" t="str">
        <f t="shared" si="166"/>
        <v/>
      </c>
      <c r="AM1858" s="18" t="str">
        <f t="shared" si="167"/>
        <v/>
      </c>
    </row>
    <row r="1859" spans="1:39" x14ac:dyDescent="0.35">
      <c r="A1859" s="56" t="s">
        <v>1927</v>
      </c>
      <c r="B1859" s="31"/>
      <c r="C1859" s="54"/>
      <c r="D1859" s="31"/>
      <c r="E1859" s="31"/>
      <c r="F1859" s="31"/>
      <c r="G1859" s="31"/>
      <c r="H1859" s="31"/>
      <c r="I1859" s="31"/>
      <c r="J1859" s="31"/>
      <c r="K1859" s="31"/>
      <c r="L1859" s="31"/>
      <c r="M1859" s="31"/>
      <c r="N1859" s="31"/>
      <c r="O1859" s="31"/>
      <c r="P1859" s="3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E1859" s="57" t="str">
        <f t="shared" ref="AE1859:AE1922" si="168">IFERROR(VLOOKUP(AD1859,$A$2:$AA$2000,2,0),"")</f>
        <v/>
      </c>
      <c r="AF1859" s="18" t="str">
        <f t="shared" ref="AF1859:AF1922" si="169">IFERROR(VLOOKUP(AD1859,$A$2:$AA$2000,22,0),"")</f>
        <v/>
      </c>
      <c r="AG1859" s="18" t="str">
        <f t="shared" ref="AG1859:AG1922" si="170">IFERROR(VLOOKUP(AD1859,$A$2:$AA$2000,18,0),"")</f>
        <v/>
      </c>
      <c r="AH1859" s="18" t="str">
        <f t="shared" ref="AH1859:AH1922" si="171">IFERROR(VLOOKUP(AD1859,$A$2:$AA$2000,17,0),"")</f>
        <v/>
      </c>
      <c r="AI1859" s="18" t="str">
        <f t="shared" ref="AI1859:AI1922" si="172">IFERROR(VLOOKUP(AD1859,$A$2:$AA$2000,20,0),"")</f>
        <v/>
      </c>
      <c r="AJ1859" s="18" t="str">
        <f t="shared" ref="AJ1859:AJ1922" si="173">IFERROR(VLOOKUP(AD1859,$A$2:$AA$2000,9,0),"")</f>
        <v/>
      </c>
      <c r="AK1859" s="18" t="str">
        <f t="shared" ref="AK1859:AK1922" si="174">IFERROR(VLOOKUP(AD1859,$A$2:$AA$2000,5,0),"")</f>
        <v/>
      </c>
      <c r="AL1859" s="18" t="str">
        <f t="shared" ref="AL1859:AL1922" si="175">IFERROR(VLOOKUP(AD1859,$A$2:$AA$2000,4,0),"")</f>
        <v/>
      </c>
      <c r="AM1859" s="18" t="str">
        <f t="shared" ref="AM1859:AM1922" si="176">IFERROR(VLOOKUP(AD1859,$A$2:$AA$2000,7,0),"")</f>
        <v/>
      </c>
    </row>
    <row r="1860" spans="1:39" x14ac:dyDescent="0.35">
      <c r="A1860" s="56" t="s">
        <v>1928</v>
      </c>
      <c r="B1860" s="31"/>
      <c r="C1860" s="54"/>
      <c r="D1860" s="31"/>
      <c r="E1860" s="31"/>
      <c r="F1860" s="31"/>
      <c r="G1860" s="31"/>
      <c r="H1860" s="31"/>
      <c r="I1860" s="31"/>
      <c r="J1860" s="31"/>
      <c r="K1860" s="31"/>
      <c r="L1860" s="31"/>
      <c r="M1860" s="31"/>
      <c r="N1860" s="31"/>
      <c r="O1860" s="31"/>
      <c r="P1860" s="3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E1860" s="57" t="str">
        <f t="shared" si="168"/>
        <v/>
      </c>
      <c r="AF1860" s="18" t="str">
        <f t="shared" si="169"/>
        <v/>
      </c>
      <c r="AG1860" s="18" t="str">
        <f t="shared" si="170"/>
        <v/>
      </c>
      <c r="AH1860" s="18" t="str">
        <f t="shared" si="171"/>
        <v/>
      </c>
      <c r="AI1860" s="18" t="str">
        <f t="shared" si="172"/>
        <v/>
      </c>
      <c r="AJ1860" s="18" t="str">
        <f t="shared" si="173"/>
        <v/>
      </c>
      <c r="AK1860" s="18" t="str">
        <f t="shared" si="174"/>
        <v/>
      </c>
      <c r="AL1860" s="18" t="str">
        <f t="shared" si="175"/>
        <v/>
      </c>
      <c r="AM1860" s="18" t="str">
        <f t="shared" si="176"/>
        <v/>
      </c>
    </row>
    <row r="1861" spans="1:39" x14ac:dyDescent="0.35">
      <c r="A1861" s="56" t="s">
        <v>1929</v>
      </c>
      <c r="B1861" s="31"/>
      <c r="C1861" s="54"/>
      <c r="D1861" s="31"/>
      <c r="E1861" s="31"/>
      <c r="F1861" s="31"/>
      <c r="G1861" s="31"/>
      <c r="H1861" s="31"/>
      <c r="I1861" s="31"/>
      <c r="J1861" s="31"/>
      <c r="K1861" s="31"/>
      <c r="L1861" s="31"/>
      <c r="M1861" s="31"/>
      <c r="N1861" s="31"/>
      <c r="O1861" s="31"/>
      <c r="P1861" s="3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E1861" s="57" t="str">
        <f t="shared" si="168"/>
        <v/>
      </c>
      <c r="AF1861" s="18" t="str">
        <f t="shared" si="169"/>
        <v/>
      </c>
      <c r="AG1861" s="18" t="str">
        <f t="shared" si="170"/>
        <v/>
      </c>
      <c r="AH1861" s="18" t="str">
        <f t="shared" si="171"/>
        <v/>
      </c>
      <c r="AI1861" s="18" t="str">
        <f t="shared" si="172"/>
        <v/>
      </c>
      <c r="AJ1861" s="18" t="str">
        <f t="shared" si="173"/>
        <v/>
      </c>
      <c r="AK1861" s="18" t="str">
        <f t="shared" si="174"/>
        <v/>
      </c>
      <c r="AL1861" s="18" t="str">
        <f t="shared" si="175"/>
        <v/>
      </c>
      <c r="AM1861" s="18" t="str">
        <f t="shared" si="176"/>
        <v/>
      </c>
    </row>
    <row r="1862" spans="1:39" x14ac:dyDescent="0.35">
      <c r="A1862" s="56" t="s">
        <v>1930</v>
      </c>
      <c r="B1862" s="31"/>
      <c r="C1862" s="54"/>
      <c r="D1862" s="31"/>
      <c r="E1862" s="31"/>
      <c r="F1862" s="31"/>
      <c r="G1862" s="31"/>
      <c r="H1862" s="31"/>
      <c r="I1862" s="31"/>
      <c r="J1862" s="31"/>
      <c r="K1862" s="31"/>
      <c r="L1862" s="31"/>
      <c r="M1862" s="31"/>
      <c r="N1862" s="31"/>
      <c r="O1862" s="31"/>
      <c r="P1862" s="3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E1862" s="57" t="str">
        <f t="shared" si="168"/>
        <v/>
      </c>
      <c r="AF1862" s="18" t="str">
        <f t="shared" si="169"/>
        <v/>
      </c>
      <c r="AG1862" s="18" t="str">
        <f t="shared" si="170"/>
        <v/>
      </c>
      <c r="AH1862" s="18" t="str">
        <f t="shared" si="171"/>
        <v/>
      </c>
      <c r="AI1862" s="18" t="str">
        <f t="shared" si="172"/>
        <v/>
      </c>
      <c r="AJ1862" s="18" t="str">
        <f t="shared" si="173"/>
        <v/>
      </c>
      <c r="AK1862" s="18" t="str">
        <f t="shared" si="174"/>
        <v/>
      </c>
      <c r="AL1862" s="18" t="str">
        <f t="shared" si="175"/>
        <v/>
      </c>
      <c r="AM1862" s="18" t="str">
        <f t="shared" si="176"/>
        <v/>
      </c>
    </row>
    <row r="1863" spans="1:39" x14ac:dyDescent="0.35">
      <c r="A1863" s="56" t="s">
        <v>1931</v>
      </c>
      <c r="B1863" s="31"/>
      <c r="C1863" s="54"/>
      <c r="D1863" s="31"/>
      <c r="E1863" s="31"/>
      <c r="F1863" s="31"/>
      <c r="G1863" s="31"/>
      <c r="H1863" s="31"/>
      <c r="I1863" s="31"/>
      <c r="J1863" s="31"/>
      <c r="K1863" s="31"/>
      <c r="L1863" s="31"/>
      <c r="M1863" s="31"/>
      <c r="N1863" s="31"/>
      <c r="O1863" s="31"/>
      <c r="P1863" s="3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E1863" s="57" t="str">
        <f t="shared" si="168"/>
        <v/>
      </c>
      <c r="AF1863" s="18" t="str">
        <f t="shared" si="169"/>
        <v/>
      </c>
      <c r="AG1863" s="18" t="str">
        <f t="shared" si="170"/>
        <v/>
      </c>
      <c r="AH1863" s="18" t="str">
        <f t="shared" si="171"/>
        <v/>
      </c>
      <c r="AI1863" s="18" t="str">
        <f t="shared" si="172"/>
        <v/>
      </c>
      <c r="AJ1863" s="18" t="str">
        <f t="shared" si="173"/>
        <v/>
      </c>
      <c r="AK1863" s="18" t="str">
        <f t="shared" si="174"/>
        <v/>
      </c>
      <c r="AL1863" s="18" t="str">
        <f t="shared" si="175"/>
        <v/>
      </c>
      <c r="AM1863" s="18" t="str">
        <f t="shared" si="176"/>
        <v/>
      </c>
    </row>
    <row r="1864" spans="1:39" x14ac:dyDescent="0.35">
      <c r="A1864" s="56" t="s">
        <v>1932</v>
      </c>
      <c r="B1864" s="31"/>
      <c r="C1864" s="54"/>
      <c r="D1864" s="31"/>
      <c r="E1864" s="31"/>
      <c r="F1864" s="31"/>
      <c r="G1864" s="31"/>
      <c r="H1864" s="31"/>
      <c r="I1864" s="31"/>
      <c r="J1864" s="31"/>
      <c r="K1864" s="31"/>
      <c r="L1864" s="31"/>
      <c r="M1864" s="31"/>
      <c r="N1864" s="31"/>
      <c r="O1864" s="31"/>
      <c r="P1864" s="3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E1864" s="57" t="str">
        <f t="shared" si="168"/>
        <v/>
      </c>
      <c r="AF1864" s="18" t="str">
        <f t="shared" si="169"/>
        <v/>
      </c>
      <c r="AG1864" s="18" t="str">
        <f t="shared" si="170"/>
        <v/>
      </c>
      <c r="AH1864" s="18" t="str">
        <f t="shared" si="171"/>
        <v/>
      </c>
      <c r="AI1864" s="18" t="str">
        <f t="shared" si="172"/>
        <v/>
      </c>
      <c r="AJ1864" s="18" t="str">
        <f t="shared" si="173"/>
        <v/>
      </c>
      <c r="AK1864" s="18" t="str">
        <f t="shared" si="174"/>
        <v/>
      </c>
      <c r="AL1864" s="18" t="str">
        <f t="shared" si="175"/>
        <v/>
      </c>
      <c r="AM1864" s="18" t="str">
        <f t="shared" si="176"/>
        <v/>
      </c>
    </row>
    <row r="1865" spans="1:39" x14ac:dyDescent="0.35">
      <c r="A1865" s="56" t="s">
        <v>1933</v>
      </c>
      <c r="B1865" s="31"/>
      <c r="C1865" s="54"/>
      <c r="D1865" s="31"/>
      <c r="E1865" s="31"/>
      <c r="F1865" s="31"/>
      <c r="G1865" s="31"/>
      <c r="H1865" s="31"/>
      <c r="I1865" s="31"/>
      <c r="J1865" s="31"/>
      <c r="K1865" s="31"/>
      <c r="L1865" s="31"/>
      <c r="M1865" s="31"/>
      <c r="N1865" s="31"/>
      <c r="O1865" s="31"/>
      <c r="P1865" s="3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E1865" s="57" t="str">
        <f t="shared" si="168"/>
        <v/>
      </c>
      <c r="AF1865" s="18" t="str">
        <f t="shared" si="169"/>
        <v/>
      </c>
      <c r="AG1865" s="18" t="str">
        <f t="shared" si="170"/>
        <v/>
      </c>
      <c r="AH1865" s="18" t="str">
        <f t="shared" si="171"/>
        <v/>
      </c>
      <c r="AI1865" s="18" t="str">
        <f t="shared" si="172"/>
        <v/>
      </c>
      <c r="AJ1865" s="18" t="str">
        <f t="shared" si="173"/>
        <v/>
      </c>
      <c r="AK1865" s="18" t="str">
        <f t="shared" si="174"/>
        <v/>
      </c>
      <c r="AL1865" s="18" t="str">
        <f t="shared" si="175"/>
        <v/>
      </c>
      <c r="AM1865" s="18" t="str">
        <f t="shared" si="176"/>
        <v/>
      </c>
    </row>
    <row r="1866" spans="1:39" x14ac:dyDescent="0.35">
      <c r="A1866" s="56" t="s">
        <v>1934</v>
      </c>
      <c r="B1866" s="31"/>
      <c r="C1866" s="54"/>
      <c r="D1866" s="31"/>
      <c r="E1866" s="31"/>
      <c r="F1866" s="31"/>
      <c r="G1866" s="31"/>
      <c r="H1866" s="31"/>
      <c r="I1866" s="31"/>
      <c r="J1866" s="31"/>
      <c r="K1866" s="31"/>
      <c r="L1866" s="31"/>
      <c r="M1866" s="31"/>
      <c r="N1866" s="31"/>
      <c r="O1866" s="31"/>
      <c r="P1866" s="3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E1866" s="57" t="str">
        <f t="shared" si="168"/>
        <v/>
      </c>
      <c r="AF1866" s="18" t="str">
        <f t="shared" si="169"/>
        <v/>
      </c>
      <c r="AG1866" s="18" t="str">
        <f t="shared" si="170"/>
        <v/>
      </c>
      <c r="AH1866" s="18" t="str">
        <f t="shared" si="171"/>
        <v/>
      </c>
      <c r="AI1866" s="18" t="str">
        <f t="shared" si="172"/>
        <v/>
      </c>
      <c r="AJ1866" s="18" t="str">
        <f t="shared" si="173"/>
        <v/>
      </c>
      <c r="AK1866" s="18" t="str">
        <f t="shared" si="174"/>
        <v/>
      </c>
      <c r="AL1866" s="18" t="str">
        <f t="shared" si="175"/>
        <v/>
      </c>
      <c r="AM1866" s="18" t="str">
        <f t="shared" si="176"/>
        <v/>
      </c>
    </row>
    <row r="1867" spans="1:39" x14ac:dyDescent="0.35">
      <c r="A1867" s="56" t="s">
        <v>1935</v>
      </c>
      <c r="B1867" s="31"/>
      <c r="C1867" s="54"/>
      <c r="D1867" s="31"/>
      <c r="E1867" s="31"/>
      <c r="F1867" s="31"/>
      <c r="G1867" s="31"/>
      <c r="H1867" s="31"/>
      <c r="I1867" s="31"/>
      <c r="J1867" s="31"/>
      <c r="K1867" s="31"/>
      <c r="L1867" s="31"/>
      <c r="M1867" s="31"/>
      <c r="N1867" s="31"/>
      <c r="O1867" s="31"/>
      <c r="P1867" s="3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E1867" s="57" t="str">
        <f t="shared" si="168"/>
        <v/>
      </c>
      <c r="AF1867" s="18" t="str">
        <f t="shared" si="169"/>
        <v/>
      </c>
      <c r="AG1867" s="18" t="str">
        <f t="shared" si="170"/>
        <v/>
      </c>
      <c r="AH1867" s="18" t="str">
        <f t="shared" si="171"/>
        <v/>
      </c>
      <c r="AI1867" s="18" t="str">
        <f t="shared" si="172"/>
        <v/>
      </c>
      <c r="AJ1867" s="18" t="str">
        <f t="shared" si="173"/>
        <v/>
      </c>
      <c r="AK1867" s="18" t="str">
        <f t="shared" si="174"/>
        <v/>
      </c>
      <c r="AL1867" s="18" t="str">
        <f t="shared" si="175"/>
        <v/>
      </c>
      <c r="AM1867" s="18" t="str">
        <f t="shared" si="176"/>
        <v/>
      </c>
    </row>
    <row r="1868" spans="1:39" x14ac:dyDescent="0.35">
      <c r="A1868" s="56" t="s">
        <v>1936</v>
      </c>
      <c r="B1868" s="31"/>
      <c r="C1868" s="54"/>
      <c r="D1868" s="31"/>
      <c r="E1868" s="31"/>
      <c r="F1868" s="31"/>
      <c r="G1868" s="31"/>
      <c r="H1868" s="31"/>
      <c r="I1868" s="31"/>
      <c r="J1868" s="31"/>
      <c r="K1868" s="31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E1868" s="57" t="str">
        <f t="shared" si="168"/>
        <v/>
      </c>
      <c r="AF1868" s="18" t="str">
        <f t="shared" si="169"/>
        <v/>
      </c>
      <c r="AG1868" s="18" t="str">
        <f t="shared" si="170"/>
        <v/>
      </c>
      <c r="AH1868" s="18" t="str">
        <f t="shared" si="171"/>
        <v/>
      </c>
      <c r="AI1868" s="18" t="str">
        <f t="shared" si="172"/>
        <v/>
      </c>
      <c r="AJ1868" s="18" t="str">
        <f t="shared" si="173"/>
        <v/>
      </c>
      <c r="AK1868" s="18" t="str">
        <f t="shared" si="174"/>
        <v/>
      </c>
      <c r="AL1868" s="18" t="str">
        <f t="shared" si="175"/>
        <v/>
      </c>
      <c r="AM1868" s="18" t="str">
        <f t="shared" si="176"/>
        <v/>
      </c>
    </row>
    <row r="1869" spans="1:39" x14ac:dyDescent="0.35">
      <c r="A1869" s="56" t="s">
        <v>1937</v>
      </c>
      <c r="B1869" s="31"/>
      <c r="C1869" s="54"/>
      <c r="D1869" s="31"/>
      <c r="E1869" s="31"/>
      <c r="F1869" s="31"/>
      <c r="G1869" s="31"/>
      <c r="H1869" s="31"/>
      <c r="I1869" s="31"/>
      <c r="J1869" s="31"/>
      <c r="K1869" s="31"/>
      <c r="L1869" s="31"/>
      <c r="M1869" s="31"/>
      <c r="N1869" s="31"/>
      <c r="O1869" s="31"/>
      <c r="P1869" s="3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E1869" s="57" t="str">
        <f t="shared" si="168"/>
        <v/>
      </c>
      <c r="AF1869" s="18" t="str">
        <f t="shared" si="169"/>
        <v/>
      </c>
      <c r="AG1869" s="18" t="str">
        <f t="shared" si="170"/>
        <v/>
      </c>
      <c r="AH1869" s="18" t="str">
        <f t="shared" si="171"/>
        <v/>
      </c>
      <c r="AI1869" s="18" t="str">
        <f t="shared" si="172"/>
        <v/>
      </c>
      <c r="AJ1869" s="18" t="str">
        <f t="shared" si="173"/>
        <v/>
      </c>
      <c r="AK1869" s="18" t="str">
        <f t="shared" si="174"/>
        <v/>
      </c>
      <c r="AL1869" s="18" t="str">
        <f t="shared" si="175"/>
        <v/>
      </c>
      <c r="AM1869" s="18" t="str">
        <f t="shared" si="176"/>
        <v/>
      </c>
    </row>
    <row r="1870" spans="1:39" x14ac:dyDescent="0.35">
      <c r="A1870" s="56" t="s">
        <v>1938</v>
      </c>
      <c r="B1870" s="31"/>
      <c r="C1870" s="54"/>
      <c r="D1870" s="31"/>
      <c r="E1870" s="31"/>
      <c r="F1870" s="31"/>
      <c r="G1870" s="31"/>
      <c r="H1870" s="31"/>
      <c r="I1870" s="31"/>
      <c r="J1870" s="31"/>
      <c r="K1870" s="31"/>
      <c r="L1870" s="31"/>
      <c r="M1870" s="31"/>
      <c r="N1870" s="31"/>
      <c r="O1870" s="31"/>
      <c r="P1870" s="3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E1870" s="57" t="str">
        <f t="shared" si="168"/>
        <v/>
      </c>
      <c r="AF1870" s="18" t="str">
        <f t="shared" si="169"/>
        <v/>
      </c>
      <c r="AG1870" s="18" t="str">
        <f t="shared" si="170"/>
        <v/>
      </c>
      <c r="AH1870" s="18" t="str">
        <f t="shared" si="171"/>
        <v/>
      </c>
      <c r="AI1870" s="18" t="str">
        <f t="shared" si="172"/>
        <v/>
      </c>
      <c r="AJ1870" s="18" t="str">
        <f t="shared" si="173"/>
        <v/>
      </c>
      <c r="AK1870" s="18" t="str">
        <f t="shared" si="174"/>
        <v/>
      </c>
      <c r="AL1870" s="18" t="str">
        <f t="shared" si="175"/>
        <v/>
      </c>
      <c r="AM1870" s="18" t="str">
        <f t="shared" si="176"/>
        <v/>
      </c>
    </row>
    <row r="1871" spans="1:39" x14ac:dyDescent="0.35">
      <c r="A1871" s="56" t="s">
        <v>1939</v>
      </c>
      <c r="B1871" s="31"/>
      <c r="C1871" s="54"/>
      <c r="D1871" s="31"/>
      <c r="E1871" s="31"/>
      <c r="F1871" s="31"/>
      <c r="G1871" s="31"/>
      <c r="H1871" s="31"/>
      <c r="I1871" s="31"/>
      <c r="J1871" s="31"/>
      <c r="K1871" s="31"/>
      <c r="L1871" s="31"/>
      <c r="M1871" s="31"/>
      <c r="N1871" s="31"/>
      <c r="O1871" s="31"/>
      <c r="P1871" s="3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E1871" s="57" t="str">
        <f t="shared" si="168"/>
        <v/>
      </c>
      <c r="AF1871" s="18" t="str">
        <f t="shared" si="169"/>
        <v/>
      </c>
      <c r="AG1871" s="18" t="str">
        <f t="shared" si="170"/>
        <v/>
      </c>
      <c r="AH1871" s="18" t="str">
        <f t="shared" si="171"/>
        <v/>
      </c>
      <c r="AI1871" s="18" t="str">
        <f t="shared" si="172"/>
        <v/>
      </c>
      <c r="AJ1871" s="18" t="str">
        <f t="shared" si="173"/>
        <v/>
      </c>
      <c r="AK1871" s="18" t="str">
        <f t="shared" si="174"/>
        <v/>
      </c>
      <c r="AL1871" s="18" t="str">
        <f t="shared" si="175"/>
        <v/>
      </c>
      <c r="AM1871" s="18" t="str">
        <f t="shared" si="176"/>
        <v/>
      </c>
    </row>
    <row r="1872" spans="1:39" x14ac:dyDescent="0.35">
      <c r="A1872" s="56" t="s">
        <v>1940</v>
      </c>
      <c r="B1872" s="31"/>
      <c r="C1872" s="54"/>
      <c r="D1872" s="31"/>
      <c r="E1872" s="31"/>
      <c r="F1872" s="31"/>
      <c r="G1872" s="31"/>
      <c r="H1872" s="31"/>
      <c r="I1872" s="31"/>
      <c r="J1872" s="31"/>
      <c r="K1872" s="31"/>
      <c r="L1872" s="31"/>
      <c r="M1872" s="31"/>
      <c r="N1872" s="31"/>
      <c r="O1872" s="31"/>
      <c r="P1872" s="3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E1872" s="57" t="str">
        <f t="shared" si="168"/>
        <v/>
      </c>
      <c r="AF1872" s="18" t="str">
        <f t="shared" si="169"/>
        <v/>
      </c>
      <c r="AG1872" s="18" t="str">
        <f t="shared" si="170"/>
        <v/>
      </c>
      <c r="AH1872" s="18" t="str">
        <f t="shared" si="171"/>
        <v/>
      </c>
      <c r="AI1872" s="18" t="str">
        <f t="shared" si="172"/>
        <v/>
      </c>
      <c r="AJ1872" s="18" t="str">
        <f t="shared" si="173"/>
        <v/>
      </c>
      <c r="AK1872" s="18" t="str">
        <f t="shared" si="174"/>
        <v/>
      </c>
      <c r="AL1872" s="18" t="str">
        <f t="shared" si="175"/>
        <v/>
      </c>
      <c r="AM1872" s="18" t="str">
        <f t="shared" si="176"/>
        <v/>
      </c>
    </row>
    <row r="1873" spans="1:39" x14ac:dyDescent="0.35">
      <c r="A1873" s="56" t="s">
        <v>1941</v>
      </c>
      <c r="B1873" s="31"/>
      <c r="C1873" s="54"/>
      <c r="D1873" s="31"/>
      <c r="E1873" s="31"/>
      <c r="F1873" s="31"/>
      <c r="G1873" s="31"/>
      <c r="H1873" s="31"/>
      <c r="I1873" s="31"/>
      <c r="J1873" s="31"/>
      <c r="K1873" s="31"/>
      <c r="L1873" s="31"/>
      <c r="M1873" s="31"/>
      <c r="N1873" s="31"/>
      <c r="O1873" s="31"/>
      <c r="P1873" s="3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E1873" s="57" t="str">
        <f t="shared" si="168"/>
        <v/>
      </c>
      <c r="AF1873" s="18" t="str">
        <f t="shared" si="169"/>
        <v/>
      </c>
      <c r="AG1873" s="18" t="str">
        <f t="shared" si="170"/>
        <v/>
      </c>
      <c r="AH1873" s="18" t="str">
        <f t="shared" si="171"/>
        <v/>
      </c>
      <c r="AI1873" s="18" t="str">
        <f t="shared" si="172"/>
        <v/>
      </c>
      <c r="AJ1873" s="18" t="str">
        <f t="shared" si="173"/>
        <v/>
      </c>
      <c r="AK1873" s="18" t="str">
        <f t="shared" si="174"/>
        <v/>
      </c>
      <c r="AL1873" s="18" t="str">
        <f t="shared" si="175"/>
        <v/>
      </c>
      <c r="AM1873" s="18" t="str">
        <f t="shared" si="176"/>
        <v/>
      </c>
    </row>
    <row r="1874" spans="1:39" x14ac:dyDescent="0.35">
      <c r="A1874" s="56" t="s">
        <v>1942</v>
      </c>
      <c r="B1874" s="31"/>
      <c r="C1874" s="54"/>
      <c r="D1874" s="31"/>
      <c r="E1874" s="31"/>
      <c r="F1874" s="31"/>
      <c r="G1874" s="31"/>
      <c r="H1874" s="31"/>
      <c r="I1874" s="31"/>
      <c r="J1874" s="31"/>
      <c r="K1874" s="31"/>
      <c r="L1874" s="31"/>
      <c r="M1874" s="31"/>
      <c r="N1874" s="31"/>
      <c r="O1874" s="31"/>
      <c r="P1874" s="3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E1874" s="57" t="str">
        <f t="shared" si="168"/>
        <v/>
      </c>
      <c r="AF1874" s="18" t="str">
        <f t="shared" si="169"/>
        <v/>
      </c>
      <c r="AG1874" s="18" t="str">
        <f t="shared" si="170"/>
        <v/>
      </c>
      <c r="AH1874" s="18" t="str">
        <f t="shared" si="171"/>
        <v/>
      </c>
      <c r="AI1874" s="18" t="str">
        <f t="shared" si="172"/>
        <v/>
      </c>
      <c r="AJ1874" s="18" t="str">
        <f t="shared" si="173"/>
        <v/>
      </c>
      <c r="AK1874" s="18" t="str">
        <f t="shared" si="174"/>
        <v/>
      </c>
      <c r="AL1874" s="18" t="str">
        <f t="shared" si="175"/>
        <v/>
      </c>
      <c r="AM1874" s="18" t="str">
        <f t="shared" si="176"/>
        <v/>
      </c>
    </row>
    <row r="1875" spans="1:39" x14ac:dyDescent="0.35">
      <c r="A1875" s="56" t="s">
        <v>1943</v>
      </c>
      <c r="B1875" s="31"/>
      <c r="C1875" s="54"/>
      <c r="D1875" s="31"/>
      <c r="E1875" s="31"/>
      <c r="F1875" s="31"/>
      <c r="G1875" s="31"/>
      <c r="H1875" s="31"/>
      <c r="I1875" s="31"/>
      <c r="J1875" s="31"/>
      <c r="K1875" s="31"/>
      <c r="L1875" s="31"/>
      <c r="M1875" s="31"/>
      <c r="N1875" s="31"/>
      <c r="O1875" s="31"/>
      <c r="P1875" s="3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E1875" s="57" t="str">
        <f t="shared" si="168"/>
        <v/>
      </c>
      <c r="AF1875" s="18" t="str">
        <f t="shared" si="169"/>
        <v/>
      </c>
      <c r="AG1875" s="18" t="str">
        <f t="shared" si="170"/>
        <v/>
      </c>
      <c r="AH1875" s="18" t="str">
        <f t="shared" si="171"/>
        <v/>
      </c>
      <c r="AI1875" s="18" t="str">
        <f t="shared" si="172"/>
        <v/>
      </c>
      <c r="AJ1875" s="18" t="str">
        <f t="shared" si="173"/>
        <v/>
      </c>
      <c r="AK1875" s="18" t="str">
        <f t="shared" si="174"/>
        <v/>
      </c>
      <c r="AL1875" s="18" t="str">
        <f t="shared" si="175"/>
        <v/>
      </c>
      <c r="AM1875" s="18" t="str">
        <f t="shared" si="176"/>
        <v/>
      </c>
    </row>
    <row r="1876" spans="1:39" x14ac:dyDescent="0.35">
      <c r="A1876" s="56" t="s">
        <v>1944</v>
      </c>
      <c r="B1876" s="31"/>
      <c r="C1876" s="54"/>
      <c r="D1876" s="31"/>
      <c r="E1876" s="31"/>
      <c r="F1876" s="31"/>
      <c r="G1876" s="31"/>
      <c r="H1876" s="31"/>
      <c r="I1876" s="31"/>
      <c r="J1876" s="31"/>
      <c r="K1876" s="31"/>
      <c r="L1876" s="31"/>
      <c r="M1876" s="31"/>
      <c r="N1876" s="31"/>
      <c r="O1876" s="31"/>
      <c r="P1876" s="3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E1876" s="57" t="str">
        <f t="shared" si="168"/>
        <v/>
      </c>
      <c r="AF1876" s="18" t="str">
        <f t="shared" si="169"/>
        <v/>
      </c>
      <c r="AG1876" s="18" t="str">
        <f t="shared" si="170"/>
        <v/>
      </c>
      <c r="AH1876" s="18" t="str">
        <f t="shared" si="171"/>
        <v/>
      </c>
      <c r="AI1876" s="18" t="str">
        <f t="shared" si="172"/>
        <v/>
      </c>
      <c r="AJ1876" s="18" t="str">
        <f t="shared" si="173"/>
        <v/>
      </c>
      <c r="AK1876" s="18" t="str">
        <f t="shared" si="174"/>
        <v/>
      </c>
      <c r="AL1876" s="18" t="str">
        <f t="shared" si="175"/>
        <v/>
      </c>
      <c r="AM1876" s="18" t="str">
        <f t="shared" si="176"/>
        <v/>
      </c>
    </row>
    <row r="1877" spans="1:39" x14ac:dyDescent="0.35">
      <c r="A1877" s="56" t="s">
        <v>1945</v>
      </c>
      <c r="B1877" s="31"/>
      <c r="C1877" s="54"/>
      <c r="D1877" s="31"/>
      <c r="E1877" s="31"/>
      <c r="F1877" s="31"/>
      <c r="G1877" s="31"/>
      <c r="H1877" s="31"/>
      <c r="I1877" s="31"/>
      <c r="J1877" s="31"/>
      <c r="K1877" s="31"/>
      <c r="L1877" s="31"/>
      <c r="M1877" s="31"/>
      <c r="N1877" s="31"/>
      <c r="O1877" s="31"/>
      <c r="P1877" s="3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E1877" s="57" t="str">
        <f t="shared" si="168"/>
        <v/>
      </c>
      <c r="AF1877" s="18" t="str">
        <f t="shared" si="169"/>
        <v/>
      </c>
      <c r="AG1877" s="18" t="str">
        <f t="shared" si="170"/>
        <v/>
      </c>
      <c r="AH1877" s="18" t="str">
        <f t="shared" si="171"/>
        <v/>
      </c>
      <c r="AI1877" s="18" t="str">
        <f t="shared" si="172"/>
        <v/>
      </c>
      <c r="AJ1877" s="18" t="str">
        <f t="shared" si="173"/>
        <v/>
      </c>
      <c r="AK1877" s="18" t="str">
        <f t="shared" si="174"/>
        <v/>
      </c>
      <c r="AL1877" s="18" t="str">
        <f t="shared" si="175"/>
        <v/>
      </c>
      <c r="AM1877" s="18" t="str">
        <f t="shared" si="176"/>
        <v/>
      </c>
    </row>
    <row r="1878" spans="1:39" x14ac:dyDescent="0.35">
      <c r="A1878" s="56" t="s">
        <v>1946</v>
      </c>
      <c r="B1878" s="31"/>
      <c r="C1878" s="54"/>
      <c r="D1878" s="31"/>
      <c r="E1878" s="31"/>
      <c r="F1878" s="31"/>
      <c r="G1878" s="31"/>
      <c r="H1878" s="31"/>
      <c r="I1878" s="31"/>
      <c r="J1878" s="31"/>
      <c r="K1878" s="31"/>
      <c r="L1878" s="31"/>
      <c r="M1878" s="31"/>
      <c r="N1878" s="31"/>
      <c r="O1878" s="31"/>
      <c r="P1878" s="3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E1878" s="57" t="str">
        <f t="shared" si="168"/>
        <v/>
      </c>
      <c r="AF1878" s="18" t="str">
        <f t="shared" si="169"/>
        <v/>
      </c>
      <c r="AG1878" s="18" t="str">
        <f t="shared" si="170"/>
        <v/>
      </c>
      <c r="AH1878" s="18" t="str">
        <f t="shared" si="171"/>
        <v/>
      </c>
      <c r="AI1878" s="18" t="str">
        <f t="shared" si="172"/>
        <v/>
      </c>
      <c r="AJ1878" s="18" t="str">
        <f t="shared" si="173"/>
        <v/>
      </c>
      <c r="AK1878" s="18" t="str">
        <f t="shared" si="174"/>
        <v/>
      </c>
      <c r="AL1878" s="18" t="str">
        <f t="shared" si="175"/>
        <v/>
      </c>
      <c r="AM1878" s="18" t="str">
        <f t="shared" si="176"/>
        <v/>
      </c>
    </row>
    <row r="1879" spans="1:39" x14ac:dyDescent="0.35">
      <c r="A1879" s="56" t="s">
        <v>1947</v>
      </c>
      <c r="B1879" s="31"/>
      <c r="C1879" s="54"/>
      <c r="D1879" s="31"/>
      <c r="E1879" s="31"/>
      <c r="F1879" s="31"/>
      <c r="G1879" s="31"/>
      <c r="H1879" s="31"/>
      <c r="I1879" s="31"/>
      <c r="J1879" s="31"/>
      <c r="K1879" s="31"/>
      <c r="L1879" s="31"/>
      <c r="M1879" s="31"/>
      <c r="N1879" s="31"/>
      <c r="O1879" s="31"/>
      <c r="P1879" s="3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E1879" s="57" t="str">
        <f t="shared" si="168"/>
        <v/>
      </c>
      <c r="AF1879" s="18" t="str">
        <f t="shared" si="169"/>
        <v/>
      </c>
      <c r="AG1879" s="18" t="str">
        <f t="shared" si="170"/>
        <v/>
      </c>
      <c r="AH1879" s="18" t="str">
        <f t="shared" si="171"/>
        <v/>
      </c>
      <c r="AI1879" s="18" t="str">
        <f t="shared" si="172"/>
        <v/>
      </c>
      <c r="AJ1879" s="18" t="str">
        <f t="shared" si="173"/>
        <v/>
      </c>
      <c r="AK1879" s="18" t="str">
        <f t="shared" si="174"/>
        <v/>
      </c>
      <c r="AL1879" s="18" t="str">
        <f t="shared" si="175"/>
        <v/>
      </c>
      <c r="AM1879" s="18" t="str">
        <f t="shared" si="176"/>
        <v/>
      </c>
    </row>
    <row r="1880" spans="1:39" x14ac:dyDescent="0.35">
      <c r="A1880" s="56" t="s">
        <v>1948</v>
      </c>
      <c r="B1880" s="31"/>
      <c r="C1880" s="54"/>
      <c r="D1880" s="31"/>
      <c r="E1880" s="31"/>
      <c r="F1880" s="31"/>
      <c r="G1880" s="31"/>
      <c r="H1880" s="31"/>
      <c r="I1880" s="31"/>
      <c r="J1880" s="31"/>
      <c r="K1880" s="31"/>
      <c r="L1880" s="31"/>
      <c r="M1880" s="31"/>
      <c r="N1880" s="31"/>
      <c r="O1880" s="31"/>
      <c r="P1880" s="3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E1880" s="57" t="str">
        <f t="shared" si="168"/>
        <v/>
      </c>
      <c r="AF1880" s="18" t="str">
        <f t="shared" si="169"/>
        <v/>
      </c>
      <c r="AG1880" s="18" t="str">
        <f t="shared" si="170"/>
        <v/>
      </c>
      <c r="AH1880" s="18" t="str">
        <f t="shared" si="171"/>
        <v/>
      </c>
      <c r="AI1880" s="18" t="str">
        <f t="shared" si="172"/>
        <v/>
      </c>
      <c r="AJ1880" s="18" t="str">
        <f t="shared" si="173"/>
        <v/>
      </c>
      <c r="AK1880" s="18" t="str">
        <f t="shared" si="174"/>
        <v/>
      </c>
      <c r="AL1880" s="18" t="str">
        <f t="shared" si="175"/>
        <v/>
      </c>
      <c r="AM1880" s="18" t="str">
        <f t="shared" si="176"/>
        <v/>
      </c>
    </row>
    <row r="1881" spans="1:39" x14ac:dyDescent="0.35">
      <c r="A1881" s="56" t="s">
        <v>1949</v>
      </c>
      <c r="B1881" s="31"/>
      <c r="C1881" s="54"/>
      <c r="D1881" s="31"/>
      <c r="E1881" s="31"/>
      <c r="F1881" s="31"/>
      <c r="G1881" s="31"/>
      <c r="H1881" s="31"/>
      <c r="I1881" s="31"/>
      <c r="J1881" s="31"/>
      <c r="K1881" s="31"/>
      <c r="L1881" s="31"/>
      <c r="M1881" s="31"/>
      <c r="N1881" s="31"/>
      <c r="O1881" s="31"/>
      <c r="P1881" s="3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E1881" s="57" t="str">
        <f t="shared" si="168"/>
        <v/>
      </c>
      <c r="AF1881" s="18" t="str">
        <f t="shared" si="169"/>
        <v/>
      </c>
      <c r="AG1881" s="18" t="str">
        <f t="shared" si="170"/>
        <v/>
      </c>
      <c r="AH1881" s="18" t="str">
        <f t="shared" si="171"/>
        <v/>
      </c>
      <c r="AI1881" s="18" t="str">
        <f t="shared" si="172"/>
        <v/>
      </c>
      <c r="AJ1881" s="18" t="str">
        <f t="shared" si="173"/>
        <v/>
      </c>
      <c r="AK1881" s="18" t="str">
        <f t="shared" si="174"/>
        <v/>
      </c>
      <c r="AL1881" s="18" t="str">
        <f t="shared" si="175"/>
        <v/>
      </c>
      <c r="AM1881" s="18" t="str">
        <f t="shared" si="176"/>
        <v/>
      </c>
    </row>
    <row r="1882" spans="1:39" x14ac:dyDescent="0.35">
      <c r="A1882" s="56" t="s">
        <v>1950</v>
      </c>
      <c r="B1882" s="31"/>
      <c r="C1882" s="54"/>
      <c r="D1882" s="31"/>
      <c r="E1882" s="31"/>
      <c r="F1882" s="31"/>
      <c r="G1882" s="31"/>
      <c r="H1882" s="31"/>
      <c r="I1882" s="31"/>
      <c r="J1882" s="31"/>
      <c r="K1882" s="31"/>
      <c r="L1882" s="31"/>
      <c r="M1882" s="31"/>
      <c r="N1882" s="31"/>
      <c r="O1882" s="31"/>
      <c r="P1882" s="3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E1882" s="57" t="str">
        <f t="shared" si="168"/>
        <v/>
      </c>
      <c r="AF1882" s="18" t="str">
        <f t="shared" si="169"/>
        <v/>
      </c>
      <c r="AG1882" s="18" t="str">
        <f t="shared" si="170"/>
        <v/>
      </c>
      <c r="AH1882" s="18" t="str">
        <f t="shared" si="171"/>
        <v/>
      </c>
      <c r="AI1882" s="18" t="str">
        <f t="shared" si="172"/>
        <v/>
      </c>
      <c r="AJ1882" s="18" t="str">
        <f t="shared" si="173"/>
        <v/>
      </c>
      <c r="AK1882" s="18" t="str">
        <f t="shared" si="174"/>
        <v/>
      </c>
      <c r="AL1882" s="18" t="str">
        <f t="shared" si="175"/>
        <v/>
      </c>
      <c r="AM1882" s="18" t="str">
        <f t="shared" si="176"/>
        <v/>
      </c>
    </row>
    <row r="1883" spans="1:39" x14ac:dyDescent="0.35">
      <c r="A1883" s="56" t="s">
        <v>1951</v>
      </c>
      <c r="B1883" s="31"/>
      <c r="C1883" s="54"/>
      <c r="D1883" s="31"/>
      <c r="E1883" s="31"/>
      <c r="F1883" s="31"/>
      <c r="G1883" s="31"/>
      <c r="H1883" s="31"/>
      <c r="I1883" s="31"/>
      <c r="J1883" s="31"/>
      <c r="K1883" s="31"/>
      <c r="L1883" s="31"/>
      <c r="M1883" s="31"/>
      <c r="N1883" s="31"/>
      <c r="O1883" s="31"/>
      <c r="P1883" s="3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E1883" s="57" t="str">
        <f t="shared" si="168"/>
        <v/>
      </c>
      <c r="AF1883" s="18" t="str">
        <f t="shared" si="169"/>
        <v/>
      </c>
      <c r="AG1883" s="18" t="str">
        <f t="shared" si="170"/>
        <v/>
      </c>
      <c r="AH1883" s="18" t="str">
        <f t="shared" si="171"/>
        <v/>
      </c>
      <c r="AI1883" s="18" t="str">
        <f t="shared" si="172"/>
        <v/>
      </c>
      <c r="AJ1883" s="18" t="str">
        <f t="shared" si="173"/>
        <v/>
      </c>
      <c r="AK1883" s="18" t="str">
        <f t="shared" si="174"/>
        <v/>
      </c>
      <c r="AL1883" s="18" t="str">
        <f t="shared" si="175"/>
        <v/>
      </c>
      <c r="AM1883" s="18" t="str">
        <f t="shared" si="176"/>
        <v/>
      </c>
    </row>
    <row r="1884" spans="1:39" x14ac:dyDescent="0.35">
      <c r="A1884" s="56" t="s">
        <v>1952</v>
      </c>
      <c r="B1884" s="31"/>
      <c r="C1884" s="54"/>
      <c r="D1884" s="31"/>
      <c r="E1884" s="31"/>
      <c r="F1884" s="31"/>
      <c r="G1884" s="31"/>
      <c r="H1884" s="31"/>
      <c r="I1884" s="31"/>
      <c r="J1884" s="31"/>
      <c r="K1884" s="31"/>
      <c r="L1884" s="31"/>
      <c r="M1884" s="31"/>
      <c r="N1884" s="31"/>
      <c r="O1884" s="31"/>
      <c r="P1884" s="3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E1884" s="57" t="str">
        <f t="shared" si="168"/>
        <v/>
      </c>
      <c r="AF1884" s="18" t="str">
        <f t="shared" si="169"/>
        <v/>
      </c>
      <c r="AG1884" s="18" t="str">
        <f t="shared" si="170"/>
        <v/>
      </c>
      <c r="AH1884" s="18" t="str">
        <f t="shared" si="171"/>
        <v/>
      </c>
      <c r="AI1884" s="18" t="str">
        <f t="shared" si="172"/>
        <v/>
      </c>
      <c r="AJ1884" s="18" t="str">
        <f t="shared" si="173"/>
        <v/>
      </c>
      <c r="AK1884" s="18" t="str">
        <f t="shared" si="174"/>
        <v/>
      </c>
      <c r="AL1884" s="18" t="str">
        <f t="shared" si="175"/>
        <v/>
      </c>
      <c r="AM1884" s="18" t="str">
        <f t="shared" si="176"/>
        <v/>
      </c>
    </row>
    <row r="1885" spans="1:39" x14ac:dyDescent="0.35">
      <c r="A1885" s="56" t="s">
        <v>1953</v>
      </c>
      <c r="B1885" s="31"/>
      <c r="C1885" s="54"/>
      <c r="D1885" s="31"/>
      <c r="E1885" s="31"/>
      <c r="F1885" s="31"/>
      <c r="G1885" s="31"/>
      <c r="H1885" s="31"/>
      <c r="I1885" s="31"/>
      <c r="J1885" s="31"/>
      <c r="K1885" s="31"/>
      <c r="L1885" s="31"/>
      <c r="M1885" s="31"/>
      <c r="N1885" s="31"/>
      <c r="O1885" s="31"/>
      <c r="P1885" s="3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E1885" s="57" t="str">
        <f t="shared" si="168"/>
        <v/>
      </c>
      <c r="AF1885" s="18" t="str">
        <f t="shared" si="169"/>
        <v/>
      </c>
      <c r="AG1885" s="18" t="str">
        <f t="shared" si="170"/>
        <v/>
      </c>
      <c r="AH1885" s="18" t="str">
        <f t="shared" si="171"/>
        <v/>
      </c>
      <c r="AI1885" s="18" t="str">
        <f t="shared" si="172"/>
        <v/>
      </c>
      <c r="AJ1885" s="18" t="str">
        <f t="shared" si="173"/>
        <v/>
      </c>
      <c r="AK1885" s="18" t="str">
        <f t="shared" si="174"/>
        <v/>
      </c>
      <c r="AL1885" s="18" t="str">
        <f t="shared" si="175"/>
        <v/>
      </c>
      <c r="AM1885" s="18" t="str">
        <f t="shared" si="176"/>
        <v/>
      </c>
    </row>
    <row r="1886" spans="1:39" x14ac:dyDescent="0.35">
      <c r="A1886" s="56" t="s">
        <v>1954</v>
      </c>
      <c r="B1886" s="31"/>
      <c r="C1886" s="54"/>
      <c r="D1886" s="31"/>
      <c r="E1886" s="31"/>
      <c r="F1886" s="31"/>
      <c r="G1886" s="31"/>
      <c r="H1886" s="31"/>
      <c r="I1886" s="31"/>
      <c r="J1886" s="31"/>
      <c r="K1886" s="31"/>
      <c r="L1886" s="31"/>
      <c r="M1886" s="31"/>
      <c r="N1886" s="31"/>
      <c r="O1886" s="31"/>
      <c r="P1886" s="3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E1886" s="57" t="str">
        <f t="shared" si="168"/>
        <v/>
      </c>
      <c r="AF1886" s="18" t="str">
        <f t="shared" si="169"/>
        <v/>
      </c>
      <c r="AG1886" s="18" t="str">
        <f t="shared" si="170"/>
        <v/>
      </c>
      <c r="AH1886" s="18" t="str">
        <f t="shared" si="171"/>
        <v/>
      </c>
      <c r="AI1886" s="18" t="str">
        <f t="shared" si="172"/>
        <v/>
      </c>
      <c r="AJ1886" s="18" t="str">
        <f t="shared" si="173"/>
        <v/>
      </c>
      <c r="AK1886" s="18" t="str">
        <f t="shared" si="174"/>
        <v/>
      </c>
      <c r="AL1886" s="18" t="str">
        <f t="shared" si="175"/>
        <v/>
      </c>
      <c r="AM1886" s="18" t="str">
        <f t="shared" si="176"/>
        <v/>
      </c>
    </row>
    <row r="1887" spans="1:39" x14ac:dyDescent="0.35">
      <c r="A1887" s="56" t="s">
        <v>1955</v>
      </c>
      <c r="B1887" s="31"/>
      <c r="C1887" s="54"/>
      <c r="D1887" s="31"/>
      <c r="E1887" s="31"/>
      <c r="F1887" s="31"/>
      <c r="G1887" s="31"/>
      <c r="H1887" s="31"/>
      <c r="I1887" s="31"/>
      <c r="J1887" s="31"/>
      <c r="K1887" s="31"/>
      <c r="L1887" s="31"/>
      <c r="M1887" s="31"/>
      <c r="N1887" s="31"/>
      <c r="O1887" s="31"/>
      <c r="P1887" s="3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E1887" s="57" t="str">
        <f t="shared" si="168"/>
        <v/>
      </c>
      <c r="AF1887" s="18" t="str">
        <f t="shared" si="169"/>
        <v/>
      </c>
      <c r="AG1887" s="18" t="str">
        <f t="shared" si="170"/>
        <v/>
      </c>
      <c r="AH1887" s="18" t="str">
        <f t="shared" si="171"/>
        <v/>
      </c>
      <c r="AI1887" s="18" t="str">
        <f t="shared" si="172"/>
        <v/>
      </c>
      <c r="AJ1887" s="18" t="str">
        <f t="shared" si="173"/>
        <v/>
      </c>
      <c r="AK1887" s="18" t="str">
        <f t="shared" si="174"/>
        <v/>
      </c>
      <c r="AL1887" s="18" t="str">
        <f t="shared" si="175"/>
        <v/>
      </c>
      <c r="AM1887" s="18" t="str">
        <f t="shared" si="176"/>
        <v/>
      </c>
    </row>
    <row r="1888" spans="1:39" x14ac:dyDescent="0.35">
      <c r="A1888" s="56" t="s">
        <v>1956</v>
      </c>
      <c r="B1888" s="31"/>
      <c r="C1888" s="54"/>
      <c r="D1888" s="31"/>
      <c r="E1888" s="31"/>
      <c r="F1888" s="31"/>
      <c r="G1888" s="31"/>
      <c r="H1888" s="31"/>
      <c r="I1888" s="31"/>
      <c r="J1888" s="31"/>
      <c r="K1888" s="31"/>
      <c r="L1888" s="31"/>
      <c r="M1888" s="31"/>
      <c r="N1888" s="31"/>
      <c r="O1888" s="31"/>
      <c r="P1888" s="3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E1888" s="57" t="str">
        <f t="shared" si="168"/>
        <v/>
      </c>
      <c r="AF1888" s="18" t="str">
        <f t="shared" si="169"/>
        <v/>
      </c>
      <c r="AG1888" s="18" t="str">
        <f t="shared" si="170"/>
        <v/>
      </c>
      <c r="AH1888" s="18" t="str">
        <f t="shared" si="171"/>
        <v/>
      </c>
      <c r="AI1888" s="18" t="str">
        <f t="shared" si="172"/>
        <v/>
      </c>
      <c r="AJ1888" s="18" t="str">
        <f t="shared" si="173"/>
        <v/>
      </c>
      <c r="AK1888" s="18" t="str">
        <f t="shared" si="174"/>
        <v/>
      </c>
      <c r="AL1888" s="18" t="str">
        <f t="shared" si="175"/>
        <v/>
      </c>
      <c r="AM1888" s="18" t="str">
        <f t="shared" si="176"/>
        <v/>
      </c>
    </row>
    <row r="1889" spans="1:39" x14ac:dyDescent="0.35">
      <c r="A1889" s="56" t="s">
        <v>1957</v>
      </c>
      <c r="B1889" s="31"/>
      <c r="C1889" s="54"/>
      <c r="D1889" s="31"/>
      <c r="E1889" s="31"/>
      <c r="F1889" s="31"/>
      <c r="G1889" s="31"/>
      <c r="H1889" s="31"/>
      <c r="I1889" s="31"/>
      <c r="J1889" s="31"/>
      <c r="K1889" s="31"/>
      <c r="L1889" s="31"/>
      <c r="M1889" s="31"/>
      <c r="N1889" s="31"/>
      <c r="O1889" s="31"/>
      <c r="P1889" s="3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E1889" s="57" t="str">
        <f t="shared" si="168"/>
        <v/>
      </c>
      <c r="AF1889" s="18" t="str">
        <f t="shared" si="169"/>
        <v/>
      </c>
      <c r="AG1889" s="18" t="str">
        <f t="shared" si="170"/>
        <v/>
      </c>
      <c r="AH1889" s="18" t="str">
        <f t="shared" si="171"/>
        <v/>
      </c>
      <c r="AI1889" s="18" t="str">
        <f t="shared" si="172"/>
        <v/>
      </c>
      <c r="AJ1889" s="18" t="str">
        <f t="shared" si="173"/>
        <v/>
      </c>
      <c r="AK1889" s="18" t="str">
        <f t="shared" si="174"/>
        <v/>
      </c>
      <c r="AL1889" s="18" t="str">
        <f t="shared" si="175"/>
        <v/>
      </c>
      <c r="AM1889" s="18" t="str">
        <f t="shared" si="176"/>
        <v/>
      </c>
    </row>
    <row r="1890" spans="1:39" x14ac:dyDescent="0.35">
      <c r="A1890" s="56" t="s">
        <v>1958</v>
      </c>
      <c r="B1890" s="31"/>
      <c r="C1890" s="54"/>
      <c r="D1890" s="31"/>
      <c r="E1890" s="31"/>
      <c r="F1890" s="31"/>
      <c r="G1890" s="31"/>
      <c r="H1890" s="31"/>
      <c r="I1890" s="31"/>
      <c r="J1890" s="31"/>
      <c r="K1890" s="31"/>
      <c r="L1890" s="31"/>
      <c r="M1890" s="31"/>
      <c r="N1890" s="31"/>
      <c r="O1890" s="31"/>
      <c r="P1890" s="3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E1890" s="57" t="str">
        <f t="shared" si="168"/>
        <v/>
      </c>
      <c r="AF1890" s="18" t="str">
        <f t="shared" si="169"/>
        <v/>
      </c>
      <c r="AG1890" s="18" t="str">
        <f t="shared" si="170"/>
        <v/>
      </c>
      <c r="AH1890" s="18" t="str">
        <f t="shared" si="171"/>
        <v/>
      </c>
      <c r="AI1890" s="18" t="str">
        <f t="shared" si="172"/>
        <v/>
      </c>
      <c r="AJ1890" s="18" t="str">
        <f t="shared" si="173"/>
        <v/>
      </c>
      <c r="AK1890" s="18" t="str">
        <f t="shared" si="174"/>
        <v/>
      </c>
      <c r="AL1890" s="18" t="str">
        <f t="shared" si="175"/>
        <v/>
      </c>
      <c r="AM1890" s="18" t="str">
        <f t="shared" si="176"/>
        <v/>
      </c>
    </row>
    <row r="1891" spans="1:39" x14ac:dyDescent="0.35">
      <c r="A1891" s="56" t="s">
        <v>1959</v>
      </c>
      <c r="B1891" s="31"/>
      <c r="C1891" s="54"/>
      <c r="D1891" s="31"/>
      <c r="E1891" s="31"/>
      <c r="F1891" s="31"/>
      <c r="G1891" s="31"/>
      <c r="H1891" s="31"/>
      <c r="I1891" s="31"/>
      <c r="J1891" s="31"/>
      <c r="K1891" s="31"/>
      <c r="L1891" s="31"/>
      <c r="M1891" s="31"/>
      <c r="N1891" s="31"/>
      <c r="O1891" s="31"/>
      <c r="P1891" s="3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E1891" s="57" t="str">
        <f t="shared" si="168"/>
        <v/>
      </c>
      <c r="AF1891" s="18" t="str">
        <f t="shared" si="169"/>
        <v/>
      </c>
      <c r="AG1891" s="18" t="str">
        <f t="shared" si="170"/>
        <v/>
      </c>
      <c r="AH1891" s="18" t="str">
        <f t="shared" si="171"/>
        <v/>
      </c>
      <c r="AI1891" s="18" t="str">
        <f t="shared" si="172"/>
        <v/>
      </c>
      <c r="AJ1891" s="18" t="str">
        <f t="shared" si="173"/>
        <v/>
      </c>
      <c r="AK1891" s="18" t="str">
        <f t="shared" si="174"/>
        <v/>
      </c>
      <c r="AL1891" s="18" t="str">
        <f t="shared" si="175"/>
        <v/>
      </c>
      <c r="AM1891" s="18" t="str">
        <f t="shared" si="176"/>
        <v/>
      </c>
    </row>
    <row r="1892" spans="1:39" x14ac:dyDescent="0.35">
      <c r="A1892" s="56" t="s">
        <v>1960</v>
      </c>
      <c r="B1892" s="31"/>
      <c r="C1892" s="54"/>
      <c r="D1892" s="31"/>
      <c r="E1892" s="31"/>
      <c r="F1892" s="31"/>
      <c r="G1892" s="31"/>
      <c r="H1892" s="31"/>
      <c r="I1892" s="31"/>
      <c r="J1892" s="31"/>
      <c r="K1892" s="31"/>
      <c r="L1892" s="31"/>
      <c r="M1892" s="31"/>
      <c r="N1892" s="31"/>
      <c r="O1892" s="31"/>
      <c r="P1892" s="3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E1892" s="57" t="str">
        <f t="shared" si="168"/>
        <v/>
      </c>
      <c r="AF1892" s="18" t="str">
        <f t="shared" si="169"/>
        <v/>
      </c>
      <c r="AG1892" s="18" t="str">
        <f t="shared" si="170"/>
        <v/>
      </c>
      <c r="AH1892" s="18" t="str">
        <f t="shared" si="171"/>
        <v/>
      </c>
      <c r="AI1892" s="18" t="str">
        <f t="shared" si="172"/>
        <v/>
      </c>
      <c r="AJ1892" s="18" t="str">
        <f t="shared" si="173"/>
        <v/>
      </c>
      <c r="AK1892" s="18" t="str">
        <f t="shared" si="174"/>
        <v/>
      </c>
      <c r="AL1892" s="18" t="str">
        <f t="shared" si="175"/>
        <v/>
      </c>
      <c r="AM1892" s="18" t="str">
        <f t="shared" si="176"/>
        <v/>
      </c>
    </row>
    <row r="1893" spans="1:39" x14ac:dyDescent="0.35">
      <c r="A1893" s="56" t="s">
        <v>1961</v>
      </c>
      <c r="B1893" s="31"/>
      <c r="C1893" s="54"/>
      <c r="D1893" s="31"/>
      <c r="E1893" s="31"/>
      <c r="F1893" s="31"/>
      <c r="G1893" s="31"/>
      <c r="H1893" s="31"/>
      <c r="I1893" s="31"/>
      <c r="J1893" s="31"/>
      <c r="K1893" s="31"/>
      <c r="L1893" s="31"/>
      <c r="M1893" s="31"/>
      <c r="N1893" s="31"/>
      <c r="O1893" s="31"/>
      <c r="P1893" s="3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E1893" s="57" t="str">
        <f t="shared" si="168"/>
        <v/>
      </c>
      <c r="AF1893" s="18" t="str">
        <f t="shared" si="169"/>
        <v/>
      </c>
      <c r="AG1893" s="18" t="str">
        <f t="shared" si="170"/>
        <v/>
      </c>
      <c r="AH1893" s="18" t="str">
        <f t="shared" si="171"/>
        <v/>
      </c>
      <c r="AI1893" s="18" t="str">
        <f t="shared" si="172"/>
        <v/>
      </c>
      <c r="AJ1893" s="18" t="str">
        <f t="shared" si="173"/>
        <v/>
      </c>
      <c r="AK1893" s="18" t="str">
        <f t="shared" si="174"/>
        <v/>
      </c>
      <c r="AL1893" s="18" t="str">
        <f t="shared" si="175"/>
        <v/>
      </c>
      <c r="AM1893" s="18" t="str">
        <f t="shared" si="176"/>
        <v/>
      </c>
    </row>
    <row r="1894" spans="1:39" x14ac:dyDescent="0.35">
      <c r="A1894" s="56" t="s">
        <v>1962</v>
      </c>
      <c r="B1894" s="31"/>
      <c r="C1894" s="54"/>
      <c r="D1894" s="31"/>
      <c r="E1894" s="31"/>
      <c r="F1894" s="31"/>
      <c r="G1894" s="31"/>
      <c r="H1894" s="31"/>
      <c r="I1894" s="31"/>
      <c r="J1894" s="31"/>
      <c r="K1894" s="31"/>
      <c r="L1894" s="31"/>
      <c r="M1894" s="31"/>
      <c r="N1894" s="31"/>
      <c r="O1894" s="31"/>
      <c r="P1894" s="3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E1894" s="57" t="str">
        <f t="shared" si="168"/>
        <v/>
      </c>
      <c r="AF1894" s="18" t="str">
        <f t="shared" si="169"/>
        <v/>
      </c>
      <c r="AG1894" s="18" t="str">
        <f t="shared" si="170"/>
        <v/>
      </c>
      <c r="AH1894" s="18" t="str">
        <f t="shared" si="171"/>
        <v/>
      </c>
      <c r="AI1894" s="18" t="str">
        <f t="shared" si="172"/>
        <v/>
      </c>
      <c r="AJ1894" s="18" t="str">
        <f t="shared" si="173"/>
        <v/>
      </c>
      <c r="AK1894" s="18" t="str">
        <f t="shared" si="174"/>
        <v/>
      </c>
      <c r="AL1894" s="18" t="str">
        <f t="shared" si="175"/>
        <v/>
      </c>
      <c r="AM1894" s="18" t="str">
        <f t="shared" si="176"/>
        <v/>
      </c>
    </row>
    <row r="1895" spans="1:39" x14ac:dyDescent="0.35">
      <c r="A1895" s="56" t="s">
        <v>1963</v>
      </c>
      <c r="B1895" s="31"/>
      <c r="C1895" s="54"/>
      <c r="D1895" s="31"/>
      <c r="E1895" s="31"/>
      <c r="F1895" s="31"/>
      <c r="G1895" s="31"/>
      <c r="H1895" s="31"/>
      <c r="I1895" s="31"/>
      <c r="J1895" s="31"/>
      <c r="K1895" s="31"/>
      <c r="L1895" s="31"/>
      <c r="M1895" s="31"/>
      <c r="N1895" s="31"/>
      <c r="O1895" s="31"/>
      <c r="P1895" s="3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E1895" s="57" t="str">
        <f t="shared" si="168"/>
        <v/>
      </c>
      <c r="AF1895" s="18" t="str">
        <f t="shared" si="169"/>
        <v/>
      </c>
      <c r="AG1895" s="18" t="str">
        <f t="shared" si="170"/>
        <v/>
      </c>
      <c r="AH1895" s="18" t="str">
        <f t="shared" si="171"/>
        <v/>
      </c>
      <c r="AI1895" s="18" t="str">
        <f t="shared" si="172"/>
        <v/>
      </c>
      <c r="AJ1895" s="18" t="str">
        <f t="shared" si="173"/>
        <v/>
      </c>
      <c r="AK1895" s="18" t="str">
        <f t="shared" si="174"/>
        <v/>
      </c>
      <c r="AL1895" s="18" t="str">
        <f t="shared" si="175"/>
        <v/>
      </c>
      <c r="AM1895" s="18" t="str">
        <f t="shared" si="176"/>
        <v/>
      </c>
    </row>
    <row r="1896" spans="1:39" x14ac:dyDescent="0.35">
      <c r="A1896" s="56" t="s">
        <v>1964</v>
      </c>
      <c r="B1896" s="31"/>
      <c r="C1896" s="54"/>
      <c r="D1896" s="31"/>
      <c r="E1896" s="31"/>
      <c r="F1896" s="31"/>
      <c r="G1896" s="31"/>
      <c r="H1896" s="31"/>
      <c r="I1896" s="31"/>
      <c r="J1896" s="31"/>
      <c r="K1896" s="31"/>
      <c r="L1896" s="31"/>
      <c r="M1896" s="31"/>
      <c r="N1896" s="31"/>
      <c r="O1896" s="31"/>
      <c r="P1896" s="3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E1896" s="57" t="str">
        <f t="shared" si="168"/>
        <v/>
      </c>
      <c r="AF1896" s="18" t="str">
        <f t="shared" si="169"/>
        <v/>
      </c>
      <c r="AG1896" s="18" t="str">
        <f t="shared" si="170"/>
        <v/>
      </c>
      <c r="AH1896" s="18" t="str">
        <f t="shared" si="171"/>
        <v/>
      </c>
      <c r="AI1896" s="18" t="str">
        <f t="shared" si="172"/>
        <v/>
      </c>
      <c r="AJ1896" s="18" t="str">
        <f t="shared" si="173"/>
        <v/>
      </c>
      <c r="AK1896" s="18" t="str">
        <f t="shared" si="174"/>
        <v/>
      </c>
      <c r="AL1896" s="18" t="str">
        <f t="shared" si="175"/>
        <v/>
      </c>
      <c r="AM1896" s="18" t="str">
        <f t="shared" si="176"/>
        <v/>
      </c>
    </row>
    <row r="1897" spans="1:39" x14ac:dyDescent="0.35">
      <c r="A1897" s="56" t="s">
        <v>1965</v>
      </c>
      <c r="B1897" s="31"/>
      <c r="C1897" s="54"/>
      <c r="D1897" s="31"/>
      <c r="E1897" s="31"/>
      <c r="F1897" s="31"/>
      <c r="G1897" s="31"/>
      <c r="H1897" s="31"/>
      <c r="I1897" s="31"/>
      <c r="J1897" s="31"/>
      <c r="K1897" s="31"/>
      <c r="L1897" s="31"/>
      <c r="M1897" s="31"/>
      <c r="N1897" s="31"/>
      <c r="O1897" s="31"/>
      <c r="P1897" s="3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E1897" s="57" t="str">
        <f t="shared" si="168"/>
        <v/>
      </c>
      <c r="AF1897" s="18" t="str">
        <f t="shared" si="169"/>
        <v/>
      </c>
      <c r="AG1897" s="18" t="str">
        <f t="shared" si="170"/>
        <v/>
      </c>
      <c r="AH1897" s="18" t="str">
        <f t="shared" si="171"/>
        <v/>
      </c>
      <c r="AI1897" s="18" t="str">
        <f t="shared" si="172"/>
        <v/>
      </c>
      <c r="AJ1897" s="18" t="str">
        <f t="shared" si="173"/>
        <v/>
      </c>
      <c r="AK1897" s="18" t="str">
        <f t="shared" si="174"/>
        <v/>
      </c>
      <c r="AL1897" s="18" t="str">
        <f t="shared" si="175"/>
        <v/>
      </c>
      <c r="AM1897" s="18" t="str">
        <f t="shared" si="176"/>
        <v/>
      </c>
    </row>
    <row r="1898" spans="1:39" x14ac:dyDescent="0.35">
      <c r="A1898" s="56" t="s">
        <v>1966</v>
      </c>
      <c r="B1898" s="31"/>
      <c r="C1898" s="54"/>
      <c r="D1898" s="31"/>
      <c r="E1898" s="31"/>
      <c r="F1898" s="31"/>
      <c r="G1898" s="31"/>
      <c r="H1898" s="31"/>
      <c r="I1898" s="31"/>
      <c r="J1898" s="31"/>
      <c r="K1898" s="31"/>
      <c r="L1898" s="31"/>
      <c r="M1898" s="31"/>
      <c r="N1898" s="31"/>
      <c r="O1898" s="31"/>
      <c r="P1898" s="3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E1898" s="57" t="str">
        <f t="shared" si="168"/>
        <v/>
      </c>
      <c r="AF1898" s="18" t="str">
        <f t="shared" si="169"/>
        <v/>
      </c>
      <c r="AG1898" s="18" t="str">
        <f t="shared" si="170"/>
        <v/>
      </c>
      <c r="AH1898" s="18" t="str">
        <f t="shared" si="171"/>
        <v/>
      </c>
      <c r="AI1898" s="18" t="str">
        <f t="shared" si="172"/>
        <v/>
      </c>
      <c r="AJ1898" s="18" t="str">
        <f t="shared" si="173"/>
        <v/>
      </c>
      <c r="AK1898" s="18" t="str">
        <f t="shared" si="174"/>
        <v/>
      </c>
      <c r="AL1898" s="18" t="str">
        <f t="shared" si="175"/>
        <v/>
      </c>
      <c r="AM1898" s="18" t="str">
        <f t="shared" si="176"/>
        <v/>
      </c>
    </row>
    <row r="1899" spans="1:39" x14ac:dyDescent="0.35">
      <c r="A1899" s="56" t="s">
        <v>1967</v>
      </c>
      <c r="B1899" s="31"/>
      <c r="C1899" s="54"/>
      <c r="D1899" s="31"/>
      <c r="E1899" s="31"/>
      <c r="F1899" s="31"/>
      <c r="G1899" s="31"/>
      <c r="H1899" s="31"/>
      <c r="I1899" s="31"/>
      <c r="J1899" s="31"/>
      <c r="K1899" s="31"/>
      <c r="L1899" s="31"/>
      <c r="M1899" s="31"/>
      <c r="N1899" s="31"/>
      <c r="O1899" s="31"/>
      <c r="P1899" s="3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E1899" s="57" t="str">
        <f t="shared" si="168"/>
        <v/>
      </c>
      <c r="AF1899" s="18" t="str">
        <f t="shared" si="169"/>
        <v/>
      </c>
      <c r="AG1899" s="18" t="str">
        <f t="shared" si="170"/>
        <v/>
      </c>
      <c r="AH1899" s="18" t="str">
        <f t="shared" si="171"/>
        <v/>
      </c>
      <c r="AI1899" s="18" t="str">
        <f t="shared" si="172"/>
        <v/>
      </c>
      <c r="AJ1899" s="18" t="str">
        <f t="shared" si="173"/>
        <v/>
      </c>
      <c r="AK1899" s="18" t="str">
        <f t="shared" si="174"/>
        <v/>
      </c>
      <c r="AL1899" s="18" t="str">
        <f t="shared" si="175"/>
        <v/>
      </c>
      <c r="AM1899" s="18" t="str">
        <f t="shared" si="176"/>
        <v/>
      </c>
    </row>
    <row r="1900" spans="1:39" x14ac:dyDescent="0.35">
      <c r="A1900" s="56" t="s">
        <v>1968</v>
      </c>
      <c r="B1900" s="31"/>
      <c r="C1900" s="54"/>
      <c r="D1900" s="31"/>
      <c r="E1900" s="31"/>
      <c r="F1900" s="31"/>
      <c r="G1900" s="31"/>
      <c r="H1900" s="31"/>
      <c r="I1900" s="31"/>
      <c r="J1900" s="31"/>
      <c r="K1900" s="31"/>
      <c r="L1900" s="31"/>
      <c r="M1900" s="31"/>
      <c r="N1900" s="31"/>
      <c r="O1900" s="31"/>
      <c r="P1900" s="3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E1900" s="57" t="str">
        <f t="shared" si="168"/>
        <v/>
      </c>
      <c r="AF1900" s="18" t="str">
        <f t="shared" si="169"/>
        <v/>
      </c>
      <c r="AG1900" s="18" t="str">
        <f t="shared" si="170"/>
        <v/>
      </c>
      <c r="AH1900" s="18" t="str">
        <f t="shared" si="171"/>
        <v/>
      </c>
      <c r="AI1900" s="18" t="str">
        <f t="shared" si="172"/>
        <v/>
      </c>
      <c r="AJ1900" s="18" t="str">
        <f t="shared" si="173"/>
        <v/>
      </c>
      <c r="AK1900" s="18" t="str">
        <f t="shared" si="174"/>
        <v/>
      </c>
      <c r="AL1900" s="18" t="str">
        <f t="shared" si="175"/>
        <v/>
      </c>
      <c r="AM1900" s="18" t="str">
        <f t="shared" si="176"/>
        <v/>
      </c>
    </row>
    <row r="1901" spans="1:39" x14ac:dyDescent="0.35">
      <c r="A1901" s="56" t="s">
        <v>1969</v>
      </c>
      <c r="B1901" s="31"/>
      <c r="C1901" s="54"/>
      <c r="D1901" s="31"/>
      <c r="E1901" s="31"/>
      <c r="F1901" s="31"/>
      <c r="G1901" s="31"/>
      <c r="H1901" s="31"/>
      <c r="I1901" s="31"/>
      <c r="J1901" s="31"/>
      <c r="K1901" s="31"/>
      <c r="L1901" s="31"/>
      <c r="M1901" s="31"/>
      <c r="N1901" s="31"/>
      <c r="O1901" s="31"/>
      <c r="P1901" s="3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E1901" s="57" t="str">
        <f t="shared" si="168"/>
        <v/>
      </c>
      <c r="AF1901" s="18" t="str">
        <f t="shared" si="169"/>
        <v/>
      </c>
      <c r="AG1901" s="18" t="str">
        <f t="shared" si="170"/>
        <v/>
      </c>
      <c r="AH1901" s="18" t="str">
        <f t="shared" si="171"/>
        <v/>
      </c>
      <c r="AI1901" s="18" t="str">
        <f t="shared" si="172"/>
        <v/>
      </c>
      <c r="AJ1901" s="18" t="str">
        <f t="shared" si="173"/>
        <v/>
      </c>
      <c r="AK1901" s="18" t="str">
        <f t="shared" si="174"/>
        <v/>
      </c>
      <c r="AL1901" s="18" t="str">
        <f t="shared" si="175"/>
        <v/>
      </c>
      <c r="AM1901" s="18" t="str">
        <f t="shared" si="176"/>
        <v/>
      </c>
    </row>
    <row r="1902" spans="1:39" x14ac:dyDescent="0.35">
      <c r="A1902" s="56" t="s">
        <v>1970</v>
      </c>
      <c r="B1902" s="31"/>
      <c r="C1902" s="54"/>
      <c r="D1902" s="31"/>
      <c r="E1902" s="31"/>
      <c r="F1902" s="31"/>
      <c r="G1902" s="31"/>
      <c r="H1902" s="31"/>
      <c r="I1902" s="31"/>
      <c r="J1902" s="31"/>
      <c r="K1902" s="31"/>
      <c r="L1902" s="31"/>
      <c r="M1902" s="31"/>
      <c r="N1902" s="31"/>
      <c r="O1902" s="31"/>
      <c r="P1902" s="3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E1902" s="57" t="str">
        <f t="shared" si="168"/>
        <v/>
      </c>
      <c r="AF1902" s="18" t="str">
        <f t="shared" si="169"/>
        <v/>
      </c>
      <c r="AG1902" s="18" t="str">
        <f t="shared" si="170"/>
        <v/>
      </c>
      <c r="AH1902" s="18" t="str">
        <f t="shared" si="171"/>
        <v/>
      </c>
      <c r="AI1902" s="18" t="str">
        <f t="shared" si="172"/>
        <v/>
      </c>
      <c r="AJ1902" s="18" t="str">
        <f t="shared" si="173"/>
        <v/>
      </c>
      <c r="AK1902" s="18" t="str">
        <f t="shared" si="174"/>
        <v/>
      </c>
      <c r="AL1902" s="18" t="str">
        <f t="shared" si="175"/>
        <v/>
      </c>
      <c r="AM1902" s="18" t="str">
        <f t="shared" si="176"/>
        <v/>
      </c>
    </row>
    <row r="1903" spans="1:39" x14ac:dyDescent="0.35">
      <c r="A1903" s="56" t="s">
        <v>1971</v>
      </c>
      <c r="B1903" s="31"/>
      <c r="C1903" s="54"/>
      <c r="D1903" s="31"/>
      <c r="E1903" s="31"/>
      <c r="F1903" s="31"/>
      <c r="G1903" s="31"/>
      <c r="H1903" s="31"/>
      <c r="I1903" s="31"/>
      <c r="J1903" s="31"/>
      <c r="K1903" s="31"/>
      <c r="L1903" s="31"/>
      <c r="M1903" s="31"/>
      <c r="N1903" s="31"/>
      <c r="O1903" s="31"/>
      <c r="P1903" s="3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E1903" s="57" t="str">
        <f t="shared" si="168"/>
        <v/>
      </c>
      <c r="AF1903" s="18" t="str">
        <f t="shared" si="169"/>
        <v/>
      </c>
      <c r="AG1903" s="18" t="str">
        <f t="shared" si="170"/>
        <v/>
      </c>
      <c r="AH1903" s="18" t="str">
        <f t="shared" si="171"/>
        <v/>
      </c>
      <c r="AI1903" s="18" t="str">
        <f t="shared" si="172"/>
        <v/>
      </c>
      <c r="AJ1903" s="18" t="str">
        <f t="shared" si="173"/>
        <v/>
      </c>
      <c r="AK1903" s="18" t="str">
        <f t="shared" si="174"/>
        <v/>
      </c>
      <c r="AL1903" s="18" t="str">
        <f t="shared" si="175"/>
        <v/>
      </c>
      <c r="AM1903" s="18" t="str">
        <f t="shared" si="176"/>
        <v/>
      </c>
    </row>
    <row r="1904" spans="1:39" x14ac:dyDescent="0.35">
      <c r="A1904" s="56" t="s">
        <v>1972</v>
      </c>
      <c r="B1904" s="31"/>
      <c r="C1904" s="54"/>
      <c r="D1904" s="31"/>
      <c r="E1904" s="31"/>
      <c r="F1904" s="31"/>
      <c r="G1904" s="31"/>
      <c r="H1904" s="31"/>
      <c r="I1904" s="31"/>
      <c r="J1904" s="31"/>
      <c r="K1904" s="31"/>
      <c r="L1904" s="31"/>
      <c r="M1904" s="31"/>
      <c r="N1904" s="31"/>
      <c r="O1904" s="31"/>
      <c r="P1904" s="3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E1904" s="57" t="str">
        <f t="shared" si="168"/>
        <v/>
      </c>
      <c r="AF1904" s="18" t="str">
        <f t="shared" si="169"/>
        <v/>
      </c>
      <c r="AG1904" s="18" t="str">
        <f t="shared" si="170"/>
        <v/>
      </c>
      <c r="AH1904" s="18" t="str">
        <f t="shared" si="171"/>
        <v/>
      </c>
      <c r="AI1904" s="18" t="str">
        <f t="shared" si="172"/>
        <v/>
      </c>
      <c r="AJ1904" s="18" t="str">
        <f t="shared" si="173"/>
        <v/>
      </c>
      <c r="AK1904" s="18" t="str">
        <f t="shared" si="174"/>
        <v/>
      </c>
      <c r="AL1904" s="18" t="str">
        <f t="shared" si="175"/>
        <v/>
      </c>
      <c r="AM1904" s="18" t="str">
        <f t="shared" si="176"/>
        <v/>
      </c>
    </row>
    <row r="1905" spans="1:39" x14ac:dyDescent="0.35">
      <c r="A1905" s="56" t="s">
        <v>1973</v>
      </c>
      <c r="B1905" s="31"/>
      <c r="C1905" s="54"/>
      <c r="D1905" s="31"/>
      <c r="E1905" s="31"/>
      <c r="F1905" s="31"/>
      <c r="G1905" s="31"/>
      <c r="H1905" s="31"/>
      <c r="I1905" s="31"/>
      <c r="J1905" s="31"/>
      <c r="K1905" s="31"/>
      <c r="L1905" s="31"/>
      <c r="M1905" s="31"/>
      <c r="N1905" s="31"/>
      <c r="O1905" s="31"/>
      <c r="P1905" s="3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E1905" s="57" t="str">
        <f t="shared" si="168"/>
        <v/>
      </c>
      <c r="AF1905" s="18" t="str">
        <f t="shared" si="169"/>
        <v/>
      </c>
      <c r="AG1905" s="18" t="str">
        <f t="shared" si="170"/>
        <v/>
      </c>
      <c r="AH1905" s="18" t="str">
        <f t="shared" si="171"/>
        <v/>
      </c>
      <c r="AI1905" s="18" t="str">
        <f t="shared" si="172"/>
        <v/>
      </c>
      <c r="AJ1905" s="18" t="str">
        <f t="shared" si="173"/>
        <v/>
      </c>
      <c r="AK1905" s="18" t="str">
        <f t="shared" si="174"/>
        <v/>
      </c>
      <c r="AL1905" s="18" t="str">
        <f t="shared" si="175"/>
        <v/>
      </c>
      <c r="AM1905" s="18" t="str">
        <f t="shared" si="176"/>
        <v/>
      </c>
    </row>
    <row r="1906" spans="1:39" x14ac:dyDescent="0.35">
      <c r="A1906" s="56" t="s">
        <v>1974</v>
      </c>
      <c r="B1906" s="31"/>
      <c r="C1906" s="54"/>
      <c r="D1906" s="31"/>
      <c r="E1906" s="31"/>
      <c r="F1906" s="31"/>
      <c r="G1906" s="31"/>
      <c r="H1906" s="31"/>
      <c r="I1906" s="31"/>
      <c r="J1906" s="31"/>
      <c r="K1906" s="31"/>
      <c r="L1906" s="31"/>
      <c r="M1906" s="31"/>
      <c r="N1906" s="31"/>
      <c r="O1906" s="31"/>
      <c r="P1906" s="3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E1906" s="57" t="str">
        <f t="shared" si="168"/>
        <v/>
      </c>
      <c r="AF1906" s="18" t="str">
        <f t="shared" si="169"/>
        <v/>
      </c>
      <c r="AG1906" s="18" t="str">
        <f t="shared" si="170"/>
        <v/>
      </c>
      <c r="AH1906" s="18" t="str">
        <f t="shared" si="171"/>
        <v/>
      </c>
      <c r="AI1906" s="18" t="str">
        <f t="shared" si="172"/>
        <v/>
      </c>
      <c r="AJ1906" s="18" t="str">
        <f t="shared" si="173"/>
        <v/>
      </c>
      <c r="AK1906" s="18" t="str">
        <f t="shared" si="174"/>
        <v/>
      </c>
      <c r="AL1906" s="18" t="str">
        <f t="shared" si="175"/>
        <v/>
      </c>
      <c r="AM1906" s="18" t="str">
        <f t="shared" si="176"/>
        <v/>
      </c>
    </row>
    <row r="1907" spans="1:39" x14ac:dyDescent="0.35">
      <c r="A1907" s="56" t="s">
        <v>1975</v>
      </c>
      <c r="B1907" s="31"/>
      <c r="C1907" s="54"/>
      <c r="D1907" s="31"/>
      <c r="E1907" s="31"/>
      <c r="F1907" s="31"/>
      <c r="G1907" s="31"/>
      <c r="H1907" s="31"/>
      <c r="I1907" s="31"/>
      <c r="J1907" s="31"/>
      <c r="K1907" s="31"/>
      <c r="L1907" s="31"/>
      <c r="M1907" s="31"/>
      <c r="N1907" s="31"/>
      <c r="O1907" s="31"/>
      <c r="P1907" s="3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E1907" s="57" t="str">
        <f t="shared" si="168"/>
        <v/>
      </c>
      <c r="AF1907" s="18" t="str">
        <f t="shared" si="169"/>
        <v/>
      </c>
      <c r="AG1907" s="18" t="str">
        <f t="shared" si="170"/>
        <v/>
      </c>
      <c r="AH1907" s="18" t="str">
        <f t="shared" si="171"/>
        <v/>
      </c>
      <c r="AI1907" s="18" t="str">
        <f t="shared" si="172"/>
        <v/>
      </c>
      <c r="AJ1907" s="18" t="str">
        <f t="shared" si="173"/>
        <v/>
      </c>
      <c r="AK1907" s="18" t="str">
        <f t="shared" si="174"/>
        <v/>
      </c>
      <c r="AL1907" s="18" t="str">
        <f t="shared" si="175"/>
        <v/>
      </c>
      <c r="AM1907" s="18" t="str">
        <f t="shared" si="176"/>
        <v/>
      </c>
    </row>
    <row r="1908" spans="1:39" x14ac:dyDescent="0.35">
      <c r="A1908" s="56" t="s">
        <v>1976</v>
      </c>
      <c r="B1908" s="31"/>
      <c r="C1908" s="54"/>
      <c r="D1908" s="31"/>
      <c r="E1908" s="31"/>
      <c r="F1908" s="31"/>
      <c r="G1908" s="31"/>
      <c r="H1908" s="31"/>
      <c r="I1908" s="31"/>
      <c r="J1908" s="31"/>
      <c r="K1908" s="31"/>
      <c r="L1908" s="31"/>
      <c r="M1908" s="31"/>
      <c r="N1908" s="31"/>
      <c r="O1908" s="31"/>
      <c r="P1908" s="3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E1908" s="57" t="str">
        <f t="shared" si="168"/>
        <v/>
      </c>
      <c r="AF1908" s="18" t="str">
        <f t="shared" si="169"/>
        <v/>
      </c>
      <c r="AG1908" s="18" t="str">
        <f t="shared" si="170"/>
        <v/>
      </c>
      <c r="AH1908" s="18" t="str">
        <f t="shared" si="171"/>
        <v/>
      </c>
      <c r="AI1908" s="18" t="str">
        <f t="shared" si="172"/>
        <v/>
      </c>
      <c r="AJ1908" s="18" t="str">
        <f t="shared" si="173"/>
        <v/>
      </c>
      <c r="AK1908" s="18" t="str">
        <f t="shared" si="174"/>
        <v/>
      </c>
      <c r="AL1908" s="18" t="str">
        <f t="shared" si="175"/>
        <v/>
      </c>
      <c r="AM1908" s="18" t="str">
        <f t="shared" si="176"/>
        <v/>
      </c>
    </row>
    <row r="1909" spans="1:39" x14ac:dyDescent="0.35">
      <c r="A1909" s="56" t="s">
        <v>1977</v>
      </c>
      <c r="B1909" s="31"/>
      <c r="C1909" s="54"/>
      <c r="D1909" s="31"/>
      <c r="E1909" s="31"/>
      <c r="F1909" s="31"/>
      <c r="G1909" s="31"/>
      <c r="H1909" s="31"/>
      <c r="I1909" s="31"/>
      <c r="J1909" s="31"/>
      <c r="K1909" s="31"/>
      <c r="L1909" s="31"/>
      <c r="M1909" s="31"/>
      <c r="N1909" s="31"/>
      <c r="O1909" s="31"/>
      <c r="P1909" s="3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E1909" s="57" t="str">
        <f t="shared" si="168"/>
        <v/>
      </c>
      <c r="AF1909" s="18" t="str">
        <f t="shared" si="169"/>
        <v/>
      </c>
      <c r="AG1909" s="18" t="str">
        <f t="shared" si="170"/>
        <v/>
      </c>
      <c r="AH1909" s="18" t="str">
        <f t="shared" si="171"/>
        <v/>
      </c>
      <c r="AI1909" s="18" t="str">
        <f t="shared" si="172"/>
        <v/>
      </c>
      <c r="AJ1909" s="18" t="str">
        <f t="shared" si="173"/>
        <v/>
      </c>
      <c r="AK1909" s="18" t="str">
        <f t="shared" si="174"/>
        <v/>
      </c>
      <c r="AL1909" s="18" t="str">
        <f t="shared" si="175"/>
        <v/>
      </c>
      <c r="AM1909" s="18" t="str">
        <f t="shared" si="176"/>
        <v/>
      </c>
    </row>
    <row r="1910" spans="1:39" x14ac:dyDescent="0.35">
      <c r="A1910" s="56" t="s">
        <v>1978</v>
      </c>
      <c r="B1910" s="31"/>
      <c r="C1910" s="54"/>
      <c r="D1910" s="31"/>
      <c r="E1910" s="31"/>
      <c r="F1910" s="31"/>
      <c r="G1910" s="31"/>
      <c r="H1910" s="31"/>
      <c r="I1910" s="31"/>
      <c r="J1910" s="31"/>
      <c r="K1910" s="31"/>
      <c r="L1910" s="31"/>
      <c r="M1910" s="31"/>
      <c r="N1910" s="31"/>
      <c r="O1910" s="31"/>
      <c r="P1910" s="3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E1910" s="57" t="str">
        <f t="shared" si="168"/>
        <v/>
      </c>
      <c r="AF1910" s="18" t="str">
        <f t="shared" si="169"/>
        <v/>
      </c>
      <c r="AG1910" s="18" t="str">
        <f t="shared" si="170"/>
        <v/>
      </c>
      <c r="AH1910" s="18" t="str">
        <f t="shared" si="171"/>
        <v/>
      </c>
      <c r="AI1910" s="18" t="str">
        <f t="shared" si="172"/>
        <v/>
      </c>
      <c r="AJ1910" s="18" t="str">
        <f t="shared" si="173"/>
        <v/>
      </c>
      <c r="AK1910" s="18" t="str">
        <f t="shared" si="174"/>
        <v/>
      </c>
      <c r="AL1910" s="18" t="str">
        <f t="shared" si="175"/>
        <v/>
      </c>
      <c r="AM1910" s="18" t="str">
        <f t="shared" si="176"/>
        <v/>
      </c>
    </row>
    <row r="1911" spans="1:39" x14ac:dyDescent="0.35">
      <c r="A1911" s="56" t="s">
        <v>1979</v>
      </c>
      <c r="B1911" s="31"/>
      <c r="C1911" s="54"/>
      <c r="D1911" s="31"/>
      <c r="E1911" s="31"/>
      <c r="F1911" s="31"/>
      <c r="G1911" s="31"/>
      <c r="H1911" s="31"/>
      <c r="I1911" s="31"/>
      <c r="J1911" s="31"/>
      <c r="K1911" s="31"/>
      <c r="L1911" s="31"/>
      <c r="M1911" s="31"/>
      <c r="N1911" s="31"/>
      <c r="O1911" s="31"/>
      <c r="P1911" s="3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E1911" s="57" t="str">
        <f t="shared" si="168"/>
        <v/>
      </c>
      <c r="AF1911" s="18" t="str">
        <f t="shared" si="169"/>
        <v/>
      </c>
      <c r="AG1911" s="18" t="str">
        <f t="shared" si="170"/>
        <v/>
      </c>
      <c r="AH1911" s="18" t="str">
        <f t="shared" si="171"/>
        <v/>
      </c>
      <c r="AI1911" s="18" t="str">
        <f t="shared" si="172"/>
        <v/>
      </c>
      <c r="AJ1911" s="18" t="str">
        <f t="shared" si="173"/>
        <v/>
      </c>
      <c r="AK1911" s="18" t="str">
        <f t="shared" si="174"/>
        <v/>
      </c>
      <c r="AL1911" s="18" t="str">
        <f t="shared" si="175"/>
        <v/>
      </c>
      <c r="AM1911" s="18" t="str">
        <f t="shared" si="176"/>
        <v/>
      </c>
    </row>
    <row r="1912" spans="1:39" x14ac:dyDescent="0.35">
      <c r="A1912" s="56" t="s">
        <v>1980</v>
      </c>
      <c r="B1912" s="31"/>
      <c r="C1912" s="54"/>
      <c r="D1912" s="31"/>
      <c r="E1912" s="31"/>
      <c r="F1912" s="31"/>
      <c r="G1912" s="31"/>
      <c r="H1912" s="31"/>
      <c r="I1912" s="31"/>
      <c r="J1912" s="31"/>
      <c r="K1912" s="31"/>
      <c r="L1912" s="31"/>
      <c r="M1912" s="31"/>
      <c r="N1912" s="31"/>
      <c r="O1912" s="31"/>
      <c r="P1912" s="3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E1912" s="57" t="str">
        <f t="shared" si="168"/>
        <v/>
      </c>
      <c r="AF1912" s="18" t="str">
        <f t="shared" si="169"/>
        <v/>
      </c>
      <c r="AG1912" s="18" t="str">
        <f t="shared" si="170"/>
        <v/>
      </c>
      <c r="AH1912" s="18" t="str">
        <f t="shared" si="171"/>
        <v/>
      </c>
      <c r="AI1912" s="18" t="str">
        <f t="shared" si="172"/>
        <v/>
      </c>
      <c r="AJ1912" s="18" t="str">
        <f t="shared" si="173"/>
        <v/>
      </c>
      <c r="AK1912" s="18" t="str">
        <f t="shared" si="174"/>
        <v/>
      </c>
      <c r="AL1912" s="18" t="str">
        <f t="shared" si="175"/>
        <v/>
      </c>
      <c r="AM1912" s="18" t="str">
        <f t="shared" si="176"/>
        <v/>
      </c>
    </row>
    <row r="1913" spans="1:39" x14ac:dyDescent="0.35">
      <c r="A1913" s="56" t="s">
        <v>1981</v>
      </c>
      <c r="B1913" s="31"/>
      <c r="C1913" s="54"/>
      <c r="D1913" s="31"/>
      <c r="E1913" s="31"/>
      <c r="F1913" s="31"/>
      <c r="G1913" s="31"/>
      <c r="H1913" s="31"/>
      <c r="I1913" s="31"/>
      <c r="J1913" s="31"/>
      <c r="K1913" s="31"/>
      <c r="L1913" s="31"/>
      <c r="M1913" s="31"/>
      <c r="N1913" s="31"/>
      <c r="O1913" s="31"/>
      <c r="P1913" s="3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E1913" s="57" t="str">
        <f t="shared" si="168"/>
        <v/>
      </c>
      <c r="AF1913" s="18" t="str">
        <f t="shared" si="169"/>
        <v/>
      </c>
      <c r="AG1913" s="18" t="str">
        <f t="shared" si="170"/>
        <v/>
      </c>
      <c r="AH1913" s="18" t="str">
        <f t="shared" si="171"/>
        <v/>
      </c>
      <c r="AI1913" s="18" t="str">
        <f t="shared" si="172"/>
        <v/>
      </c>
      <c r="AJ1913" s="18" t="str">
        <f t="shared" si="173"/>
        <v/>
      </c>
      <c r="AK1913" s="18" t="str">
        <f t="shared" si="174"/>
        <v/>
      </c>
      <c r="AL1913" s="18" t="str">
        <f t="shared" si="175"/>
        <v/>
      </c>
      <c r="AM1913" s="18" t="str">
        <f t="shared" si="176"/>
        <v/>
      </c>
    </row>
    <row r="1914" spans="1:39" x14ac:dyDescent="0.35">
      <c r="A1914" s="56" t="s">
        <v>1982</v>
      </c>
      <c r="B1914" s="31"/>
      <c r="C1914" s="54"/>
      <c r="D1914" s="31"/>
      <c r="E1914" s="31"/>
      <c r="F1914" s="31"/>
      <c r="G1914" s="31"/>
      <c r="H1914" s="31"/>
      <c r="I1914" s="31"/>
      <c r="J1914" s="31"/>
      <c r="K1914" s="31"/>
      <c r="L1914" s="31"/>
      <c r="M1914" s="31"/>
      <c r="N1914" s="31"/>
      <c r="O1914" s="31"/>
      <c r="P1914" s="3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E1914" s="57" t="str">
        <f t="shared" si="168"/>
        <v/>
      </c>
      <c r="AF1914" s="18" t="str">
        <f t="shared" si="169"/>
        <v/>
      </c>
      <c r="AG1914" s="18" t="str">
        <f t="shared" si="170"/>
        <v/>
      </c>
      <c r="AH1914" s="18" t="str">
        <f t="shared" si="171"/>
        <v/>
      </c>
      <c r="AI1914" s="18" t="str">
        <f t="shared" si="172"/>
        <v/>
      </c>
      <c r="AJ1914" s="18" t="str">
        <f t="shared" si="173"/>
        <v/>
      </c>
      <c r="AK1914" s="18" t="str">
        <f t="shared" si="174"/>
        <v/>
      </c>
      <c r="AL1914" s="18" t="str">
        <f t="shared" si="175"/>
        <v/>
      </c>
      <c r="AM1914" s="18" t="str">
        <f t="shared" si="176"/>
        <v/>
      </c>
    </row>
    <row r="1915" spans="1:39" x14ac:dyDescent="0.35">
      <c r="A1915" s="56" t="s">
        <v>1983</v>
      </c>
      <c r="B1915" s="31"/>
      <c r="C1915" s="54"/>
      <c r="D1915" s="31"/>
      <c r="E1915" s="31"/>
      <c r="F1915" s="31"/>
      <c r="G1915" s="31"/>
      <c r="H1915" s="31"/>
      <c r="I1915" s="31"/>
      <c r="J1915" s="31"/>
      <c r="K1915" s="31"/>
      <c r="L1915" s="31"/>
      <c r="M1915" s="31"/>
      <c r="N1915" s="31"/>
      <c r="O1915" s="31"/>
      <c r="P1915" s="3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E1915" s="57" t="str">
        <f t="shared" si="168"/>
        <v/>
      </c>
      <c r="AF1915" s="18" t="str">
        <f t="shared" si="169"/>
        <v/>
      </c>
      <c r="AG1915" s="18" t="str">
        <f t="shared" si="170"/>
        <v/>
      </c>
      <c r="AH1915" s="18" t="str">
        <f t="shared" si="171"/>
        <v/>
      </c>
      <c r="AI1915" s="18" t="str">
        <f t="shared" si="172"/>
        <v/>
      </c>
      <c r="AJ1915" s="18" t="str">
        <f t="shared" si="173"/>
        <v/>
      </c>
      <c r="AK1915" s="18" t="str">
        <f t="shared" si="174"/>
        <v/>
      </c>
      <c r="AL1915" s="18" t="str">
        <f t="shared" si="175"/>
        <v/>
      </c>
      <c r="AM1915" s="18" t="str">
        <f t="shared" si="176"/>
        <v/>
      </c>
    </row>
    <row r="1916" spans="1:39" x14ac:dyDescent="0.35">
      <c r="A1916" s="56" t="s">
        <v>1984</v>
      </c>
      <c r="B1916" s="31"/>
      <c r="C1916" s="54"/>
      <c r="D1916" s="31"/>
      <c r="E1916" s="31"/>
      <c r="F1916" s="31"/>
      <c r="G1916" s="31"/>
      <c r="H1916" s="31"/>
      <c r="I1916" s="31"/>
      <c r="J1916" s="31"/>
      <c r="K1916" s="31"/>
      <c r="L1916" s="31"/>
      <c r="M1916" s="31"/>
      <c r="N1916" s="31"/>
      <c r="O1916" s="31"/>
      <c r="P1916" s="3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E1916" s="57" t="str">
        <f t="shared" si="168"/>
        <v/>
      </c>
      <c r="AF1916" s="18" t="str">
        <f t="shared" si="169"/>
        <v/>
      </c>
      <c r="AG1916" s="18" t="str">
        <f t="shared" si="170"/>
        <v/>
      </c>
      <c r="AH1916" s="18" t="str">
        <f t="shared" si="171"/>
        <v/>
      </c>
      <c r="AI1916" s="18" t="str">
        <f t="shared" si="172"/>
        <v/>
      </c>
      <c r="AJ1916" s="18" t="str">
        <f t="shared" si="173"/>
        <v/>
      </c>
      <c r="AK1916" s="18" t="str">
        <f t="shared" si="174"/>
        <v/>
      </c>
      <c r="AL1916" s="18" t="str">
        <f t="shared" si="175"/>
        <v/>
      </c>
      <c r="AM1916" s="18" t="str">
        <f t="shared" si="176"/>
        <v/>
      </c>
    </row>
    <row r="1917" spans="1:39" x14ac:dyDescent="0.35">
      <c r="A1917" s="56" t="s">
        <v>1985</v>
      </c>
      <c r="B1917" s="31"/>
      <c r="C1917" s="54"/>
      <c r="D1917" s="31"/>
      <c r="E1917" s="31"/>
      <c r="F1917" s="31"/>
      <c r="G1917" s="31"/>
      <c r="H1917" s="31"/>
      <c r="I1917" s="31"/>
      <c r="J1917" s="31"/>
      <c r="K1917" s="31"/>
      <c r="L1917" s="31"/>
      <c r="M1917" s="31"/>
      <c r="N1917" s="31"/>
      <c r="O1917" s="31"/>
      <c r="P1917" s="3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E1917" s="57" t="str">
        <f t="shared" si="168"/>
        <v/>
      </c>
      <c r="AF1917" s="18" t="str">
        <f t="shared" si="169"/>
        <v/>
      </c>
      <c r="AG1917" s="18" t="str">
        <f t="shared" si="170"/>
        <v/>
      </c>
      <c r="AH1917" s="18" t="str">
        <f t="shared" si="171"/>
        <v/>
      </c>
      <c r="AI1917" s="18" t="str">
        <f t="shared" si="172"/>
        <v/>
      </c>
      <c r="AJ1917" s="18" t="str">
        <f t="shared" si="173"/>
        <v/>
      </c>
      <c r="AK1917" s="18" t="str">
        <f t="shared" si="174"/>
        <v/>
      </c>
      <c r="AL1917" s="18" t="str">
        <f t="shared" si="175"/>
        <v/>
      </c>
      <c r="AM1917" s="18" t="str">
        <f t="shared" si="176"/>
        <v/>
      </c>
    </row>
    <row r="1918" spans="1:39" x14ac:dyDescent="0.35">
      <c r="A1918" s="56" t="s">
        <v>1986</v>
      </c>
      <c r="B1918" s="31"/>
      <c r="C1918" s="54"/>
      <c r="D1918" s="31"/>
      <c r="E1918" s="31"/>
      <c r="F1918" s="31"/>
      <c r="G1918" s="31"/>
      <c r="H1918" s="31"/>
      <c r="I1918" s="31"/>
      <c r="J1918" s="31"/>
      <c r="K1918" s="31"/>
      <c r="L1918" s="31"/>
      <c r="M1918" s="31"/>
      <c r="N1918" s="31"/>
      <c r="O1918" s="31"/>
      <c r="P1918" s="3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E1918" s="57" t="str">
        <f t="shared" si="168"/>
        <v/>
      </c>
      <c r="AF1918" s="18" t="str">
        <f t="shared" si="169"/>
        <v/>
      </c>
      <c r="AG1918" s="18" t="str">
        <f t="shared" si="170"/>
        <v/>
      </c>
      <c r="AH1918" s="18" t="str">
        <f t="shared" si="171"/>
        <v/>
      </c>
      <c r="AI1918" s="18" t="str">
        <f t="shared" si="172"/>
        <v/>
      </c>
      <c r="AJ1918" s="18" t="str">
        <f t="shared" si="173"/>
        <v/>
      </c>
      <c r="AK1918" s="18" t="str">
        <f t="shared" si="174"/>
        <v/>
      </c>
      <c r="AL1918" s="18" t="str">
        <f t="shared" si="175"/>
        <v/>
      </c>
      <c r="AM1918" s="18" t="str">
        <f t="shared" si="176"/>
        <v/>
      </c>
    </row>
    <row r="1919" spans="1:39" x14ac:dyDescent="0.35">
      <c r="A1919" s="56" t="s">
        <v>1987</v>
      </c>
      <c r="B1919" s="31"/>
      <c r="C1919" s="54"/>
      <c r="D1919" s="31"/>
      <c r="E1919" s="31"/>
      <c r="F1919" s="31"/>
      <c r="G1919" s="31"/>
      <c r="H1919" s="31"/>
      <c r="I1919" s="31"/>
      <c r="J1919" s="31"/>
      <c r="K1919" s="31"/>
      <c r="L1919" s="31"/>
      <c r="M1919" s="31"/>
      <c r="N1919" s="31"/>
      <c r="O1919" s="31"/>
      <c r="P1919" s="3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E1919" s="57" t="str">
        <f t="shared" si="168"/>
        <v/>
      </c>
      <c r="AF1919" s="18" t="str">
        <f t="shared" si="169"/>
        <v/>
      </c>
      <c r="AG1919" s="18" t="str">
        <f t="shared" si="170"/>
        <v/>
      </c>
      <c r="AH1919" s="18" t="str">
        <f t="shared" si="171"/>
        <v/>
      </c>
      <c r="AI1919" s="18" t="str">
        <f t="shared" si="172"/>
        <v/>
      </c>
      <c r="AJ1919" s="18" t="str">
        <f t="shared" si="173"/>
        <v/>
      </c>
      <c r="AK1919" s="18" t="str">
        <f t="shared" si="174"/>
        <v/>
      </c>
      <c r="AL1919" s="18" t="str">
        <f t="shared" si="175"/>
        <v/>
      </c>
      <c r="AM1919" s="18" t="str">
        <f t="shared" si="176"/>
        <v/>
      </c>
    </row>
    <row r="1920" spans="1:39" x14ac:dyDescent="0.35">
      <c r="A1920" s="56" t="s">
        <v>1988</v>
      </c>
      <c r="B1920" s="31"/>
      <c r="C1920" s="54"/>
      <c r="D1920" s="31"/>
      <c r="E1920" s="31"/>
      <c r="F1920" s="31"/>
      <c r="G1920" s="31"/>
      <c r="H1920" s="31"/>
      <c r="I1920" s="31"/>
      <c r="J1920" s="31"/>
      <c r="K1920" s="31"/>
      <c r="L1920" s="31"/>
      <c r="M1920" s="31"/>
      <c r="N1920" s="31"/>
      <c r="O1920" s="31"/>
      <c r="P1920" s="3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E1920" s="57" t="str">
        <f t="shared" si="168"/>
        <v/>
      </c>
      <c r="AF1920" s="18" t="str">
        <f t="shared" si="169"/>
        <v/>
      </c>
      <c r="AG1920" s="18" t="str">
        <f t="shared" si="170"/>
        <v/>
      </c>
      <c r="AH1920" s="18" t="str">
        <f t="shared" si="171"/>
        <v/>
      </c>
      <c r="AI1920" s="18" t="str">
        <f t="shared" si="172"/>
        <v/>
      </c>
      <c r="AJ1920" s="18" t="str">
        <f t="shared" si="173"/>
        <v/>
      </c>
      <c r="AK1920" s="18" t="str">
        <f t="shared" si="174"/>
        <v/>
      </c>
      <c r="AL1920" s="18" t="str">
        <f t="shared" si="175"/>
        <v/>
      </c>
      <c r="AM1920" s="18" t="str">
        <f t="shared" si="176"/>
        <v/>
      </c>
    </row>
    <row r="1921" spans="1:39" x14ac:dyDescent="0.35">
      <c r="A1921" s="56" t="s">
        <v>1989</v>
      </c>
      <c r="B1921" s="31"/>
      <c r="C1921" s="54"/>
      <c r="D1921" s="31"/>
      <c r="E1921" s="31"/>
      <c r="F1921" s="31"/>
      <c r="G1921" s="31"/>
      <c r="H1921" s="31"/>
      <c r="I1921" s="31"/>
      <c r="J1921" s="31"/>
      <c r="K1921" s="31"/>
      <c r="L1921" s="31"/>
      <c r="M1921" s="31"/>
      <c r="N1921" s="31"/>
      <c r="O1921" s="31"/>
      <c r="P1921" s="3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E1921" s="57" t="str">
        <f t="shared" si="168"/>
        <v/>
      </c>
      <c r="AF1921" s="18" t="str">
        <f t="shared" si="169"/>
        <v/>
      </c>
      <c r="AG1921" s="18" t="str">
        <f t="shared" si="170"/>
        <v/>
      </c>
      <c r="AH1921" s="18" t="str">
        <f t="shared" si="171"/>
        <v/>
      </c>
      <c r="AI1921" s="18" t="str">
        <f t="shared" si="172"/>
        <v/>
      </c>
      <c r="AJ1921" s="18" t="str">
        <f t="shared" si="173"/>
        <v/>
      </c>
      <c r="AK1921" s="18" t="str">
        <f t="shared" si="174"/>
        <v/>
      </c>
      <c r="AL1921" s="18" t="str">
        <f t="shared" si="175"/>
        <v/>
      </c>
      <c r="AM1921" s="18" t="str">
        <f t="shared" si="176"/>
        <v/>
      </c>
    </row>
    <row r="1922" spans="1:39" x14ac:dyDescent="0.35">
      <c r="A1922" s="56" t="s">
        <v>1990</v>
      </c>
      <c r="B1922" s="31"/>
      <c r="C1922" s="54"/>
      <c r="D1922" s="31"/>
      <c r="E1922" s="31"/>
      <c r="F1922" s="31"/>
      <c r="G1922" s="31"/>
      <c r="H1922" s="31"/>
      <c r="I1922" s="31"/>
      <c r="J1922" s="31"/>
      <c r="K1922" s="31"/>
      <c r="L1922" s="31"/>
      <c r="M1922" s="31"/>
      <c r="N1922" s="31"/>
      <c r="O1922" s="31"/>
      <c r="P1922" s="3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E1922" s="57" t="str">
        <f t="shared" si="168"/>
        <v/>
      </c>
      <c r="AF1922" s="18" t="str">
        <f t="shared" si="169"/>
        <v/>
      </c>
      <c r="AG1922" s="18" t="str">
        <f t="shared" si="170"/>
        <v/>
      </c>
      <c r="AH1922" s="18" t="str">
        <f t="shared" si="171"/>
        <v/>
      </c>
      <c r="AI1922" s="18" t="str">
        <f t="shared" si="172"/>
        <v/>
      </c>
      <c r="AJ1922" s="18" t="str">
        <f t="shared" si="173"/>
        <v/>
      </c>
      <c r="AK1922" s="18" t="str">
        <f t="shared" si="174"/>
        <v/>
      </c>
      <c r="AL1922" s="18" t="str">
        <f t="shared" si="175"/>
        <v/>
      </c>
      <c r="AM1922" s="18" t="str">
        <f t="shared" si="176"/>
        <v/>
      </c>
    </row>
    <row r="1923" spans="1:39" x14ac:dyDescent="0.35">
      <c r="A1923" s="56" t="s">
        <v>1991</v>
      </c>
      <c r="B1923" s="31"/>
      <c r="C1923" s="54"/>
      <c r="D1923" s="31"/>
      <c r="E1923" s="31"/>
      <c r="F1923" s="31"/>
      <c r="G1923" s="31"/>
      <c r="H1923" s="31"/>
      <c r="I1923" s="31"/>
      <c r="J1923" s="31"/>
      <c r="K1923" s="31"/>
      <c r="L1923" s="31"/>
      <c r="M1923" s="31"/>
      <c r="N1923" s="31"/>
      <c r="O1923" s="31"/>
      <c r="P1923" s="3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E1923" s="57" t="str">
        <f t="shared" ref="AE1923:AE1986" si="177">IFERROR(VLOOKUP(AD1923,$A$2:$AA$2000,2,0),"")</f>
        <v/>
      </c>
      <c r="AF1923" s="18" t="str">
        <f t="shared" ref="AF1923:AF1986" si="178">IFERROR(VLOOKUP(AD1923,$A$2:$AA$2000,22,0),"")</f>
        <v/>
      </c>
      <c r="AG1923" s="18" t="str">
        <f t="shared" ref="AG1923:AG1986" si="179">IFERROR(VLOOKUP(AD1923,$A$2:$AA$2000,18,0),"")</f>
        <v/>
      </c>
      <c r="AH1923" s="18" t="str">
        <f t="shared" ref="AH1923:AH1986" si="180">IFERROR(VLOOKUP(AD1923,$A$2:$AA$2000,17,0),"")</f>
        <v/>
      </c>
      <c r="AI1923" s="18" t="str">
        <f t="shared" ref="AI1923:AI1986" si="181">IFERROR(VLOOKUP(AD1923,$A$2:$AA$2000,20,0),"")</f>
        <v/>
      </c>
      <c r="AJ1923" s="18" t="str">
        <f t="shared" ref="AJ1923:AJ1986" si="182">IFERROR(VLOOKUP(AD1923,$A$2:$AA$2000,9,0),"")</f>
        <v/>
      </c>
      <c r="AK1923" s="18" t="str">
        <f t="shared" ref="AK1923:AK1986" si="183">IFERROR(VLOOKUP(AD1923,$A$2:$AA$2000,5,0),"")</f>
        <v/>
      </c>
      <c r="AL1923" s="18" t="str">
        <f t="shared" ref="AL1923:AL1986" si="184">IFERROR(VLOOKUP(AD1923,$A$2:$AA$2000,4,0),"")</f>
        <v/>
      </c>
      <c r="AM1923" s="18" t="str">
        <f t="shared" ref="AM1923:AM1986" si="185">IFERROR(VLOOKUP(AD1923,$A$2:$AA$2000,7,0),"")</f>
        <v/>
      </c>
    </row>
    <row r="1924" spans="1:39" x14ac:dyDescent="0.35">
      <c r="A1924" s="56" t="s">
        <v>1992</v>
      </c>
      <c r="B1924" s="31"/>
      <c r="C1924" s="54"/>
      <c r="D1924" s="31"/>
      <c r="E1924" s="31"/>
      <c r="F1924" s="31"/>
      <c r="G1924" s="31"/>
      <c r="H1924" s="31"/>
      <c r="I1924" s="31"/>
      <c r="J1924" s="31"/>
      <c r="K1924" s="31"/>
      <c r="L1924" s="31"/>
      <c r="M1924" s="31"/>
      <c r="N1924" s="31"/>
      <c r="O1924" s="31"/>
      <c r="P1924" s="3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E1924" s="57" t="str">
        <f t="shared" si="177"/>
        <v/>
      </c>
      <c r="AF1924" s="18" t="str">
        <f t="shared" si="178"/>
        <v/>
      </c>
      <c r="AG1924" s="18" t="str">
        <f t="shared" si="179"/>
        <v/>
      </c>
      <c r="AH1924" s="18" t="str">
        <f t="shared" si="180"/>
        <v/>
      </c>
      <c r="AI1924" s="18" t="str">
        <f t="shared" si="181"/>
        <v/>
      </c>
      <c r="AJ1924" s="18" t="str">
        <f t="shared" si="182"/>
        <v/>
      </c>
      <c r="AK1924" s="18" t="str">
        <f t="shared" si="183"/>
        <v/>
      </c>
      <c r="AL1924" s="18" t="str">
        <f t="shared" si="184"/>
        <v/>
      </c>
      <c r="AM1924" s="18" t="str">
        <f t="shared" si="185"/>
        <v/>
      </c>
    </row>
    <row r="1925" spans="1:39" x14ac:dyDescent="0.35">
      <c r="A1925" s="56" t="s">
        <v>1993</v>
      </c>
      <c r="B1925" s="31"/>
      <c r="C1925" s="54"/>
      <c r="D1925" s="31"/>
      <c r="E1925" s="31"/>
      <c r="F1925" s="31"/>
      <c r="G1925" s="31"/>
      <c r="H1925" s="31"/>
      <c r="I1925" s="31"/>
      <c r="J1925" s="31"/>
      <c r="K1925" s="31"/>
      <c r="L1925" s="31"/>
      <c r="M1925" s="31"/>
      <c r="N1925" s="31"/>
      <c r="O1925" s="31"/>
      <c r="P1925" s="3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E1925" s="57" t="str">
        <f t="shared" si="177"/>
        <v/>
      </c>
      <c r="AF1925" s="18" t="str">
        <f t="shared" si="178"/>
        <v/>
      </c>
      <c r="AG1925" s="18" t="str">
        <f t="shared" si="179"/>
        <v/>
      </c>
      <c r="AH1925" s="18" t="str">
        <f t="shared" si="180"/>
        <v/>
      </c>
      <c r="AI1925" s="18" t="str">
        <f t="shared" si="181"/>
        <v/>
      </c>
      <c r="AJ1925" s="18" t="str">
        <f t="shared" si="182"/>
        <v/>
      </c>
      <c r="AK1925" s="18" t="str">
        <f t="shared" si="183"/>
        <v/>
      </c>
      <c r="AL1925" s="18" t="str">
        <f t="shared" si="184"/>
        <v/>
      </c>
      <c r="AM1925" s="18" t="str">
        <f t="shared" si="185"/>
        <v/>
      </c>
    </row>
    <row r="1926" spans="1:39" x14ac:dyDescent="0.35">
      <c r="A1926" s="56" t="s">
        <v>1994</v>
      </c>
      <c r="B1926" s="31"/>
      <c r="C1926" s="54"/>
      <c r="D1926" s="31"/>
      <c r="E1926" s="31"/>
      <c r="F1926" s="31"/>
      <c r="G1926" s="31"/>
      <c r="H1926" s="31"/>
      <c r="I1926" s="31"/>
      <c r="J1926" s="31"/>
      <c r="K1926" s="31"/>
      <c r="L1926" s="31"/>
      <c r="M1926" s="31"/>
      <c r="N1926" s="31"/>
      <c r="O1926" s="31"/>
      <c r="P1926" s="3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E1926" s="57" t="str">
        <f t="shared" si="177"/>
        <v/>
      </c>
      <c r="AF1926" s="18" t="str">
        <f t="shared" si="178"/>
        <v/>
      </c>
      <c r="AG1926" s="18" t="str">
        <f t="shared" si="179"/>
        <v/>
      </c>
      <c r="AH1926" s="18" t="str">
        <f t="shared" si="180"/>
        <v/>
      </c>
      <c r="AI1926" s="18" t="str">
        <f t="shared" si="181"/>
        <v/>
      </c>
      <c r="AJ1926" s="18" t="str">
        <f t="shared" si="182"/>
        <v/>
      </c>
      <c r="AK1926" s="18" t="str">
        <f t="shared" si="183"/>
        <v/>
      </c>
      <c r="AL1926" s="18" t="str">
        <f t="shared" si="184"/>
        <v/>
      </c>
      <c r="AM1926" s="18" t="str">
        <f t="shared" si="185"/>
        <v/>
      </c>
    </row>
    <row r="1927" spans="1:39" x14ac:dyDescent="0.35">
      <c r="A1927" s="56" t="s">
        <v>1995</v>
      </c>
      <c r="B1927" s="31"/>
      <c r="C1927" s="54"/>
      <c r="D1927" s="31"/>
      <c r="E1927" s="31"/>
      <c r="F1927" s="31"/>
      <c r="G1927" s="31"/>
      <c r="H1927" s="31"/>
      <c r="I1927" s="31"/>
      <c r="J1927" s="31"/>
      <c r="K1927" s="31"/>
      <c r="L1927" s="31"/>
      <c r="M1927" s="31"/>
      <c r="N1927" s="31"/>
      <c r="O1927" s="31"/>
      <c r="P1927" s="3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E1927" s="57" t="str">
        <f t="shared" si="177"/>
        <v/>
      </c>
      <c r="AF1927" s="18" t="str">
        <f t="shared" si="178"/>
        <v/>
      </c>
      <c r="AG1927" s="18" t="str">
        <f t="shared" si="179"/>
        <v/>
      </c>
      <c r="AH1927" s="18" t="str">
        <f t="shared" si="180"/>
        <v/>
      </c>
      <c r="AI1927" s="18" t="str">
        <f t="shared" si="181"/>
        <v/>
      </c>
      <c r="AJ1927" s="18" t="str">
        <f t="shared" si="182"/>
        <v/>
      </c>
      <c r="AK1927" s="18" t="str">
        <f t="shared" si="183"/>
        <v/>
      </c>
      <c r="AL1927" s="18" t="str">
        <f t="shared" si="184"/>
        <v/>
      </c>
      <c r="AM1927" s="18" t="str">
        <f t="shared" si="185"/>
        <v/>
      </c>
    </row>
    <row r="1928" spans="1:39" x14ac:dyDescent="0.35">
      <c r="A1928" s="56" t="s">
        <v>1996</v>
      </c>
      <c r="B1928" s="31"/>
      <c r="C1928" s="54"/>
      <c r="D1928" s="31"/>
      <c r="E1928" s="31"/>
      <c r="F1928" s="31"/>
      <c r="G1928" s="31"/>
      <c r="H1928" s="31"/>
      <c r="I1928" s="31"/>
      <c r="J1928" s="31"/>
      <c r="K1928" s="31"/>
      <c r="L1928" s="31"/>
      <c r="M1928" s="31"/>
      <c r="N1928" s="31"/>
      <c r="O1928" s="31"/>
      <c r="P1928" s="3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E1928" s="57" t="str">
        <f t="shared" si="177"/>
        <v/>
      </c>
      <c r="AF1928" s="18" t="str">
        <f t="shared" si="178"/>
        <v/>
      </c>
      <c r="AG1928" s="18" t="str">
        <f t="shared" si="179"/>
        <v/>
      </c>
      <c r="AH1928" s="18" t="str">
        <f t="shared" si="180"/>
        <v/>
      </c>
      <c r="AI1928" s="18" t="str">
        <f t="shared" si="181"/>
        <v/>
      </c>
      <c r="AJ1928" s="18" t="str">
        <f t="shared" si="182"/>
        <v/>
      </c>
      <c r="AK1928" s="18" t="str">
        <f t="shared" si="183"/>
        <v/>
      </c>
      <c r="AL1928" s="18" t="str">
        <f t="shared" si="184"/>
        <v/>
      </c>
      <c r="AM1928" s="18" t="str">
        <f t="shared" si="185"/>
        <v/>
      </c>
    </row>
    <row r="1929" spans="1:39" x14ac:dyDescent="0.35">
      <c r="A1929" s="56" t="s">
        <v>1997</v>
      </c>
      <c r="B1929" s="31"/>
      <c r="C1929" s="54"/>
      <c r="D1929" s="31"/>
      <c r="E1929" s="31"/>
      <c r="F1929" s="31"/>
      <c r="G1929" s="31"/>
      <c r="H1929" s="31"/>
      <c r="I1929" s="31"/>
      <c r="J1929" s="31"/>
      <c r="K1929" s="31"/>
      <c r="L1929" s="31"/>
      <c r="M1929" s="31"/>
      <c r="N1929" s="31"/>
      <c r="O1929" s="31"/>
      <c r="P1929" s="3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E1929" s="57" t="str">
        <f t="shared" si="177"/>
        <v/>
      </c>
      <c r="AF1929" s="18" t="str">
        <f t="shared" si="178"/>
        <v/>
      </c>
      <c r="AG1929" s="18" t="str">
        <f t="shared" si="179"/>
        <v/>
      </c>
      <c r="AH1929" s="18" t="str">
        <f t="shared" si="180"/>
        <v/>
      </c>
      <c r="AI1929" s="18" t="str">
        <f t="shared" si="181"/>
        <v/>
      </c>
      <c r="AJ1929" s="18" t="str">
        <f t="shared" si="182"/>
        <v/>
      </c>
      <c r="AK1929" s="18" t="str">
        <f t="shared" si="183"/>
        <v/>
      </c>
      <c r="AL1929" s="18" t="str">
        <f t="shared" si="184"/>
        <v/>
      </c>
      <c r="AM1929" s="18" t="str">
        <f t="shared" si="185"/>
        <v/>
      </c>
    </row>
    <row r="1930" spans="1:39" x14ac:dyDescent="0.35">
      <c r="A1930" s="56" t="s">
        <v>1998</v>
      </c>
      <c r="B1930" s="31"/>
      <c r="C1930" s="54"/>
      <c r="D1930" s="31"/>
      <c r="E1930" s="31"/>
      <c r="F1930" s="31"/>
      <c r="G1930" s="31"/>
      <c r="H1930" s="31"/>
      <c r="I1930" s="31"/>
      <c r="J1930" s="31"/>
      <c r="K1930" s="31"/>
      <c r="L1930" s="31"/>
      <c r="M1930" s="31"/>
      <c r="N1930" s="31"/>
      <c r="O1930" s="31"/>
      <c r="P1930" s="3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E1930" s="57" t="str">
        <f t="shared" si="177"/>
        <v/>
      </c>
      <c r="AF1930" s="18" t="str">
        <f t="shared" si="178"/>
        <v/>
      </c>
      <c r="AG1930" s="18" t="str">
        <f t="shared" si="179"/>
        <v/>
      </c>
      <c r="AH1930" s="18" t="str">
        <f t="shared" si="180"/>
        <v/>
      </c>
      <c r="AI1930" s="18" t="str">
        <f t="shared" si="181"/>
        <v/>
      </c>
      <c r="AJ1930" s="18" t="str">
        <f t="shared" si="182"/>
        <v/>
      </c>
      <c r="AK1930" s="18" t="str">
        <f t="shared" si="183"/>
        <v/>
      </c>
      <c r="AL1930" s="18" t="str">
        <f t="shared" si="184"/>
        <v/>
      </c>
      <c r="AM1930" s="18" t="str">
        <f t="shared" si="185"/>
        <v/>
      </c>
    </row>
    <row r="1931" spans="1:39" x14ac:dyDescent="0.35">
      <c r="A1931" s="56" t="s">
        <v>1999</v>
      </c>
      <c r="B1931" s="31"/>
      <c r="C1931" s="54"/>
      <c r="D1931" s="31"/>
      <c r="E1931" s="31"/>
      <c r="F1931" s="31"/>
      <c r="G1931" s="31"/>
      <c r="H1931" s="31"/>
      <c r="I1931" s="31"/>
      <c r="J1931" s="31"/>
      <c r="K1931" s="31"/>
      <c r="L1931" s="31"/>
      <c r="M1931" s="31"/>
      <c r="N1931" s="31"/>
      <c r="O1931" s="31"/>
      <c r="P1931" s="3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E1931" s="57" t="str">
        <f t="shared" si="177"/>
        <v/>
      </c>
      <c r="AF1931" s="18" t="str">
        <f t="shared" si="178"/>
        <v/>
      </c>
      <c r="AG1931" s="18" t="str">
        <f t="shared" si="179"/>
        <v/>
      </c>
      <c r="AH1931" s="18" t="str">
        <f t="shared" si="180"/>
        <v/>
      </c>
      <c r="AI1931" s="18" t="str">
        <f t="shared" si="181"/>
        <v/>
      </c>
      <c r="AJ1931" s="18" t="str">
        <f t="shared" si="182"/>
        <v/>
      </c>
      <c r="AK1931" s="18" t="str">
        <f t="shared" si="183"/>
        <v/>
      </c>
      <c r="AL1931" s="18" t="str">
        <f t="shared" si="184"/>
        <v/>
      </c>
      <c r="AM1931" s="18" t="str">
        <f t="shared" si="185"/>
        <v/>
      </c>
    </row>
    <row r="1932" spans="1:39" x14ac:dyDescent="0.35">
      <c r="A1932" s="56" t="s">
        <v>2000</v>
      </c>
      <c r="B1932" s="31"/>
      <c r="C1932" s="54"/>
      <c r="D1932" s="31"/>
      <c r="E1932" s="31"/>
      <c r="F1932" s="31"/>
      <c r="G1932" s="31"/>
      <c r="H1932" s="31"/>
      <c r="I1932" s="31"/>
      <c r="J1932" s="31"/>
      <c r="K1932" s="31"/>
      <c r="L1932" s="31"/>
      <c r="M1932" s="31"/>
      <c r="N1932" s="31"/>
      <c r="O1932" s="31"/>
      <c r="P1932" s="3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E1932" s="57" t="str">
        <f t="shared" si="177"/>
        <v/>
      </c>
      <c r="AF1932" s="18" t="str">
        <f t="shared" si="178"/>
        <v/>
      </c>
      <c r="AG1932" s="18" t="str">
        <f t="shared" si="179"/>
        <v/>
      </c>
      <c r="AH1932" s="18" t="str">
        <f t="shared" si="180"/>
        <v/>
      </c>
      <c r="AI1932" s="18" t="str">
        <f t="shared" si="181"/>
        <v/>
      </c>
      <c r="AJ1932" s="18" t="str">
        <f t="shared" si="182"/>
        <v/>
      </c>
      <c r="AK1932" s="18" t="str">
        <f t="shared" si="183"/>
        <v/>
      </c>
      <c r="AL1932" s="18" t="str">
        <f t="shared" si="184"/>
        <v/>
      </c>
      <c r="AM1932" s="18" t="str">
        <f t="shared" si="185"/>
        <v/>
      </c>
    </row>
    <row r="1933" spans="1:39" x14ac:dyDescent="0.35">
      <c r="A1933" s="56" t="s">
        <v>2001</v>
      </c>
      <c r="B1933" s="31"/>
      <c r="C1933" s="54"/>
      <c r="D1933" s="31"/>
      <c r="E1933" s="31"/>
      <c r="F1933" s="31"/>
      <c r="G1933" s="31"/>
      <c r="H1933" s="31"/>
      <c r="I1933" s="31"/>
      <c r="J1933" s="31"/>
      <c r="K1933" s="31"/>
      <c r="L1933" s="31"/>
      <c r="M1933" s="31"/>
      <c r="N1933" s="31"/>
      <c r="O1933" s="31"/>
      <c r="P1933" s="3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E1933" s="57" t="str">
        <f t="shared" si="177"/>
        <v/>
      </c>
      <c r="AF1933" s="18" t="str">
        <f t="shared" si="178"/>
        <v/>
      </c>
      <c r="AG1933" s="18" t="str">
        <f t="shared" si="179"/>
        <v/>
      </c>
      <c r="AH1933" s="18" t="str">
        <f t="shared" si="180"/>
        <v/>
      </c>
      <c r="AI1933" s="18" t="str">
        <f t="shared" si="181"/>
        <v/>
      </c>
      <c r="AJ1933" s="18" t="str">
        <f t="shared" si="182"/>
        <v/>
      </c>
      <c r="AK1933" s="18" t="str">
        <f t="shared" si="183"/>
        <v/>
      </c>
      <c r="AL1933" s="18" t="str">
        <f t="shared" si="184"/>
        <v/>
      </c>
      <c r="AM1933" s="18" t="str">
        <f t="shared" si="185"/>
        <v/>
      </c>
    </row>
    <row r="1934" spans="1:39" x14ac:dyDescent="0.35">
      <c r="A1934" s="56" t="s">
        <v>2002</v>
      </c>
      <c r="B1934" s="31"/>
      <c r="C1934" s="54"/>
      <c r="D1934" s="31"/>
      <c r="E1934" s="31"/>
      <c r="F1934" s="31"/>
      <c r="G1934" s="31"/>
      <c r="H1934" s="31"/>
      <c r="I1934" s="31"/>
      <c r="J1934" s="31"/>
      <c r="K1934" s="31"/>
      <c r="L1934" s="31"/>
      <c r="M1934" s="31"/>
      <c r="N1934" s="31"/>
      <c r="O1934" s="31"/>
      <c r="P1934" s="3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E1934" s="57" t="str">
        <f t="shared" si="177"/>
        <v/>
      </c>
      <c r="AF1934" s="18" t="str">
        <f t="shared" si="178"/>
        <v/>
      </c>
      <c r="AG1934" s="18" t="str">
        <f t="shared" si="179"/>
        <v/>
      </c>
      <c r="AH1934" s="18" t="str">
        <f t="shared" si="180"/>
        <v/>
      </c>
      <c r="AI1934" s="18" t="str">
        <f t="shared" si="181"/>
        <v/>
      </c>
      <c r="AJ1934" s="18" t="str">
        <f t="shared" si="182"/>
        <v/>
      </c>
      <c r="AK1934" s="18" t="str">
        <f t="shared" si="183"/>
        <v/>
      </c>
      <c r="AL1934" s="18" t="str">
        <f t="shared" si="184"/>
        <v/>
      </c>
      <c r="AM1934" s="18" t="str">
        <f t="shared" si="185"/>
        <v/>
      </c>
    </row>
    <row r="1935" spans="1:39" x14ac:dyDescent="0.35">
      <c r="A1935" s="56" t="s">
        <v>2003</v>
      </c>
      <c r="B1935" s="31"/>
      <c r="C1935" s="54"/>
      <c r="D1935" s="31"/>
      <c r="E1935" s="31"/>
      <c r="F1935" s="31"/>
      <c r="G1935" s="31"/>
      <c r="H1935" s="31"/>
      <c r="I1935" s="31"/>
      <c r="J1935" s="31"/>
      <c r="K1935" s="31"/>
      <c r="L1935" s="31"/>
      <c r="M1935" s="31"/>
      <c r="N1935" s="31"/>
      <c r="O1935" s="31"/>
      <c r="P1935" s="3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E1935" s="57" t="str">
        <f t="shared" si="177"/>
        <v/>
      </c>
      <c r="AF1935" s="18" t="str">
        <f t="shared" si="178"/>
        <v/>
      </c>
      <c r="AG1935" s="18" t="str">
        <f t="shared" si="179"/>
        <v/>
      </c>
      <c r="AH1935" s="18" t="str">
        <f t="shared" si="180"/>
        <v/>
      </c>
      <c r="AI1935" s="18" t="str">
        <f t="shared" si="181"/>
        <v/>
      </c>
      <c r="AJ1935" s="18" t="str">
        <f t="shared" si="182"/>
        <v/>
      </c>
      <c r="AK1935" s="18" t="str">
        <f t="shared" si="183"/>
        <v/>
      </c>
      <c r="AL1935" s="18" t="str">
        <f t="shared" si="184"/>
        <v/>
      </c>
      <c r="AM1935" s="18" t="str">
        <f t="shared" si="185"/>
        <v/>
      </c>
    </row>
    <row r="1936" spans="1:39" x14ac:dyDescent="0.35">
      <c r="A1936" s="56" t="s">
        <v>2004</v>
      </c>
      <c r="B1936" s="31"/>
      <c r="C1936" s="54"/>
      <c r="D1936" s="31"/>
      <c r="E1936" s="31"/>
      <c r="F1936" s="31"/>
      <c r="G1936" s="31"/>
      <c r="H1936" s="31"/>
      <c r="I1936" s="31"/>
      <c r="J1936" s="31"/>
      <c r="K1936" s="31"/>
      <c r="L1936" s="31"/>
      <c r="M1936" s="31"/>
      <c r="N1936" s="31"/>
      <c r="O1936" s="31"/>
      <c r="P1936" s="3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E1936" s="57" t="str">
        <f t="shared" si="177"/>
        <v/>
      </c>
      <c r="AF1936" s="18" t="str">
        <f t="shared" si="178"/>
        <v/>
      </c>
      <c r="AG1936" s="18" t="str">
        <f t="shared" si="179"/>
        <v/>
      </c>
      <c r="AH1936" s="18" t="str">
        <f t="shared" si="180"/>
        <v/>
      </c>
      <c r="AI1936" s="18" t="str">
        <f t="shared" si="181"/>
        <v/>
      </c>
      <c r="AJ1936" s="18" t="str">
        <f t="shared" si="182"/>
        <v/>
      </c>
      <c r="AK1936" s="18" t="str">
        <f t="shared" si="183"/>
        <v/>
      </c>
      <c r="AL1936" s="18" t="str">
        <f t="shared" si="184"/>
        <v/>
      </c>
      <c r="AM1936" s="18" t="str">
        <f t="shared" si="185"/>
        <v/>
      </c>
    </row>
    <row r="1937" spans="1:39" x14ac:dyDescent="0.35">
      <c r="A1937" s="56" t="s">
        <v>2005</v>
      </c>
      <c r="B1937" s="31"/>
      <c r="C1937" s="54"/>
      <c r="D1937" s="31"/>
      <c r="E1937" s="31"/>
      <c r="F1937" s="31"/>
      <c r="G1937" s="31"/>
      <c r="H1937" s="31"/>
      <c r="I1937" s="31"/>
      <c r="J1937" s="31"/>
      <c r="K1937" s="31"/>
      <c r="L1937" s="31"/>
      <c r="M1937" s="31"/>
      <c r="N1937" s="31"/>
      <c r="O1937" s="31"/>
      <c r="P1937" s="3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E1937" s="57" t="str">
        <f t="shared" si="177"/>
        <v/>
      </c>
      <c r="AF1937" s="18" t="str">
        <f t="shared" si="178"/>
        <v/>
      </c>
      <c r="AG1937" s="18" t="str">
        <f t="shared" si="179"/>
        <v/>
      </c>
      <c r="AH1937" s="18" t="str">
        <f t="shared" si="180"/>
        <v/>
      </c>
      <c r="AI1937" s="18" t="str">
        <f t="shared" si="181"/>
        <v/>
      </c>
      <c r="AJ1937" s="18" t="str">
        <f t="shared" si="182"/>
        <v/>
      </c>
      <c r="AK1937" s="18" t="str">
        <f t="shared" si="183"/>
        <v/>
      </c>
      <c r="AL1937" s="18" t="str">
        <f t="shared" si="184"/>
        <v/>
      </c>
      <c r="AM1937" s="18" t="str">
        <f t="shared" si="185"/>
        <v/>
      </c>
    </row>
    <row r="1938" spans="1:39" x14ac:dyDescent="0.35">
      <c r="A1938" s="56" t="s">
        <v>2006</v>
      </c>
      <c r="B1938" s="31"/>
      <c r="C1938" s="54"/>
      <c r="D1938" s="31"/>
      <c r="E1938" s="31"/>
      <c r="F1938" s="31"/>
      <c r="G1938" s="31"/>
      <c r="H1938" s="31"/>
      <c r="I1938" s="31"/>
      <c r="J1938" s="31"/>
      <c r="K1938" s="31"/>
      <c r="L1938" s="31"/>
      <c r="M1938" s="31"/>
      <c r="N1938" s="31"/>
      <c r="O1938" s="31"/>
      <c r="P1938" s="3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E1938" s="57" t="str">
        <f t="shared" si="177"/>
        <v/>
      </c>
      <c r="AF1938" s="18" t="str">
        <f t="shared" si="178"/>
        <v/>
      </c>
      <c r="AG1938" s="18" t="str">
        <f t="shared" si="179"/>
        <v/>
      </c>
      <c r="AH1938" s="18" t="str">
        <f t="shared" si="180"/>
        <v/>
      </c>
      <c r="AI1938" s="18" t="str">
        <f t="shared" si="181"/>
        <v/>
      </c>
      <c r="AJ1938" s="18" t="str">
        <f t="shared" si="182"/>
        <v/>
      </c>
      <c r="AK1938" s="18" t="str">
        <f t="shared" si="183"/>
        <v/>
      </c>
      <c r="AL1938" s="18" t="str">
        <f t="shared" si="184"/>
        <v/>
      </c>
      <c r="AM1938" s="18" t="str">
        <f t="shared" si="185"/>
        <v/>
      </c>
    </row>
    <row r="1939" spans="1:39" x14ac:dyDescent="0.35">
      <c r="A1939" s="56" t="s">
        <v>2007</v>
      </c>
      <c r="B1939" s="31"/>
      <c r="C1939" s="54"/>
      <c r="D1939" s="31"/>
      <c r="E1939" s="31"/>
      <c r="F1939" s="31"/>
      <c r="G1939" s="31"/>
      <c r="H1939" s="31"/>
      <c r="I1939" s="31"/>
      <c r="J1939" s="31"/>
      <c r="K1939" s="31"/>
      <c r="L1939" s="31"/>
      <c r="M1939" s="31"/>
      <c r="N1939" s="31"/>
      <c r="O1939" s="31"/>
      <c r="P1939" s="3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E1939" s="57" t="str">
        <f t="shared" si="177"/>
        <v/>
      </c>
      <c r="AF1939" s="18" t="str">
        <f t="shared" si="178"/>
        <v/>
      </c>
      <c r="AG1939" s="18" t="str">
        <f t="shared" si="179"/>
        <v/>
      </c>
      <c r="AH1939" s="18" t="str">
        <f t="shared" si="180"/>
        <v/>
      </c>
      <c r="AI1939" s="18" t="str">
        <f t="shared" si="181"/>
        <v/>
      </c>
      <c r="AJ1939" s="18" t="str">
        <f t="shared" si="182"/>
        <v/>
      </c>
      <c r="AK1939" s="18" t="str">
        <f t="shared" si="183"/>
        <v/>
      </c>
      <c r="AL1939" s="18" t="str">
        <f t="shared" si="184"/>
        <v/>
      </c>
      <c r="AM1939" s="18" t="str">
        <f t="shared" si="185"/>
        <v/>
      </c>
    </row>
    <row r="1940" spans="1:39" x14ac:dyDescent="0.35">
      <c r="A1940" s="56" t="s">
        <v>2008</v>
      </c>
      <c r="B1940" s="31"/>
      <c r="C1940" s="54"/>
      <c r="D1940" s="31"/>
      <c r="E1940" s="31"/>
      <c r="F1940" s="31"/>
      <c r="G1940" s="31"/>
      <c r="H1940" s="31"/>
      <c r="I1940" s="31"/>
      <c r="J1940" s="31"/>
      <c r="K1940" s="31"/>
      <c r="L1940" s="31"/>
      <c r="M1940" s="31"/>
      <c r="N1940" s="31"/>
      <c r="O1940" s="31"/>
      <c r="P1940" s="3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E1940" s="57" t="str">
        <f t="shared" si="177"/>
        <v/>
      </c>
      <c r="AF1940" s="18" t="str">
        <f t="shared" si="178"/>
        <v/>
      </c>
      <c r="AG1940" s="18" t="str">
        <f t="shared" si="179"/>
        <v/>
      </c>
      <c r="AH1940" s="18" t="str">
        <f t="shared" si="180"/>
        <v/>
      </c>
      <c r="AI1940" s="18" t="str">
        <f t="shared" si="181"/>
        <v/>
      </c>
      <c r="AJ1940" s="18" t="str">
        <f t="shared" si="182"/>
        <v/>
      </c>
      <c r="AK1940" s="18" t="str">
        <f t="shared" si="183"/>
        <v/>
      </c>
      <c r="AL1940" s="18" t="str">
        <f t="shared" si="184"/>
        <v/>
      </c>
      <c r="AM1940" s="18" t="str">
        <f t="shared" si="185"/>
        <v/>
      </c>
    </row>
    <row r="1941" spans="1:39" x14ac:dyDescent="0.35">
      <c r="A1941" s="56" t="s">
        <v>2009</v>
      </c>
      <c r="B1941" s="31"/>
      <c r="C1941" s="54"/>
      <c r="D1941" s="31"/>
      <c r="E1941" s="31"/>
      <c r="F1941" s="31"/>
      <c r="G1941" s="31"/>
      <c r="H1941" s="31"/>
      <c r="I1941" s="31"/>
      <c r="J1941" s="31"/>
      <c r="K1941" s="31"/>
      <c r="L1941" s="31"/>
      <c r="M1941" s="31"/>
      <c r="N1941" s="31"/>
      <c r="O1941" s="31"/>
      <c r="P1941" s="3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E1941" s="57" t="str">
        <f t="shared" si="177"/>
        <v/>
      </c>
      <c r="AF1941" s="18" t="str">
        <f t="shared" si="178"/>
        <v/>
      </c>
      <c r="AG1941" s="18" t="str">
        <f t="shared" si="179"/>
        <v/>
      </c>
      <c r="AH1941" s="18" t="str">
        <f t="shared" si="180"/>
        <v/>
      </c>
      <c r="AI1941" s="18" t="str">
        <f t="shared" si="181"/>
        <v/>
      </c>
      <c r="AJ1941" s="18" t="str">
        <f t="shared" si="182"/>
        <v/>
      </c>
      <c r="AK1941" s="18" t="str">
        <f t="shared" si="183"/>
        <v/>
      </c>
      <c r="AL1941" s="18" t="str">
        <f t="shared" si="184"/>
        <v/>
      </c>
      <c r="AM1941" s="18" t="str">
        <f t="shared" si="185"/>
        <v/>
      </c>
    </row>
    <row r="1942" spans="1:39" x14ac:dyDescent="0.35">
      <c r="A1942" s="56" t="s">
        <v>2010</v>
      </c>
      <c r="B1942" s="31"/>
      <c r="C1942" s="54"/>
      <c r="D1942" s="31"/>
      <c r="E1942" s="31"/>
      <c r="F1942" s="31"/>
      <c r="G1942" s="31"/>
      <c r="H1942" s="31"/>
      <c r="I1942" s="31"/>
      <c r="J1942" s="31"/>
      <c r="K1942" s="31"/>
      <c r="L1942" s="31"/>
      <c r="M1942" s="31"/>
      <c r="N1942" s="31"/>
      <c r="O1942" s="31"/>
      <c r="P1942" s="3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E1942" s="57" t="str">
        <f t="shared" si="177"/>
        <v/>
      </c>
      <c r="AF1942" s="18" t="str">
        <f t="shared" si="178"/>
        <v/>
      </c>
      <c r="AG1942" s="18" t="str">
        <f t="shared" si="179"/>
        <v/>
      </c>
      <c r="AH1942" s="18" t="str">
        <f t="shared" si="180"/>
        <v/>
      </c>
      <c r="AI1942" s="18" t="str">
        <f t="shared" si="181"/>
        <v/>
      </c>
      <c r="AJ1942" s="18" t="str">
        <f t="shared" si="182"/>
        <v/>
      </c>
      <c r="AK1942" s="18" t="str">
        <f t="shared" si="183"/>
        <v/>
      </c>
      <c r="AL1942" s="18" t="str">
        <f t="shared" si="184"/>
        <v/>
      </c>
      <c r="AM1942" s="18" t="str">
        <f t="shared" si="185"/>
        <v/>
      </c>
    </row>
    <row r="1943" spans="1:39" x14ac:dyDescent="0.35">
      <c r="A1943" s="56" t="s">
        <v>2011</v>
      </c>
      <c r="B1943" s="31"/>
      <c r="C1943" s="54"/>
      <c r="D1943" s="31"/>
      <c r="E1943" s="31"/>
      <c r="F1943" s="31"/>
      <c r="G1943" s="31"/>
      <c r="H1943" s="31"/>
      <c r="I1943" s="31"/>
      <c r="J1943" s="31"/>
      <c r="K1943" s="31"/>
      <c r="L1943" s="31"/>
      <c r="M1943" s="31"/>
      <c r="N1943" s="31"/>
      <c r="O1943" s="31"/>
      <c r="P1943" s="3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E1943" s="57" t="str">
        <f t="shared" si="177"/>
        <v/>
      </c>
      <c r="AF1943" s="18" t="str">
        <f t="shared" si="178"/>
        <v/>
      </c>
      <c r="AG1943" s="18" t="str">
        <f t="shared" si="179"/>
        <v/>
      </c>
      <c r="AH1943" s="18" t="str">
        <f t="shared" si="180"/>
        <v/>
      </c>
      <c r="AI1943" s="18" t="str">
        <f t="shared" si="181"/>
        <v/>
      </c>
      <c r="AJ1943" s="18" t="str">
        <f t="shared" si="182"/>
        <v/>
      </c>
      <c r="AK1943" s="18" t="str">
        <f t="shared" si="183"/>
        <v/>
      </c>
      <c r="AL1943" s="18" t="str">
        <f t="shared" si="184"/>
        <v/>
      </c>
      <c r="AM1943" s="18" t="str">
        <f t="shared" si="185"/>
        <v/>
      </c>
    </row>
    <row r="1944" spans="1:39" x14ac:dyDescent="0.35">
      <c r="A1944" s="56" t="s">
        <v>2012</v>
      </c>
      <c r="B1944" s="31"/>
      <c r="C1944" s="54"/>
      <c r="D1944" s="31"/>
      <c r="E1944" s="31"/>
      <c r="F1944" s="31"/>
      <c r="G1944" s="31"/>
      <c r="H1944" s="31"/>
      <c r="I1944" s="31"/>
      <c r="J1944" s="31"/>
      <c r="K1944" s="31"/>
      <c r="L1944" s="31"/>
      <c r="M1944" s="31"/>
      <c r="N1944" s="31"/>
      <c r="O1944" s="31"/>
      <c r="P1944" s="3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E1944" s="57" t="str">
        <f t="shared" si="177"/>
        <v/>
      </c>
      <c r="AF1944" s="18" t="str">
        <f t="shared" si="178"/>
        <v/>
      </c>
      <c r="AG1944" s="18" t="str">
        <f t="shared" si="179"/>
        <v/>
      </c>
      <c r="AH1944" s="18" t="str">
        <f t="shared" si="180"/>
        <v/>
      </c>
      <c r="AI1944" s="18" t="str">
        <f t="shared" si="181"/>
        <v/>
      </c>
      <c r="AJ1944" s="18" t="str">
        <f t="shared" si="182"/>
        <v/>
      </c>
      <c r="AK1944" s="18" t="str">
        <f t="shared" si="183"/>
        <v/>
      </c>
      <c r="AL1944" s="18" t="str">
        <f t="shared" si="184"/>
        <v/>
      </c>
      <c r="AM1944" s="18" t="str">
        <f t="shared" si="185"/>
        <v/>
      </c>
    </row>
    <row r="1945" spans="1:39" x14ac:dyDescent="0.35">
      <c r="A1945" s="56" t="s">
        <v>2013</v>
      </c>
      <c r="B1945" s="31"/>
      <c r="C1945" s="54"/>
      <c r="D1945" s="31"/>
      <c r="E1945" s="31"/>
      <c r="F1945" s="31"/>
      <c r="G1945" s="31"/>
      <c r="H1945" s="31"/>
      <c r="I1945" s="31"/>
      <c r="J1945" s="31"/>
      <c r="K1945" s="31"/>
      <c r="L1945" s="31"/>
      <c r="M1945" s="31"/>
      <c r="N1945" s="31"/>
      <c r="O1945" s="31"/>
      <c r="P1945" s="3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E1945" s="57" t="str">
        <f t="shared" si="177"/>
        <v/>
      </c>
      <c r="AF1945" s="18" t="str">
        <f t="shared" si="178"/>
        <v/>
      </c>
      <c r="AG1945" s="18" t="str">
        <f t="shared" si="179"/>
        <v/>
      </c>
      <c r="AH1945" s="18" t="str">
        <f t="shared" si="180"/>
        <v/>
      </c>
      <c r="AI1945" s="18" t="str">
        <f t="shared" si="181"/>
        <v/>
      </c>
      <c r="AJ1945" s="18" t="str">
        <f t="shared" si="182"/>
        <v/>
      </c>
      <c r="AK1945" s="18" t="str">
        <f t="shared" si="183"/>
        <v/>
      </c>
      <c r="AL1945" s="18" t="str">
        <f t="shared" si="184"/>
        <v/>
      </c>
      <c r="AM1945" s="18" t="str">
        <f t="shared" si="185"/>
        <v/>
      </c>
    </row>
    <row r="1946" spans="1:39" x14ac:dyDescent="0.35">
      <c r="A1946" s="56" t="s">
        <v>2014</v>
      </c>
      <c r="B1946" s="31"/>
      <c r="C1946" s="54"/>
      <c r="D1946" s="31"/>
      <c r="E1946" s="31"/>
      <c r="F1946" s="31"/>
      <c r="G1946" s="31"/>
      <c r="H1946" s="31"/>
      <c r="I1946" s="31"/>
      <c r="J1946" s="31"/>
      <c r="K1946" s="31"/>
      <c r="L1946" s="31"/>
      <c r="M1946" s="31"/>
      <c r="N1946" s="31"/>
      <c r="O1946" s="31"/>
      <c r="P1946" s="3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E1946" s="57" t="str">
        <f t="shared" si="177"/>
        <v/>
      </c>
      <c r="AF1946" s="18" t="str">
        <f t="shared" si="178"/>
        <v/>
      </c>
      <c r="AG1946" s="18" t="str">
        <f t="shared" si="179"/>
        <v/>
      </c>
      <c r="AH1946" s="18" t="str">
        <f t="shared" si="180"/>
        <v/>
      </c>
      <c r="AI1946" s="18" t="str">
        <f t="shared" si="181"/>
        <v/>
      </c>
      <c r="AJ1946" s="18" t="str">
        <f t="shared" si="182"/>
        <v/>
      </c>
      <c r="AK1946" s="18" t="str">
        <f t="shared" si="183"/>
        <v/>
      </c>
      <c r="AL1946" s="18" t="str">
        <f t="shared" si="184"/>
        <v/>
      </c>
      <c r="AM1946" s="18" t="str">
        <f t="shared" si="185"/>
        <v/>
      </c>
    </row>
    <row r="1947" spans="1:39" x14ac:dyDescent="0.35">
      <c r="A1947" s="56" t="s">
        <v>2015</v>
      </c>
      <c r="B1947" s="31"/>
      <c r="C1947" s="54"/>
      <c r="D1947" s="31"/>
      <c r="E1947" s="31"/>
      <c r="F1947" s="31"/>
      <c r="G1947" s="31"/>
      <c r="H1947" s="31"/>
      <c r="I1947" s="31"/>
      <c r="J1947" s="31"/>
      <c r="K1947" s="31"/>
      <c r="L1947" s="31"/>
      <c r="M1947" s="31"/>
      <c r="N1947" s="31"/>
      <c r="O1947" s="31"/>
      <c r="P1947" s="3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E1947" s="57" t="str">
        <f t="shared" si="177"/>
        <v/>
      </c>
      <c r="AF1947" s="18" t="str">
        <f t="shared" si="178"/>
        <v/>
      </c>
      <c r="AG1947" s="18" t="str">
        <f t="shared" si="179"/>
        <v/>
      </c>
      <c r="AH1947" s="18" t="str">
        <f t="shared" si="180"/>
        <v/>
      </c>
      <c r="AI1947" s="18" t="str">
        <f t="shared" si="181"/>
        <v/>
      </c>
      <c r="AJ1947" s="18" t="str">
        <f t="shared" si="182"/>
        <v/>
      </c>
      <c r="AK1947" s="18" t="str">
        <f t="shared" si="183"/>
        <v/>
      </c>
      <c r="AL1947" s="18" t="str">
        <f t="shared" si="184"/>
        <v/>
      </c>
      <c r="AM1947" s="18" t="str">
        <f t="shared" si="185"/>
        <v/>
      </c>
    </row>
    <row r="1948" spans="1:39" x14ac:dyDescent="0.35">
      <c r="A1948" s="56" t="s">
        <v>2016</v>
      </c>
      <c r="B1948" s="31"/>
      <c r="C1948" s="54"/>
      <c r="D1948" s="31"/>
      <c r="E1948" s="31"/>
      <c r="F1948" s="31"/>
      <c r="G1948" s="31"/>
      <c r="H1948" s="31"/>
      <c r="I1948" s="31"/>
      <c r="J1948" s="31"/>
      <c r="K1948" s="31"/>
      <c r="L1948" s="31"/>
      <c r="M1948" s="31"/>
      <c r="N1948" s="31"/>
      <c r="O1948" s="31"/>
      <c r="P1948" s="3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E1948" s="57" t="str">
        <f t="shared" si="177"/>
        <v/>
      </c>
      <c r="AF1948" s="18" t="str">
        <f t="shared" si="178"/>
        <v/>
      </c>
      <c r="AG1948" s="18" t="str">
        <f t="shared" si="179"/>
        <v/>
      </c>
      <c r="AH1948" s="18" t="str">
        <f t="shared" si="180"/>
        <v/>
      </c>
      <c r="AI1948" s="18" t="str">
        <f t="shared" si="181"/>
        <v/>
      </c>
      <c r="AJ1948" s="18" t="str">
        <f t="shared" si="182"/>
        <v/>
      </c>
      <c r="AK1948" s="18" t="str">
        <f t="shared" si="183"/>
        <v/>
      </c>
      <c r="AL1948" s="18" t="str">
        <f t="shared" si="184"/>
        <v/>
      </c>
      <c r="AM1948" s="18" t="str">
        <f t="shared" si="185"/>
        <v/>
      </c>
    </row>
    <row r="1949" spans="1:39" x14ac:dyDescent="0.35">
      <c r="A1949" s="56" t="s">
        <v>2017</v>
      </c>
      <c r="B1949" s="31"/>
      <c r="C1949" s="54"/>
      <c r="D1949" s="31"/>
      <c r="E1949" s="31"/>
      <c r="F1949" s="31"/>
      <c r="G1949" s="31"/>
      <c r="H1949" s="31"/>
      <c r="I1949" s="31"/>
      <c r="J1949" s="31"/>
      <c r="K1949" s="31"/>
      <c r="L1949" s="31"/>
      <c r="M1949" s="31"/>
      <c r="N1949" s="31"/>
      <c r="O1949" s="31"/>
      <c r="P1949" s="3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E1949" s="57" t="str">
        <f t="shared" si="177"/>
        <v/>
      </c>
      <c r="AF1949" s="18" t="str">
        <f t="shared" si="178"/>
        <v/>
      </c>
      <c r="AG1949" s="18" t="str">
        <f t="shared" si="179"/>
        <v/>
      </c>
      <c r="AH1949" s="18" t="str">
        <f t="shared" si="180"/>
        <v/>
      </c>
      <c r="AI1949" s="18" t="str">
        <f t="shared" si="181"/>
        <v/>
      </c>
      <c r="AJ1949" s="18" t="str">
        <f t="shared" si="182"/>
        <v/>
      </c>
      <c r="AK1949" s="18" t="str">
        <f t="shared" si="183"/>
        <v/>
      </c>
      <c r="AL1949" s="18" t="str">
        <f t="shared" si="184"/>
        <v/>
      </c>
      <c r="AM1949" s="18" t="str">
        <f t="shared" si="185"/>
        <v/>
      </c>
    </row>
    <row r="1950" spans="1:39" x14ac:dyDescent="0.35">
      <c r="A1950" s="56" t="s">
        <v>2018</v>
      </c>
      <c r="B1950" s="31"/>
      <c r="C1950" s="54"/>
      <c r="D1950" s="31"/>
      <c r="E1950" s="31"/>
      <c r="F1950" s="31"/>
      <c r="G1950" s="31"/>
      <c r="H1950" s="31"/>
      <c r="I1950" s="31"/>
      <c r="J1950" s="31"/>
      <c r="K1950" s="31"/>
      <c r="L1950" s="31"/>
      <c r="M1950" s="31"/>
      <c r="N1950" s="31"/>
      <c r="O1950" s="31"/>
      <c r="P1950" s="3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E1950" s="57" t="str">
        <f t="shared" si="177"/>
        <v/>
      </c>
      <c r="AF1950" s="18" t="str">
        <f t="shared" si="178"/>
        <v/>
      </c>
      <c r="AG1950" s="18" t="str">
        <f t="shared" si="179"/>
        <v/>
      </c>
      <c r="AH1950" s="18" t="str">
        <f t="shared" si="180"/>
        <v/>
      </c>
      <c r="AI1950" s="18" t="str">
        <f t="shared" si="181"/>
        <v/>
      </c>
      <c r="AJ1950" s="18" t="str">
        <f t="shared" si="182"/>
        <v/>
      </c>
      <c r="AK1950" s="18" t="str">
        <f t="shared" si="183"/>
        <v/>
      </c>
      <c r="AL1950" s="18" t="str">
        <f t="shared" si="184"/>
        <v/>
      </c>
      <c r="AM1950" s="18" t="str">
        <f t="shared" si="185"/>
        <v/>
      </c>
    </row>
    <row r="1951" spans="1:39" x14ac:dyDescent="0.35">
      <c r="A1951" s="56" t="s">
        <v>2019</v>
      </c>
      <c r="B1951" s="31"/>
      <c r="C1951" s="54"/>
      <c r="D1951" s="31"/>
      <c r="E1951" s="31"/>
      <c r="F1951" s="31"/>
      <c r="G1951" s="31"/>
      <c r="H1951" s="31"/>
      <c r="I1951" s="31"/>
      <c r="J1951" s="31"/>
      <c r="K1951" s="31"/>
      <c r="L1951" s="31"/>
      <c r="M1951" s="31"/>
      <c r="N1951" s="31"/>
      <c r="O1951" s="31"/>
      <c r="P1951" s="3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E1951" s="57" t="str">
        <f t="shared" si="177"/>
        <v/>
      </c>
      <c r="AF1951" s="18" t="str">
        <f t="shared" si="178"/>
        <v/>
      </c>
      <c r="AG1951" s="18" t="str">
        <f t="shared" si="179"/>
        <v/>
      </c>
      <c r="AH1951" s="18" t="str">
        <f t="shared" si="180"/>
        <v/>
      </c>
      <c r="AI1951" s="18" t="str">
        <f t="shared" si="181"/>
        <v/>
      </c>
      <c r="AJ1951" s="18" t="str">
        <f t="shared" si="182"/>
        <v/>
      </c>
      <c r="AK1951" s="18" t="str">
        <f t="shared" si="183"/>
        <v/>
      </c>
      <c r="AL1951" s="18" t="str">
        <f t="shared" si="184"/>
        <v/>
      </c>
      <c r="AM1951" s="18" t="str">
        <f t="shared" si="185"/>
        <v/>
      </c>
    </row>
    <row r="1952" spans="1:39" x14ac:dyDescent="0.35">
      <c r="A1952" s="56" t="s">
        <v>2020</v>
      </c>
      <c r="B1952" s="31"/>
      <c r="C1952" s="54"/>
      <c r="D1952" s="31"/>
      <c r="E1952" s="31"/>
      <c r="F1952" s="31"/>
      <c r="G1952" s="31"/>
      <c r="H1952" s="31"/>
      <c r="I1952" s="31"/>
      <c r="J1952" s="31"/>
      <c r="K1952" s="31"/>
      <c r="L1952" s="31"/>
      <c r="M1952" s="31"/>
      <c r="N1952" s="31"/>
      <c r="O1952" s="31"/>
      <c r="P1952" s="3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E1952" s="57" t="str">
        <f t="shared" si="177"/>
        <v/>
      </c>
      <c r="AF1952" s="18" t="str">
        <f t="shared" si="178"/>
        <v/>
      </c>
      <c r="AG1952" s="18" t="str">
        <f t="shared" si="179"/>
        <v/>
      </c>
      <c r="AH1952" s="18" t="str">
        <f t="shared" si="180"/>
        <v/>
      </c>
      <c r="AI1952" s="18" t="str">
        <f t="shared" si="181"/>
        <v/>
      </c>
      <c r="AJ1952" s="18" t="str">
        <f t="shared" si="182"/>
        <v/>
      </c>
      <c r="AK1952" s="18" t="str">
        <f t="shared" si="183"/>
        <v/>
      </c>
      <c r="AL1952" s="18" t="str">
        <f t="shared" si="184"/>
        <v/>
      </c>
      <c r="AM1952" s="18" t="str">
        <f t="shared" si="185"/>
        <v/>
      </c>
    </row>
    <row r="1953" spans="1:39" x14ac:dyDescent="0.35">
      <c r="A1953" s="56" t="s">
        <v>2021</v>
      </c>
      <c r="B1953" s="31"/>
      <c r="C1953" s="54"/>
      <c r="D1953" s="31"/>
      <c r="E1953" s="31"/>
      <c r="F1953" s="31"/>
      <c r="G1953" s="31"/>
      <c r="H1953" s="31"/>
      <c r="I1953" s="31"/>
      <c r="J1953" s="31"/>
      <c r="K1953" s="31"/>
      <c r="L1953" s="31"/>
      <c r="M1953" s="31"/>
      <c r="N1953" s="31"/>
      <c r="O1953" s="31"/>
      <c r="P1953" s="3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E1953" s="57" t="str">
        <f t="shared" si="177"/>
        <v/>
      </c>
      <c r="AF1953" s="18" t="str">
        <f t="shared" si="178"/>
        <v/>
      </c>
      <c r="AG1953" s="18" t="str">
        <f t="shared" si="179"/>
        <v/>
      </c>
      <c r="AH1953" s="18" t="str">
        <f t="shared" si="180"/>
        <v/>
      </c>
      <c r="AI1953" s="18" t="str">
        <f t="shared" si="181"/>
        <v/>
      </c>
      <c r="AJ1953" s="18" t="str">
        <f t="shared" si="182"/>
        <v/>
      </c>
      <c r="AK1953" s="18" t="str">
        <f t="shared" si="183"/>
        <v/>
      </c>
      <c r="AL1953" s="18" t="str">
        <f t="shared" si="184"/>
        <v/>
      </c>
      <c r="AM1953" s="18" t="str">
        <f t="shared" si="185"/>
        <v/>
      </c>
    </row>
    <row r="1954" spans="1:39" x14ac:dyDescent="0.35">
      <c r="A1954" s="56" t="s">
        <v>2022</v>
      </c>
      <c r="B1954" s="31"/>
      <c r="C1954" s="54"/>
      <c r="D1954" s="31"/>
      <c r="E1954" s="31"/>
      <c r="F1954" s="31"/>
      <c r="G1954" s="31"/>
      <c r="H1954" s="31"/>
      <c r="I1954" s="31"/>
      <c r="J1954" s="31"/>
      <c r="K1954" s="31"/>
      <c r="L1954" s="31"/>
      <c r="M1954" s="31"/>
      <c r="N1954" s="31"/>
      <c r="O1954" s="31"/>
      <c r="P1954" s="3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E1954" s="57" t="str">
        <f t="shared" si="177"/>
        <v/>
      </c>
      <c r="AF1954" s="18" t="str">
        <f t="shared" si="178"/>
        <v/>
      </c>
      <c r="AG1954" s="18" t="str">
        <f t="shared" si="179"/>
        <v/>
      </c>
      <c r="AH1954" s="18" t="str">
        <f t="shared" si="180"/>
        <v/>
      </c>
      <c r="AI1954" s="18" t="str">
        <f t="shared" si="181"/>
        <v/>
      </c>
      <c r="AJ1954" s="18" t="str">
        <f t="shared" si="182"/>
        <v/>
      </c>
      <c r="AK1954" s="18" t="str">
        <f t="shared" si="183"/>
        <v/>
      </c>
      <c r="AL1954" s="18" t="str">
        <f t="shared" si="184"/>
        <v/>
      </c>
      <c r="AM1954" s="18" t="str">
        <f t="shared" si="185"/>
        <v/>
      </c>
    </row>
    <row r="1955" spans="1:39" x14ac:dyDescent="0.35">
      <c r="A1955" s="56" t="s">
        <v>2023</v>
      </c>
      <c r="B1955" s="31"/>
      <c r="C1955" s="54"/>
      <c r="D1955" s="31"/>
      <c r="E1955" s="31"/>
      <c r="F1955" s="31"/>
      <c r="G1955" s="31"/>
      <c r="H1955" s="31"/>
      <c r="I1955" s="31"/>
      <c r="J1955" s="31"/>
      <c r="K1955" s="31"/>
      <c r="L1955" s="31"/>
      <c r="M1955" s="31"/>
      <c r="N1955" s="31"/>
      <c r="O1955" s="31"/>
      <c r="P1955" s="3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E1955" s="57" t="str">
        <f t="shared" si="177"/>
        <v/>
      </c>
      <c r="AF1955" s="18" t="str">
        <f t="shared" si="178"/>
        <v/>
      </c>
      <c r="AG1955" s="18" t="str">
        <f t="shared" si="179"/>
        <v/>
      </c>
      <c r="AH1955" s="18" t="str">
        <f t="shared" si="180"/>
        <v/>
      </c>
      <c r="AI1955" s="18" t="str">
        <f t="shared" si="181"/>
        <v/>
      </c>
      <c r="AJ1955" s="18" t="str">
        <f t="shared" si="182"/>
        <v/>
      </c>
      <c r="AK1955" s="18" t="str">
        <f t="shared" si="183"/>
        <v/>
      </c>
      <c r="AL1955" s="18" t="str">
        <f t="shared" si="184"/>
        <v/>
      </c>
      <c r="AM1955" s="18" t="str">
        <f t="shared" si="185"/>
        <v/>
      </c>
    </row>
    <row r="1956" spans="1:39" x14ac:dyDescent="0.35">
      <c r="A1956" s="56" t="s">
        <v>2024</v>
      </c>
      <c r="B1956" s="31"/>
      <c r="C1956" s="54"/>
      <c r="D1956" s="31"/>
      <c r="E1956" s="31"/>
      <c r="F1956" s="31"/>
      <c r="G1956" s="31"/>
      <c r="H1956" s="31"/>
      <c r="I1956" s="31"/>
      <c r="J1956" s="31"/>
      <c r="K1956" s="31"/>
      <c r="L1956" s="31"/>
      <c r="M1956" s="31"/>
      <c r="N1956" s="31"/>
      <c r="O1956" s="31"/>
      <c r="P1956" s="3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E1956" s="57" t="str">
        <f t="shared" si="177"/>
        <v/>
      </c>
      <c r="AF1956" s="18" t="str">
        <f t="shared" si="178"/>
        <v/>
      </c>
      <c r="AG1956" s="18" t="str">
        <f t="shared" si="179"/>
        <v/>
      </c>
      <c r="AH1956" s="18" t="str">
        <f t="shared" si="180"/>
        <v/>
      </c>
      <c r="AI1956" s="18" t="str">
        <f t="shared" si="181"/>
        <v/>
      </c>
      <c r="AJ1956" s="18" t="str">
        <f t="shared" si="182"/>
        <v/>
      </c>
      <c r="AK1956" s="18" t="str">
        <f t="shared" si="183"/>
        <v/>
      </c>
      <c r="AL1956" s="18" t="str">
        <f t="shared" si="184"/>
        <v/>
      </c>
      <c r="AM1956" s="18" t="str">
        <f t="shared" si="185"/>
        <v/>
      </c>
    </row>
    <row r="1957" spans="1:39" x14ac:dyDescent="0.35">
      <c r="A1957" s="56" t="s">
        <v>2025</v>
      </c>
      <c r="B1957" s="31"/>
      <c r="C1957" s="54"/>
      <c r="D1957" s="31"/>
      <c r="E1957" s="31"/>
      <c r="F1957" s="31"/>
      <c r="G1957" s="31"/>
      <c r="H1957" s="31"/>
      <c r="I1957" s="31"/>
      <c r="J1957" s="31"/>
      <c r="K1957" s="31"/>
      <c r="L1957" s="31"/>
      <c r="M1957" s="31"/>
      <c r="N1957" s="31"/>
      <c r="O1957" s="31"/>
      <c r="P1957" s="3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E1957" s="57" t="str">
        <f t="shared" si="177"/>
        <v/>
      </c>
      <c r="AF1957" s="18" t="str">
        <f t="shared" si="178"/>
        <v/>
      </c>
      <c r="AG1957" s="18" t="str">
        <f t="shared" si="179"/>
        <v/>
      </c>
      <c r="AH1957" s="18" t="str">
        <f t="shared" si="180"/>
        <v/>
      </c>
      <c r="AI1957" s="18" t="str">
        <f t="shared" si="181"/>
        <v/>
      </c>
      <c r="AJ1957" s="18" t="str">
        <f t="shared" si="182"/>
        <v/>
      </c>
      <c r="AK1957" s="18" t="str">
        <f t="shared" si="183"/>
        <v/>
      </c>
      <c r="AL1957" s="18" t="str">
        <f t="shared" si="184"/>
        <v/>
      </c>
      <c r="AM1957" s="18" t="str">
        <f t="shared" si="185"/>
        <v/>
      </c>
    </row>
    <row r="1958" spans="1:39" x14ac:dyDescent="0.35">
      <c r="A1958" s="56" t="s">
        <v>2026</v>
      </c>
      <c r="B1958" s="31"/>
      <c r="C1958" s="54"/>
      <c r="D1958" s="31"/>
      <c r="E1958" s="31"/>
      <c r="F1958" s="31"/>
      <c r="G1958" s="31"/>
      <c r="H1958" s="31"/>
      <c r="I1958" s="31"/>
      <c r="J1958" s="31"/>
      <c r="K1958" s="31"/>
      <c r="L1958" s="31"/>
      <c r="M1958" s="31"/>
      <c r="N1958" s="31"/>
      <c r="O1958" s="31"/>
      <c r="P1958" s="3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E1958" s="57" t="str">
        <f t="shared" si="177"/>
        <v/>
      </c>
      <c r="AF1958" s="18" t="str">
        <f t="shared" si="178"/>
        <v/>
      </c>
      <c r="AG1958" s="18" t="str">
        <f t="shared" si="179"/>
        <v/>
      </c>
      <c r="AH1958" s="18" t="str">
        <f t="shared" si="180"/>
        <v/>
      </c>
      <c r="AI1958" s="18" t="str">
        <f t="shared" si="181"/>
        <v/>
      </c>
      <c r="AJ1958" s="18" t="str">
        <f t="shared" si="182"/>
        <v/>
      </c>
      <c r="AK1958" s="18" t="str">
        <f t="shared" si="183"/>
        <v/>
      </c>
      <c r="AL1958" s="18" t="str">
        <f t="shared" si="184"/>
        <v/>
      </c>
      <c r="AM1958" s="18" t="str">
        <f t="shared" si="185"/>
        <v/>
      </c>
    </row>
    <row r="1959" spans="1:39" x14ac:dyDescent="0.35">
      <c r="A1959" s="56" t="s">
        <v>2027</v>
      </c>
      <c r="B1959" s="31"/>
      <c r="C1959" s="54"/>
      <c r="D1959" s="31"/>
      <c r="E1959" s="31"/>
      <c r="F1959" s="31"/>
      <c r="G1959" s="31"/>
      <c r="H1959" s="31"/>
      <c r="I1959" s="31"/>
      <c r="J1959" s="31"/>
      <c r="K1959" s="31"/>
      <c r="L1959" s="31"/>
      <c r="M1959" s="31"/>
      <c r="N1959" s="31"/>
      <c r="O1959" s="31"/>
      <c r="P1959" s="3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E1959" s="57" t="str">
        <f t="shared" si="177"/>
        <v/>
      </c>
      <c r="AF1959" s="18" t="str">
        <f t="shared" si="178"/>
        <v/>
      </c>
      <c r="AG1959" s="18" t="str">
        <f t="shared" si="179"/>
        <v/>
      </c>
      <c r="AH1959" s="18" t="str">
        <f t="shared" si="180"/>
        <v/>
      </c>
      <c r="AI1959" s="18" t="str">
        <f t="shared" si="181"/>
        <v/>
      </c>
      <c r="AJ1959" s="18" t="str">
        <f t="shared" si="182"/>
        <v/>
      </c>
      <c r="AK1959" s="18" t="str">
        <f t="shared" si="183"/>
        <v/>
      </c>
      <c r="AL1959" s="18" t="str">
        <f t="shared" si="184"/>
        <v/>
      </c>
      <c r="AM1959" s="18" t="str">
        <f t="shared" si="185"/>
        <v/>
      </c>
    </row>
    <row r="1960" spans="1:39" x14ac:dyDescent="0.35">
      <c r="A1960" s="56" t="s">
        <v>2028</v>
      </c>
      <c r="B1960" s="31"/>
      <c r="C1960" s="54"/>
      <c r="D1960" s="31"/>
      <c r="E1960" s="31"/>
      <c r="F1960" s="31"/>
      <c r="G1960" s="31"/>
      <c r="H1960" s="31"/>
      <c r="I1960" s="31"/>
      <c r="J1960" s="31"/>
      <c r="K1960" s="31"/>
      <c r="L1960" s="31"/>
      <c r="M1960" s="31"/>
      <c r="N1960" s="31"/>
      <c r="O1960" s="31"/>
      <c r="P1960" s="3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E1960" s="57" t="str">
        <f t="shared" si="177"/>
        <v/>
      </c>
      <c r="AF1960" s="18" t="str">
        <f t="shared" si="178"/>
        <v/>
      </c>
      <c r="AG1960" s="18" t="str">
        <f t="shared" si="179"/>
        <v/>
      </c>
      <c r="AH1960" s="18" t="str">
        <f t="shared" si="180"/>
        <v/>
      </c>
      <c r="AI1960" s="18" t="str">
        <f t="shared" si="181"/>
        <v/>
      </c>
      <c r="AJ1960" s="18" t="str">
        <f t="shared" si="182"/>
        <v/>
      </c>
      <c r="AK1960" s="18" t="str">
        <f t="shared" si="183"/>
        <v/>
      </c>
      <c r="AL1960" s="18" t="str">
        <f t="shared" si="184"/>
        <v/>
      </c>
      <c r="AM1960" s="18" t="str">
        <f t="shared" si="185"/>
        <v/>
      </c>
    </row>
    <row r="1961" spans="1:39" x14ac:dyDescent="0.35">
      <c r="A1961" s="56" t="s">
        <v>2029</v>
      </c>
      <c r="B1961" s="31"/>
      <c r="C1961" s="54"/>
      <c r="D1961" s="31"/>
      <c r="E1961" s="31"/>
      <c r="F1961" s="31"/>
      <c r="G1961" s="31"/>
      <c r="H1961" s="31"/>
      <c r="I1961" s="31"/>
      <c r="J1961" s="31"/>
      <c r="K1961" s="31"/>
      <c r="L1961" s="31"/>
      <c r="M1961" s="31"/>
      <c r="N1961" s="31"/>
      <c r="O1961" s="31"/>
      <c r="P1961" s="3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E1961" s="57" t="str">
        <f t="shared" si="177"/>
        <v/>
      </c>
      <c r="AF1961" s="18" t="str">
        <f t="shared" si="178"/>
        <v/>
      </c>
      <c r="AG1961" s="18" t="str">
        <f t="shared" si="179"/>
        <v/>
      </c>
      <c r="AH1961" s="18" t="str">
        <f t="shared" si="180"/>
        <v/>
      </c>
      <c r="AI1961" s="18" t="str">
        <f t="shared" si="181"/>
        <v/>
      </c>
      <c r="AJ1961" s="18" t="str">
        <f t="shared" si="182"/>
        <v/>
      </c>
      <c r="AK1961" s="18" t="str">
        <f t="shared" si="183"/>
        <v/>
      </c>
      <c r="AL1961" s="18" t="str">
        <f t="shared" si="184"/>
        <v/>
      </c>
      <c r="AM1961" s="18" t="str">
        <f t="shared" si="185"/>
        <v/>
      </c>
    </row>
    <row r="1962" spans="1:39" x14ac:dyDescent="0.35">
      <c r="A1962" s="56" t="s">
        <v>2030</v>
      </c>
      <c r="B1962" s="31"/>
      <c r="C1962" s="54"/>
      <c r="D1962" s="31"/>
      <c r="E1962" s="31"/>
      <c r="F1962" s="31"/>
      <c r="G1962" s="31"/>
      <c r="H1962" s="31"/>
      <c r="I1962" s="31"/>
      <c r="J1962" s="31"/>
      <c r="K1962" s="31"/>
      <c r="L1962" s="31"/>
      <c r="M1962" s="31"/>
      <c r="N1962" s="31"/>
      <c r="O1962" s="31"/>
      <c r="P1962" s="3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E1962" s="57" t="str">
        <f t="shared" si="177"/>
        <v/>
      </c>
      <c r="AF1962" s="18" t="str">
        <f t="shared" si="178"/>
        <v/>
      </c>
      <c r="AG1962" s="18" t="str">
        <f t="shared" si="179"/>
        <v/>
      </c>
      <c r="AH1962" s="18" t="str">
        <f t="shared" si="180"/>
        <v/>
      </c>
      <c r="AI1962" s="18" t="str">
        <f t="shared" si="181"/>
        <v/>
      </c>
      <c r="AJ1962" s="18" t="str">
        <f t="shared" si="182"/>
        <v/>
      </c>
      <c r="AK1962" s="18" t="str">
        <f t="shared" si="183"/>
        <v/>
      </c>
      <c r="AL1962" s="18" t="str">
        <f t="shared" si="184"/>
        <v/>
      </c>
      <c r="AM1962" s="18" t="str">
        <f t="shared" si="185"/>
        <v/>
      </c>
    </row>
    <row r="1963" spans="1:39" x14ac:dyDescent="0.35">
      <c r="A1963" s="56" t="s">
        <v>2031</v>
      </c>
      <c r="B1963" s="31"/>
      <c r="C1963" s="54"/>
      <c r="D1963" s="31"/>
      <c r="E1963" s="31"/>
      <c r="F1963" s="31"/>
      <c r="G1963" s="31"/>
      <c r="H1963" s="31"/>
      <c r="I1963" s="31"/>
      <c r="J1963" s="31"/>
      <c r="K1963" s="31"/>
      <c r="L1963" s="31"/>
      <c r="M1963" s="31"/>
      <c r="N1963" s="31"/>
      <c r="O1963" s="31"/>
      <c r="P1963" s="3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E1963" s="57" t="str">
        <f t="shared" si="177"/>
        <v/>
      </c>
      <c r="AF1963" s="18" t="str">
        <f t="shared" si="178"/>
        <v/>
      </c>
      <c r="AG1963" s="18" t="str">
        <f t="shared" si="179"/>
        <v/>
      </c>
      <c r="AH1963" s="18" t="str">
        <f t="shared" si="180"/>
        <v/>
      </c>
      <c r="AI1963" s="18" t="str">
        <f t="shared" si="181"/>
        <v/>
      </c>
      <c r="AJ1963" s="18" t="str">
        <f t="shared" si="182"/>
        <v/>
      </c>
      <c r="AK1963" s="18" t="str">
        <f t="shared" si="183"/>
        <v/>
      </c>
      <c r="AL1963" s="18" t="str">
        <f t="shared" si="184"/>
        <v/>
      </c>
      <c r="AM1963" s="18" t="str">
        <f t="shared" si="185"/>
        <v/>
      </c>
    </row>
    <row r="1964" spans="1:39" x14ac:dyDescent="0.35">
      <c r="A1964" s="56" t="s">
        <v>2032</v>
      </c>
      <c r="B1964" s="31"/>
      <c r="C1964" s="54"/>
      <c r="D1964" s="31"/>
      <c r="E1964" s="31"/>
      <c r="F1964" s="31"/>
      <c r="G1964" s="31"/>
      <c r="H1964" s="31"/>
      <c r="I1964" s="31"/>
      <c r="J1964" s="31"/>
      <c r="K1964" s="31"/>
      <c r="L1964" s="31"/>
      <c r="M1964" s="31"/>
      <c r="N1964" s="31"/>
      <c r="O1964" s="31"/>
      <c r="P1964" s="3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E1964" s="57" t="str">
        <f t="shared" si="177"/>
        <v/>
      </c>
      <c r="AF1964" s="18" t="str">
        <f t="shared" si="178"/>
        <v/>
      </c>
      <c r="AG1964" s="18" t="str">
        <f t="shared" si="179"/>
        <v/>
      </c>
      <c r="AH1964" s="18" t="str">
        <f t="shared" si="180"/>
        <v/>
      </c>
      <c r="AI1964" s="18" t="str">
        <f t="shared" si="181"/>
        <v/>
      </c>
      <c r="AJ1964" s="18" t="str">
        <f t="shared" si="182"/>
        <v/>
      </c>
      <c r="AK1964" s="18" t="str">
        <f t="shared" si="183"/>
        <v/>
      </c>
      <c r="AL1964" s="18" t="str">
        <f t="shared" si="184"/>
        <v/>
      </c>
      <c r="AM1964" s="18" t="str">
        <f t="shared" si="185"/>
        <v/>
      </c>
    </row>
    <row r="1965" spans="1:39" x14ac:dyDescent="0.35">
      <c r="A1965" s="56" t="s">
        <v>2033</v>
      </c>
      <c r="B1965" s="31"/>
      <c r="C1965" s="54"/>
      <c r="D1965" s="31"/>
      <c r="E1965" s="31"/>
      <c r="F1965" s="31"/>
      <c r="G1965" s="31"/>
      <c r="H1965" s="31"/>
      <c r="I1965" s="31"/>
      <c r="J1965" s="31"/>
      <c r="K1965" s="31"/>
      <c r="L1965" s="31"/>
      <c r="M1965" s="31"/>
      <c r="N1965" s="31"/>
      <c r="O1965" s="31"/>
      <c r="P1965" s="3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E1965" s="57" t="str">
        <f t="shared" si="177"/>
        <v/>
      </c>
      <c r="AF1965" s="18" t="str">
        <f t="shared" si="178"/>
        <v/>
      </c>
      <c r="AG1965" s="18" t="str">
        <f t="shared" si="179"/>
        <v/>
      </c>
      <c r="AH1965" s="18" t="str">
        <f t="shared" si="180"/>
        <v/>
      </c>
      <c r="AI1965" s="18" t="str">
        <f t="shared" si="181"/>
        <v/>
      </c>
      <c r="AJ1965" s="18" t="str">
        <f t="shared" si="182"/>
        <v/>
      </c>
      <c r="AK1965" s="18" t="str">
        <f t="shared" si="183"/>
        <v/>
      </c>
      <c r="AL1965" s="18" t="str">
        <f t="shared" si="184"/>
        <v/>
      </c>
      <c r="AM1965" s="18" t="str">
        <f t="shared" si="185"/>
        <v/>
      </c>
    </row>
    <row r="1966" spans="1:39" x14ac:dyDescent="0.35">
      <c r="A1966" s="56" t="s">
        <v>2034</v>
      </c>
      <c r="B1966" s="31"/>
      <c r="C1966" s="54"/>
      <c r="D1966" s="31"/>
      <c r="E1966" s="31"/>
      <c r="F1966" s="31"/>
      <c r="G1966" s="31"/>
      <c r="H1966" s="31"/>
      <c r="I1966" s="31"/>
      <c r="J1966" s="31"/>
      <c r="K1966" s="31"/>
      <c r="L1966" s="31"/>
      <c r="M1966" s="31"/>
      <c r="N1966" s="31"/>
      <c r="O1966" s="31"/>
      <c r="P1966" s="3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E1966" s="57" t="str">
        <f t="shared" si="177"/>
        <v/>
      </c>
      <c r="AF1966" s="18" t="str">
        <f t="shared" si="178"/>
        <v/>
      </c>
      <c r="AG1966" s="18" t="str">
        <f t="shared" si="179"/>
        <v/>
      </c>
      <c r="AH1966" s="18" t="str">
        <f t="shared" si="180"/>
        <v/>
      </c>
      <c r="AI1966" s="18" t="str">
        <f t="shared" si="181"/>
        <v/>
      </c>
      <c r="AJ1966" s="18" t="str">
        <f t="shared" si="182"/>
        <v/>
      </c>
      <c r="AK1966" s="18" t="str">
        <f t="shared" si="183"/>
        <v/>
      </c>
      <c r="AL1966" s="18" t="str">
        <f t="shared" si="184"/>
        <v/>
      </c>
      <c r="AM1966" s="18" t="str">
        <f t="shared" si="185"/>
        <v/>
      </c>
    </row>
    <row r="1967" spans="1:39" x14ac:dyDescent="0.35">
      <c r="A1967" s="56" t="s">
        <v>2035</v>
      </c>
      <c r="B1967" s="31"/>
      <c r="C1967" s="54"/>
      <c r="D1967" s="31"/>
      <c r="E1967" s="31"/>
      <c r="F1967" s="31"/>
      <c r="G1967" s="31"/>
      <c r="H1967" s="31"/>
      <c r="I1967" s="31"/>
      <c r="J1967" s="31"/>
      <c r="K1967" s="31"/>
      <c r="L1967" s="31"/>
      <c r="M1967" s="31"/>
      <c r="N1967" s="31"/>
      <c r="O1967" s="31"/>
      <c r="P1967" s="3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E1967" s="57" t="str">
        <f t="shared" si="177"/>
        <v/>
      </c>
      <c r="AF1967" s="18" t="str">
        <f t="shared" si="178"/>
        <v/>
      </c>
      <c r="AG1967" s="18" t="str">
        <f t="shared" si="179"/>
        <v/>
      </c>
      <c r="AH1967" s="18" t="str">
        <f t="shared" si="180"/>
        <v/>
      </c>
      <c r="AI1967" s="18" t="str">
        <f t="shared" si="181"/>
        <v/>
      </c>
      <c r="AJ1967" s="18" t="str">
        <f t="shared" si="182"/>
        <v/>
      </c>
      <c r="AK1967" s="18" t="str">
        <f t="shared" si="183"/>
        <v/>
      </c>
      <c r="AL1967" s="18" t="str">
        <f t="shared" si="184"/>
        <v/>
      </c>
      <c r="AM1967" s="18" t="str">
        <f t="shared" si="185"/>
        <v/>
      </c>
    </row>
    <row r="1968" spans="1:39" x14ac:dyDescent="0.35">
      <c r="A1968" s="56" t="s">
        <v>2036</v>
      </c>
      <c r="B1968" s="31"/>
      <c r="C1968" s="54"/>
      <c r="D1968" s="31"/>
      <c r="E1968" s="31"/>
      <c r="F1968" s="31"/>
      <c r="G1968" s="31"/>
      <c r="H1968" s="31"/>
      <c r="I1968" s="31"/>
      <c r="J1968" s="31"/>
      <c r="K1968" s="31"/>
      <c r="L1968" s="31"/>
      <c r="M1968" s="31"/>
      <c r="N1968" s="31"/>
      <c r="O1968" s="31"/>
      <c r="P1968" s="3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E1968" s="57" t="str">
        <f t="shared" si="177"/>
        <v/>
      </c>
      <c r="AF1968" s="18" t="str">
        <f t="shared" si="178"/>
        <v/>
      </c>
      <c r="AG1968" s="18" t="str">
        <f t="shared" si="179"/>
        <v/>
      </c>
      <c r="AH1968" s="18" t="str">
        <f t="shared" si="180"/>
        <v/>
      </c>
      <c r="AI1968" s="18" t="str">
        <f t="shared" si="181"/>
        <v/>
      </c>
      <c r="AJ1968" s="18" t="str">
        <f t="shared" si="182"/>
        <v/>
      </c>
      <c r="AK1968" s="18" t="str">
        <f t="shared" si="183"/>
        <v/>
      </c>
      <c r="AL1968" s="18" t="str">
        <f t="shared" si="184"/>
        <v/>
      </c>
      <c r="AM1968" s="18" t="str">
        <f t="shared" si="185"/>
        <v/>
      </c>
    </row>
    <row r="1969" spans="1:39" x14ac:dyDescent="0.35">
      <c r="A1969" s="56" t="s">
        <v>2037</v>
      </c>
      <c r="B1969" s="31"/>
      <c r="C1969" s="54"/>
      <c r="D1969" s="31"/>
      <c r="E1969" s="31"/>
      <c r="F1969" s="31"/>
      <c r="G1969" s="31"/>
      <c r="H1969" s="31"/>
      <c r="I1969" s="31"/>
      <c r="J1969" s="31"/>
      <c r="K1969" s="31"/>
      <c r="L1969" s="31"/>
      <c r="M1969" s="31"/>
      <c r="N1969" s="31"/>
      <c r="O1969" s="31"/>
      <c r="P1969" s="3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E1969" s="57" t="str">
        <f t="shared" si="177"/>
        <v/>
      </c>
      <c r="AF1969" s="18" t="str">
        <f t="shared" si="178"/>
        <v/>
      </c>
      <c r="AG1969" s="18" t="str">
        <f t="shared" si="179"/>
        <v/>
      </c>
      <c r="AH1969" s="18" t="str">
        <f t="shared" si="180"/>
        <v/>
      </c>
      <c r="AI1969" s="18" t="str">
        <f t="shared" si="181"/>
        <v/>
      </c>
      <c r="AJ1969" s="18" t="str">
        <f t="shared" si="182"/>
        <v/>
      </c>
      <c r="AK1969" s="18" t="str">
        <f t="shared" si="183"/>
        <v/>
      </c>
      <c r="AL1969" s="18" t="str">
        <f t="shared" si="184"/>
        <v/>
      </c>
      <c r="AM1969" s="18" t="str">
        <f t="shared" si="185"/>
        <v/>
      </c>
    </row>
    <row r="1970" spans="1:39" x14ac:dyDescent="0.35">
      <c r="A1970" s="56" t="s">
        <v>2038</v>
      </c>
      <c r="B1970" s="31"/>
      <c r="C1970" s="54"/>
      <c r="D1970" s="31"/>
      <c r="E1970" s="31"/>
      <c r="F1970" s="31"/>
      <c r="G1970" s="31"/>
      <c r="H1970" s="31"/>
      <c r="I1970" s="31"/>
      <c r="J1970" s="31"/>
      <c r="K1970" s="31"/>
      <c r="L1970" s="31"/>
      <c r="M1970" s="31"/>
      <c r="N1970" s="31"/>
      <c r="O1970" s="31"/>
      <c r="P1970" s="3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E1970" s="57" t="str">
        <f t="shared" si="177"/>
        <v/>
      </c>
      <c r="AF1970" s="18" t="str">
        <f t="shared" si="178"/>
        <v/>
      </c>
      <c r="AG1970" s="18" t="str">
        <f t="shared" si="179"/>
        <v/>
      </c>
      <c r="AH1970" s="18" t="str">
        <f t="shared" si="180"/>
        <v/>
      </c>
      <c r="AI1970" s="18" t="str">
        <f t="shared" si="181"/>
        <v/>
      </c>
      <c r="AJ1970" s="18" t="str">
        <f t="shared" si="182"/>
        <v/>
      </c>
      <c r="AK1970" s="18" t="str">
        <f t="shared" si="183"/>
        <v/>
      </c>
      <c r="AL1970" s="18" t="str">
        <f t="shared" si="184"/>
        <v/>
      </c>
      <c r="AM1970" s="18" t="str">
        <f t="shared" si="185"/>
        <v/>
      </c>
    </row>
    <row r="1971" spans="1:39" x14ac:dyDescent="0.35">
      <c r="A1971" s="56" t="s">
        <v>2039</v>
      </c>
      <c r="B1971" s="31"/>
      <c r="C1971" s="54"/>
      <c r="D1971" s="31"/>
      <c r="E1971" s="31"/>
      <c r="F1971" s="31"/>
      <c r="G1971" s="31"/>
      <c r="H1971" s="31"/>
      <c r="I1971" s="31"/>
      <c r="J1971" s="31"/>
      <c r="K1971" s="31"/>
      <c r="L1971" s="31"/>
      <c r="M1971" s="31"/>
      <c r="N1971" s="31"/>
      <c r="O1971" s="31"/>
      <c r="P1971" s="3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E1971" s="57" t="str">
        <f t="shared" si="177"/>
        <v/>
      </c>
      <c r="AF1971" s="18" t="str">
        <f t="shared" si="178"/>
        <v/>
      </c>
      <c r="AG1971" s="18" t="str">
        <f t="shared" si="179"/>
        <v/>
      </c>
      <c r="AH1971" s="18" t="str">
        <f t="shared" si="180"/>
        <v/>
      </c>
      <c r="AI1971" s="18" t="str">
        <f t="shared" si="181"/>
        <v/>
      </c>
      <c r="AJ1971" s="18" t="str">
        <f t="shared" si="182"/>
        <v/>
      </c>
      <c r="AK1971" s="18" t="str">
        <f t="shared" si="183"/>
        <v/>
      </c>
      <c r="AL1971" s="18" t="str">
        <f t="shared" si="184"/>
        <v/>
      </c>
      <c r="AM1971" s="18" t="str">
        <f t="shared" si="185"/>
        <v/>
      </c>
    </row>
    <row r="1972" spans="1:39" x14ac:dyDescent="0.35">
      <c r="A1972" s="56" t="s">
        <v>2040</v>
      </c>
      <c r="B1972" s="31"/>
      <c r="C1972" s="54"/>
      <c r="D1972" s="31"/>
      <c r="E1972" s="31"/>
      <c r="F1972" s="31"/>
      <c r="G1972" s="31"/>
      <c r="H1972" s="31"/>
      <c r="I1972" s="31"/>
      <c r="J1972" s="31"/>
      <c r="K1972" s="31"/>
      <c r="L1972" s="31"/>
      <c r="M1972" s="31"/>
      <c r="N1972" s="31"/>
      <c r="O1972" s="31"/>
      <c r="P1972" s="3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E1972" s="57" t="str">
        <f t="shared" si="177"/>
        <v/>
      </c>
      <c r="AF1972" s="18" t="str">
        <f t="shared" si="178"/>
        <v/>
      </c>
      <c r="AG1972" s="18" t="str">
        <f t="shared" si="179"/>
        <v/>
      </c>
      <c r="AH1972" s="18" t="str">
        <f t="shared" si="180"/>
        <v/>
      </c>
      <c r="AI1972" s="18" t="str">
        <f t="shared" si="181"/>
        <v/>
      </c>
      <c r="AJ1972" s="18" t="str">
        <f t="shared" si="182"/>
        <v/>
      </c>
      <c r="AK1972" s="18" t="str">
        <f t="shared" si="183"/>
        <v/>
      </c>
      <c r="AL1972" s="18" t="str">
        <f t="shared" si="184"/>
        <v/>
      </c>
      <c r="AM1972" s="18" t="str">
        <f t="shared" si="185"/>
        <v/>
      </c>
    </row>
    <row r="1973" spans="1:39" x14ac:dyDescent="0.35">
      <c r="A1973" s="56" t="s">
        <v>2041</v>
      </c>
      <c r="B1973" s="31"/>
      <c r="C1973" s="54"/>
      <c r="D1973" s="31"/>
      <c r="E1973" s="31"/>
      <c r="F1973" s="31"/>
      <c r="G1973" s="31"/>
      <c r="H1973" s="31"/>
      <c r="I1973" s="31"/>
      <c r="J1973" s="31"/>
      <c r="K1973" s="31"/>
      <c r="L1973" s="31"/>
      <c r="M1973" s="31"/>
      <c r="N1973" s="31"/>
      <c r="O1973" s="31"/>
      <c r="P1973" s="3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E1973" s="57" t="str">
        <f t="shared" si="177"/>
        <v/>
      </c>
      <c r="AF1973" s="18" t="str">
        <f t="shared" si="178"/>
        <v/>
      </c>
      <c r="AG1973" s="18" t="str">
        <f t="shared" si="179"/>
        <v/>
      </c>
      <c r="AH1973" s="18" t="str">
        <f t="shared" si="180"/>
        <v/>
      </c>
      <c r="AI1973" s="18" t="str">
        <f t="shared" si="181"/>
        <v/>
      </c>
      <c r="AJ1973" s="18" t="str">
        <f t="shared" si="182"/>
        <v/>
      </c>
      <c r="AK1973" s="18" t="str">
        <f t="shared" si="183"/>
        <v/>
      </c>
      <c r="AL1973" s="18" t="str">
        <f t="shared" si="184"/>
        <v/>
      </c>
      <c r="AM1973" s="18" t="str">
        <f t="shared" si="185"/>
        <v/>
      </c>
    </row>
    <row r="1974" spans="1:39" x14ac:dyDescent="0.35">
      <c r="A1974" s="56" t="s">
        <v>2042</v>
      </c>
      <c r="B1974" s="31"/>
      <c r="C1974" s="54"/>
      <c r="D1974" s="31"/>
      <c r="E1974" s="31"/>
      <c r="F1974" s="31"/>
      <c r="G1974" s="31"/>
      <c r="H1974" s="31"/>
      <c r="I1974" s="31"/>
      <c r="J1974" s="31"/>
      <c r="K1974" s="31"/>
      <c r="L1974" s="31"/>
      <c r="M1974" s="31"/>
      <c r="N1974" s="31"/>
      <c r="O1974" s="31"/>
      <c r="P1974" s="3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E1974" s="57" t="str">
        <f t="shared" si="177"/>
        <v/>
      </c>
      <c r="AF1974" s="18" t="str">
        <f t="shared" si="178"/>
        <v/>
      </c>
      <c r="AG1974" s="18" t="str">
        <f t="shared" si="179"/>
        <v/>
      </c>
      <c r="AH1974" s="18" t="str">
        <f t="shared" si="180"/>
        <v/>
      </c>
      <c r="AI1974" s="18" t="str">
        <f t="shared" si="181"/>
        <v/>
      </c>
      <c r="AJ1974" s="18" t="str">
        <f t="shared" si="182"/>
        <v/>
      </c>
      <c r="AK1974" s="18" t="str">
        <f t="shared" si="183"/>
        <v/>
      </c>
      <c r="AL1974" s="18" t="str">
        <f t="shared" si="184"/>
        <v/>
      </c>
      <c r="AM1974" s="18" t="str">
        <f t="shared" si="185"/>
        <v/>
      </c>
    </row>
    <row r="1975" spans="1:39" x14ac:dyDescent="0.35">
      <c r="A1975" s="56" t="s">
        <v>2043</v>
      </c>
      <c r="B1975" s="31"/>
      <c r="C1975" s="54"/>
      <c r="D1975" s="31"/>
      <c r="E1975" s="31"/>
      <c r="F1975" s="31"/>
      <c r="G1975" s="31"/>
      <c r="H1975" s="31"/>
      <c r="I1975" s="31"/>
      <c r="J1975" s="31"/>
      <c r="K1975" s="31"/>
      <c r="L1975" s="31"/>
      <c r="M1975" s="31"/>
      <c r="N1975" s="31"/>
      <c r="O1975" s="31"/>
      <c r="P1975" s="3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E1975" s="57" t="str">
        <f t="shared" si="177"/>
        <v/>
      </c>
      <c r="AF1975" s="18" t="str">
        <f t="shared" si="178"/>
        <v/>
      </c>
      <c r="AG1975" s="18" t="str">
        <f t="shared" si="179"/>
        <v/>
      </c>
      <c r="AH1975" s="18" t="str">
        <f t="shared" si="180"/>
        <v/>
      </c>
      <c r="AI1975" s="18" t="str">
        <f t="shared" si="181"/>
        <v/>
      </c>
      <c r="AJ1975" s="18" t="str">
        <f t="shared" si="182"/>
        <v/>
      </c>
      <c r="AK1975" s="18" t="str">
        <f t="shared" si="183"/>
        <v/>
      </c>
      <c r="AL1975" s="18" t="str">
        <f t="shared" si="184"/>
        <v/>
      </c>
      <c r="AM1975" s="18" t="str">
        <f t="shared" si="185"/>
        <v/>
      </c>
    </row>
    <row r="1976" spans="1:39" x14ac:dyDescent="0.35">
      <c r="A1976" s="56" t="s">
        <v>2044</v>
      </c>
      <c r="B1976" s="31"/>
      <c r="C1976" s="54"/>
      <c r="D1976" s="31"/>
      <c r="E1976" s="31"/>
      <c r="F1976" s="31"/>
      <c r="G1976" s="31"/>
      <c r="H1976" s="31"/>
      <c r="I1976" s="31"/>
      <c r="J1976" s="31"/>
      <c r="K1976" s="31"/>
      <c r="L1976" s="31"/>
      <c r="M1976" s="31"/>
      <c r="N1976" s="31"/>
      <c r="O1976" s="31"/>
      <c r="P1976" s="3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E1976" s="57" t="str">
        <f t="shared" si="177"/>
        <v/>
      </c>
      <c r="AF1976" s="18" t="str">
        <f t="shared" si="178"/>
        <v/>
      </c>
      <c r="AG1976" s="18" t="str">
        <f t="shared" si="179"/>
        <v/>
      </c>
      <c r="AH1976" s="18" t="str">
        <f t="shared" si="180"/>
        <v/>
      </c>
      <c r="AI1976" s="18" t="str">
        <f t="shared" si="181"/>
        <v/>
      </c>
      <c r="AJ1976" s="18" t="str">
        <f t="shared" si="182"/>
        <v/>
      </c>
      <c r="AK1976" s="18" t="str">
        <f t="shared" si="183"/>
        <v/>
      </c>
      <c r="AL1976" s="18" t="str">
        <f t="shared" si="184"/>
        <v/>
      </c>
      <c r="AM1976" s="18" t="str">
        <f t="shared" si="185"/>
        <v/>
      </c>
    </row>
    <row r="1977" spans="1:39" x14ac:dyDescent="0.35">
      <c r="A1977" s="56" t="s">
        <v>2045</v>
      </c>
      <c r="B1977" s="31"/>
      <c r="C1977" s="54"/>
      <c r="D1977" s="31"/>
      <c r="E1977" s="31"/>
      <c r="F1977" s="31"/>
      <c r="G1977" s="31"/>
      <c r="H1977" s="31"/>
      <c r="I1977" s="31"/>
      <c r="J1977" s="31"/>
      <c r="K1977" s="31"/>
      <c r="L1977" s="31"/>
      <c r="M1977" s="31"/>
      <c r="N1977" s="31"/>
      <c r="O1977" s="31"/>
      <c r="P1977" s="3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E1977" s="57" t="str">
        <f t="shared" si="177"/>
        <v/>
      </c>
      <c r="AF1977" s="18" t="str">
        <f t="shared" si="178"/>
        <v/>
      </c>
      <c r="AG1977" s="18" t="str">
        <f t="shared" si="179"/>
        <v/>
      </c>
      <c r="AH1977" s="18" t="str">
        <f t="shared" si="180"/>
        <v/>
      </c>
      <c r="AI1977" s="18" t="str">
        <f t="shared" si="181"/>
        <v/>
      </c>
      <c r="AJ1977" s="18" t="str">
        <f t="shared" si="182"/>
        <v/>
      </c>
      <c r="AK1977" s="18" t="str">
        <f t="shared" si="183"/>
        <v/>
      </c>
      <c r="AL1977" s="18" t="str">
        <f t="shared" si="184"/>
        <v/>
      </c>
      <c r="AM1977" s="18" t="str">
        <f t="shared" si="185"/>
        <v/>
      </c>
    </row>
    <row r="1978" spans="1:39" x14ac:dyDescent="0.35">
      <c r="A1978" s="56" t="s">
        <v>2046</v>
      </c>
      <c r="B1978" s="31"/>
      <c r="C1978" s="54"/>
      <c r="D1978" s="31"/>
      <c r="E1978" s="31"/>
      <c r="F1978" s="31"/>
      <c r="G1978" s="31"/>
      <c r="H1978" s="31"/>
      <c r="I1978" s="31"/>
      <c r="J1978" s="31"/>
      <c r="K1978" s="31"/>
      <c r="L1978" s="31"/>
      <c r="M1978" s="31"/>
      <c r="N1978" s="31"/>
      <c r="O1978" s="31"/>
      <c r="P1978" s="3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E1978" s="57" t="str">
        <f t="shared" si="177"/>
        <v/>
      </c>
      <c r="AF1978" s="18" t="str">
        <f t="shared" si="178"/>
        <v/>
      </c>
      <c r="AG1978" s="18" t="str">
        <f t="shared" si="179"/>
        <v/>
      </c>
      <c r="AH1978" s="18" t="str">
        <f t="shared" si="180"/>
        <v/>
      </c>
      <c r="AI1978" s="18" t="str">
        <f t="shared" si="181"/>
        <v/>
      </c>
      <c r="AJ1978" s="18" t="str">
        <f t="shared" si="182"/>
        <v/>
      </c>
      <c r="AK1978" s="18" t="str">
        <f t="shared" si="183"/>
        <v/>
      </c>
      <c r="AL1978" s="18" t="str">
        <f t="shared" si="184"/>
        <v/>
      </c>
      <c r="AM1978" s="18" t="str">
        <f t="shared" si="185"/>
        <v/>
      </c>
    </row>
    <row r="1979" spans="1:39" x14ac:dyDescent="0.35">
      <c r="A1979" s="56" t="s">
        <v>2047</v>
      </c>
      <c r="B1979" s="31"/>
      <c r="C1979" s="54"/>
      <c r="D1979" s="31"/>
      <c r="E1979" s="31"/>
      <c r="F1979" s="31"/>
      <c r="G1979" s="31"/>
      <c r="H1979" s="31"/>
      <c r="I1979" s="31"/>
      <c r="J1979" s="31"/>
      <c r="K1979" s="31"/>
      <c r="L1979" s="31"/>
      <c r="M1979" s="31"/>
      <c r="N1979" s="31"/>
      <c r="O1979" s="31"/>
      <c r="P1979" s="3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E1979" s="57" t="str">
        <f t="shared" si="177"/>
        <v/>
      </c>
      <c r="AF1979" s="18" t="str">
        <f t="shared" si="178"/>
        <v/>
      </c>
      <c r="AG1979" s="18" t="str">
        <f t="shared" si="179"/>
        <v/>
      </c>
      <c r="AH1979" s="18" t="str">
        <f t="shared" si="180"/>
        <v/>
      </c>
      <c r="AI1979" s="18" t="str">
        <f t="shared" si="181"/>
        <v/>
      </c>
      <c r="AJ1979" s="18" t="str">
        <f t="shared" si="182"/>
        <v/>
      </c>
      <c r="AK1979" s="18" t="str">
        <f t="shared" si="183"/>
        <v/>
      </c>
      <c r="AL1979" s="18" t="str">
        <f t="shared" si="184"/>
        <v/>
      </c>
      <c r="AM1979" s="18" t="str">
        <f t="shared" si="185"/>
        <v/>
      </c>
    </row>
    <row r="1980" spans="1:39" x14ac:dyDescent="0.35">
      <c r="A1980" s="56" t="s">
        <v>2048</v>
      </c>
      <c r="B1980" s="31"/>
      <c r="C1980" s="54"/>
      <c r="D1980" s="31"/>
      <c r="E1980" s="31"/>
      <c r="F1980" s="31"/>
      <c r="G1980" s="31"/>
      <c r="H1980" s="31"/>
      <c r="I1980" s="31"/>
      <c r="J1980" s="31"/>
      <c r="K1980" s="31"/>
      <c r="L1980" s="31"/>
      <c r="M1980" s="31"/>
      <c r="N1980" s="31"/>
      <c r="O1980" s="31"/>
      <c r="P1980" s="3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E1980" s="57" t="str">
        <f t="shared" si="177"/>
        <v/>
      </c>
      <c r="AF1980" s="18" t="str">
        <f t="shared" si="178"/>
        <v/>
      </c>
      <c r="AG1980" s="18" t="str">
        <f t="shared" si="179"/>
        <v/>
      </c>
      <c r="AH1980" s="18" t="str">
        <f t="shared" si="180"/>
        <v/>
      </c>
      <c r="AI1980" s="18" t="str">
        <f t="shared" si="181"/>
        <v/>
      </c>
      <c r="AJ1980" s="18" t="str">
        <f t="shared" si="182"/>
        <v/>
      </c>
      <c r="AK1980" s="18" t="str">
        <f t="shared" si="183"/>
        <v/>
      </c>
      <c r="AL1980" s="18" t="str">
        <f t="shared" si="184"/>
        <v/>
      </c>
      <c r="AM1980" s="18" t="str">
        <f t="shared" si="185"/>
        <v/>
      </c>
    </row>
    <row r="1981" spans="1:39" x14ac:dyDescent="0.35">
      <c r="A1981" s="56" t="s">
        <v>2049</v>
      </c>
      <c r="B1981" s="31"/>
      <c r="C1981" s="54"/>
      <c r="D1981" s="31"/>
      <c r="E1981" s="31"/>
      <c r="F1981" s="31"/>
      <c r="G1981" s="31"/>
      <c r="H1981" s="31"/>
      <c r="I1981" s="31"/>
      <c r="J1981" s="31"/>
      <c r="K1981" s="31"/>
      <c r="L1981" s="31"/>
      <c r="M1981" s="31"/>
      <c r="N1981" s="31"/>
      <c r="O1981" s="31"/>
      <c r="P1981" s="3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E1981" s="57" t="str">
        <f t="shared" si="177"/>
        <v/>
      </c>
      <c r="AF1981" s="18" t="str">
        <f t="shared" si="178"/>
        <v/>
      </c>
      <c r="AG1981" s="18" t="str">
        <f t="shared" si="179"/>
        <v/>
      </c>
      <c r="AH1981" s="18" t="str">
        <f t="shared" si="180"/>
        <v/>
      </c>
      <c r="AI1981" s="18" t="str">
        <f t="shared" si="181"/>
        <v/>
      </c>
      <c r="AJ1981" s="18" t="str">
        <f t="shared" si="182"/>
        <v/>
      </c>
      <c r="AK1981" s="18" t="str">
        <f t="shared" si="183"/>
        <v/>
      </c>
      <c r="AL1981" s="18" t="str">
        <f t="shared" si="184"/>
        <v/>
      </c>
      <c r="AM1981" s="18" t="str">
        <f t="shared" si="185"/>
        <v/>
      </c>
    </row>
    <row r="1982" spans="1:39" x14ac:dyDescent="0.35">
      <c r="A1982" s="56" t="s">
        <v>2050</v>
      </c>
      <c r="B1982" s="31"/>
      <c r="C1982" s="54"/>
      <c r="D1982" s="31"/>
      <c r="E1982" s="31"/>
      <c r="F1982" s="31"/>
      <c r="G1982" s="31"/>
      <c r="H1982" s="31"/>
      <c r="I1982" s="31"/>
      <c r="J1982" s="31"/>
      <c r="K1982" s="31"/>
      <c r="L1982" s="31"/>
      <c r="M1982" s="31"/>
      <c r="N1982" s="31"/>
      <c r="O1982" s="31"/>
      <c r="P1982" s="3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E1982" s="57" t="str">
        <f t="shared" si="177"/>
        <v/>
      </c>
      <c r="AF1982" s="18" t="str">
        <f t="shared" si="178"/>
        <v/>
      </c>
      <c r="AG1982" s="18" t="str">
        <f t="shared" si="179"/>
        <v/>
      </c>
      <c r="AH1982" s="18" t="str">
        <f t="shared" si="180"/>
        <v/>
      </c>
      <c r="AI1982" s="18" t="str">
        <f t="shared" si="181"/>
        <v/>
      </c>
      <c r="AJ1982" s="18" t="str">
        <f t="shared" si="182"/>
        <v/>
      </c>
      <c r="AK1982" s="18" t="str">
        <f t="shared" si="183"/>
        <v/>
      </c>
      <c r="AL1982" s="18" t="str">
        <f t="shared" si="184"/>
        <v/>
      </c>
      <c r="AM1982" s="18" t="str">
        <f t="shared" si="185"/>
        <v/>
      </c>
    </row>
    <row r="1983" spans="1:39" x14ac:dyDescent="0.35">
      <c r="A1983" s="56" t="s">
        <v>2051</v>
      </c>
      <c r="B1983" s="31"/>
      <c r="C1983" s="54"/>
      <c r="D1983" s="31"/>
      <c r="E1983" s="31"/>
      <c r="F1983" s="31"/>
      <c r="G1983" s="31"/>
      <c r="H1983" s="31"/>
      <c r="I1983" s="31"/>
      <c r="J1983" s="31"/>
      <c r="K1983" s="31"/>
      <c r="L1983" s="31"/>
      <c r="M1983" s="31"/>
      <c r="N1983" s="31"/>
      <c r="O1983" s="31"/>
      <c r="P1983" s="3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E1983" s="57" t="str">
        <f t="shared" si="177"/>
        <v/>
      </c>
      <c r="AF1983" s="18" t="str">
        <f t="shared" si="178"/>
        <v/>
      </c>
      <c r="AG1983" s="18" t="str">
        <f t="shared" si="179"/>
        <v/>
      </c>
      <c r="AH1983" s="18" t="str">
        <f t="shared" si="180"/>
        <v/>
      </c>
      <c r="AI1983" s="18" t="str">
        <f t="shared" si="181"/>
        <v/>
      </c>
      <c r="AJ1983" s="18" t="str">
        <f t="shared" si="182"/>
        <v/>
      </c>
      <c r="AK1983" s="18" t="str">
        <f t="shared" si="183"/>
        <v/>
      </c>
      <c r="AL1983" s="18" t="str">
        <f t="shared" si="184"/>
        <v/>
      </c>
      <c r="AM1983" s="18" t="str">
        <f t="shared" si="185"/>
        <v/>
      </c>
    </row>
    <row r="1984" spans="1:39" x14ac:dyDescent="0.35">
      <c r="A1984" s="56" t="s">
        <v>2052</v>
      </c>
      <c r="B1984" s="31"/>
      <c r="C1984" s="54"/>
      <c r="D1984" s="31"/>
      <c r="E1984" s="31"/>
      <c r="F1984" s="31"/>
      <c r="G1984" s="31"/>
      <c r="H1984" s="31"/>
      <c r="I1984" s="31"/>
      <c r="J1984" s="31"/>
      <c r="K1984" s="31"/>
      <c r="L1984" s="31"/>
      <c r="M1984" s="31"/>
      <c r="N1984" s="31"/>
      <c r="O1984" s="31"/>
      <c r="P1984" s="3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E1984" s="57" t="str">
        <f t="shared" si="177"/>
        <v/>
      </c>
      <c r="AF1984" s="18" t="str">
        <f t="shared" si="178"/>
        <v/>
      </c>
      <c r="AG1984" s="18" t="str">
        <f t="shared" si="179"/>
        <v/>
      </c>
      <c r="AH1984" s="18" t="str">
        <f t="shared" si="180"/>
        <v/>
      </c>
      <c r="AI1984" s="18" t="str">
        <f t="shared" si="181"/>
        <v/>
      </c>
      <c r="AJ1984" s="18" t="str">
        <f t="shared" si="182"/>
        <v/>
      </c>
      <c r="AK1984" s="18" t="str">
        <f t="shared" si="183"/>
        <v/>
      </c>
      <c r="AL1984" s="18" t="str">
        <f t="shared" si="184"/>
        <v/>
      </c>
      <c r="AM1984" s="18" t="str">
        <f t="shared" si="185"/>
        <v/>
      </c>
    </row>
    <row r="1985" spans="1:39" x14ac:dyDescent="0.35">
      <c r="A1985" s="56" t="s">
        <v>2053</v>
      </c>
      <c r="B1985" s="31"/>
      <c r="C1985" s="54"/>
      <c r="D1985" s="31"/>
      <c r="E1985" s="31"/>
      <c r="F1985" s="31"/>
      <c r="G1985" s="31"/>
      <c r="H1985" s="31"/>
      <c r="I1985" s="31"/>
      <c r="J1985" s="31"/>
      <c r="K1985" s="31"/>
      <c r="L1985" s="31"/>
      <c r="M1985" s="31"/>
      <c r="N1985" s="31"/>
      <c r="O1985" s="31"/>
      <c r="P1985" s="3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E1985" s="57" t="str">
        <f t="shared" si="177"/>
        <v/>
      </c>
      <c r="AF1985" s="18" t="str">
        <f t="shared" si="178"/>
        <v/>
      </c>
      <c r="AG1985" s="18" t="str">
        <f t="shared" si="179"/>
        <v/>
      </c>
      <c r="AH1985" s="18" t="str">
        <f t="shared" si="180"/>
        <v/>
      </c>
      <c r="AI1985" s="18" t="str">
        <f t="shared" si="181"/>
        <v/>
      </c>
      <c r="AJ1985" s="18" t="str">
        <f t="shared" si="182"/>
        <v/>
      </c>
      <c r="AK1985" s="18" t="str">
        <f t="shared" si="183"/>
        <v/>
      </c>
      <c r="AL1985" s="18" t="str">
        <f t="shared" si="184"/>
        <v/>
      </c>
      <c r="AM1985" s="18" t="str">
        <f t="shared" si="185"/>
        <v/>
      </c>
    </row>
    <row r="1986" spans="1:39" x14ac:dyDescent="0.35">
      <c r="A1986" s="56" t="s">
        <v>2054</v>
      </c>
      <c r="B1986" s="31"/>
      <c r="C1986" s="54"/>
      <c r="D1986" s="31"/>
      <c r="E1986" s="31"/>
      <c r="F1986" s="31"/>
      <c r="G1986" s="31"/>
      <c r="H1986" s="31"/>
      <c r="I1986" s="31"/>
      <c r="J1986" s="31"/>
      <c r="K1986" s="31"/>
      <c r="L1986" s="31"/>
      <c r="M1986" s="31"/>
      <c r="N1986" s="31"/>
      <c r="O1986" s="31"/>
      <c r="P1986" s="3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E1986" s="57" t="str">
        <f t="shared" si="177"/>
        <v/>
      </c>
      <c r="AF1986" s="18" t="str">
        <f t="shared" si="178"/>
        <v/>
      </c>
      <c r="AG1986" s="18" t="str">
        <f t="shared" si="179"/>
        <v/>
      </c>
      <c r="AH1986" s="18" t="str">
        <f t="shared" si="180"/>
        <v/>
      </c>
      <c r="AI1986" s="18" t="str">
        <f t="shared" si="181"/>
        <v/>
      </c>
      <c r="AJ1986" s="18" t="str">
        <f t="shared" si="182"/>
        <v/>
      </c>
      <c r="AK1986" s="18" t="str">
        <f t="shared" si="183"/>
        <v/>
      </c>
      <c r="AL1986" s="18" t="str">
        <f t="shared" si="184"/>
        <v/>
      </c>
      <c r="AM1986" s="18" t="str">
        <f t="shared" si="185"/>
        <v/>
      </c>
    </row>
    <row r="1987" spans="1:39" x14ac:dyDescent="0.35">
      <c r="A1987" s="56" t="s">
        <v>2055</v>
      </c>
      <c r="B1987" s="31"/>
      <c r="C1987" s="54"/>
      <c r="D1987" s="31"/>
      <c r="E1987" s="31"/>
      <c r="F1987" s="31"/>
      <c r="G1987" s="31"/>
      <c r="H1987" s="31"/>
      <c r="I1987" s="31"/>
      <c r="J1987" s="31"/>
      <c r="K1987" s="31"/>
      <c r="L1987" s="31"/>
      <c r="M1987" s="31"/>
      <c r="N1987" s="31"/>
      <c r="O1987" s="31"/>
      <c r="P1987" s="3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E1987" s="57" t="str">
        <f t="shared" ref="AE1987:AE2000" si="186">IFERROR(VLOOKUP(AD1987,$A$2:$AA$2000,2,0),"")</f>
        <v/>
      </c>
      <c r="AF1987" s="18" t="str">
        <f t="shared" ref="AF1987:AF2000" si="187">IFERROR(VLOOKUP(AD1987,$A$2:$AA$2000,22,0),"")</f>
        <v/>
      </c>
      <c r="AG1987" s="18" t="str">
        <f t="shared" ref="AG1987:AG2000" si="188">IFERROR(VLOOKUP(AD1987,$A$2:$AA$2000,18,0),"")</f>
        <v/>
      </c>
      <c r="AH1987" s="18" t="str">
        <f t="shared" ref="AH1987:AH2000" si="189">IFERROR(VLOOKUP(AD1987,$A$2:$AA$2000,17,0),"")</f>
        <v/>
      </c>
      <c r="AI1987" s="18" t="str">
        <f t="shared" ref="AI1987:AI2000" si="190">IFERROR(VLOOKUP(AD1987,$A$2:$AA$2000,20,0),"")</f>
        <v/>
      </c>
      <c r="AJ1987" s="18" t="str">
        <f t="shared" ref="AJ1987:AJ2000" si="191">IFERROR(VLOOKUP(AD1987,$A$2:$AA$2000,9,0),"")</f>
        <v/>
      </c>
      <c r="AK1987" s="18" t="str">
        <f t="shared" ref="AK1987:AK2000" si="192">IFERROR(VLOOKUP(AD1987,$A$2:$AA$2000,5,0),"")</f>
        <v/>
      </c>
      <c r="AL1987" s="18" t="str">
        <f t="shared" ref="AL1987:AL2000" si="193">IFERROR(VLOOKUP(AD1987,$A$2:$AA$2000,4,0),"")</f>
        <v/>
      </c>
      <c r="AM1987" s="18" t="str">
        <f t="shared" ref="AM1987:AM2000" si="194">IFERROR(VLOOKUP(AD1987,$A$2:$AA$2000,7,0),"")</f>
        <v/>
      </c>
    </row>
    <row r="1988" spans="1:39" x14ac:dyDescent="0.35">
      <c r="A1988" s="56" t="s">
        <v>2056</v>
      </c>
      <c r="B1988" s="31"/>
      <c r="C1988" s="54"/>
      <c r="D1988" s="31"/>
      <c r="E1988" s="31"/>
      <c r="F1988" s="31"/>
      <c r="G1988" s="31"/>
      <c r="H1988" s="31"/>
      <c r="I1988" s="31"/>
      <c r="J1988" s="31"/>
      <c r="K1988" s="31"/>
      <c r="L1988" s="31"/>
      <c r="M1988" s="31"/>
      <c r="N1988" s="31"/>
      <c r="O1988" s="31"/>
      <c r="P1988" s="3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E1988" s="57" t="str">
        <f t="shared" si="186"/>
        <v/>
      </c>
      <c r="AF1988" s="18" t="str">
        <f t="shared" si="187"/>
        <v/>
      </c>
      <c r="AG1988" s="18" t="str">
        <f t="shared" si="188"/>
        <v/>
      </c>
      <c r="AH1988" s="18" t="str">
        <f t="shared" si="189"/>
        <v/>
      </c>
      <c r="AI1988" s="18" t="str">
        <f t="shared" si="190"/>
        <v/>
      </c>
      <c r="AJ1988" s="18" t="str">
        <f t="shared" si="191"/>
        <v/>
      </c>
      <c r="AK1988" s="18" t="str">
        <f t="shared" si="192"/>
        <v/>
      </c>
      <c r="AL1988" s="18" t="str">
        <f t="shared" si="193"/>
        <v/>
      </c>
      <c r="AM1988" s="18" t="str">
        <f t="shared" si="194"/>
        <v/>
      </c>
    </row>
    <row r="1989" spans="1:39" x14ac:dyDescent="0.35">
      <c r="A1989" s="56" t="s">
        <v>2057</v>
      </c>
      <c r="B1989" s="31"/>
      <c r="C1989" s="54"/>
      <c r="D1989" s="31"/>
      <c r="E1989" s="31"/>
      <c r="F1989" s="31"/>
      <c r="G1989" s="31"/>
      <c r="H1989" s="31"/>
      <c r="I1989" s="31"/>
      <c r="J1989" s="31"/>
      <c r="K1989" s="31"/>
      <c r="L1989" s="31"/>
      <c r="M1989" s="31"/>
      <c r="N1989" s="31"/>
      <c r="O1989" s="31"/>
      <c r="P1989" s="3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E1989" s="57" t="str">
        <f t="shared" si="186"/>
        <v/>
      </c>
      <c r="AF1989" s="18" t="str">
        <f t="shared" si="187"/>
        <v/>
      </c>
      <c r="AG1989" s="18" t="str">
        <f t="shared" si="188"/>
        <v/>
      </c>
      <c r="AH1989" s="18" t="str">
        <f t="shared" si="189"/>
        <v/>
      </c>
      <c r="AI1989" s="18" t="str">
        <f t="shared" si="190"/>
        <v/>
      </c>
      <c r="AJ1989" s="18" t="str">
        <f t="shared" si="191"/>
        <v/>
      </c>
      <c r="AK1989" s="18" t="str">
        <f t="shared" si="192"/>
        <v/>
      </c>
      <c r="AL1989" s="18" t="str">
        <f t="shared" si="193"/>
        <v/>
      </c>
      <c r="AM1989" s="18" t="str">
        <f t="shared" si="194"/>
        <v/>
      </c>
    </row>
    <row r="1990" spans="1:39" x14ac:dyDescent="0.35">
      <c r="A1990" s="56" t="s">
        <v>2058</v>
      </c>
      <c r="B1990" s="31"/>
      <c r="C1990" s="54"/>
      <c r="D1990" s="31"/>
      <c r="E1990" s="31"/>
      <c r="F1990" s="31"/>
      <c r="G1990" s="31"/>
      <c r="H1990" s="31"/>
      <c r="I1990" s="31"/>
      <c r="J1990" s="31"/>
      <c r="K1990" s="31"/>
      <c r="L1990" s="31"/>
      <c r="M1990" s="31"/>
      <c r="N1990" s="31"/>
      <c r="O1990" s="31"/>
      <c r="P1990" s="3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E1990" s="57" t="str">
        <f t="shared" si="186"/>
        <v/>
      </c>
      <c r="AF1990" s="18" t="str">
        <f t="shared" si="187"/>
        <v/>
      </c>
      <c r="AG1990" s="18" t="str">
        <f t="shared" si="188"/>
        <v/>
      </c>
      <c r="AH1990" s="18" t="str">
        <f t="shared" si="189"/>
        <v/>
      </c>
      <c r="AI1990" s="18" t="str">
        <f t="shared" si="190"/>
        <v/>
      </c>
      <c r="AJ1990" s="18" t="str">
        <f t="shared" si="191"/>
        <v/>
      </c>
      <c r="AK1990" s="18" t="str">
        <f t="shared" si="192"/>
        <v/>
      </c>
      <c r="AL1990" s="18" t="str">
        <f t="shared" si="193"/>
        <v/>
      </c>
      <c r="AM1990" s="18" t="str">
        <f t="shared" si="194"/>
        <v/>
      </c>
    </row>
    <row r="1991" spans="1:39" x14ac:dyDescent="0.35">
      <c r="A1991" s="56" t="s">
        <v>2059</v>
      </c>
      <c r="B1991" s="31"/>
      <c r="C1991" s="54"/>
      <c r="D1991" s="31"/>
      <c r="E1991" s="31"/>
      <c r="F1991" s="31"/>
      <c r="G1991" s="31"/>
      <c r="H1991" s="31"/>
      <c r="I1991" s="31"/>
      <c r="J1991" s="31"/>
      <c r="K1991" s="31"/>
      <c r="L1991" s="31"/>
      <c r="M1991" s="31"/>
      <c r="N1991" s="31"/>
      <c r="O1991" s="31"/>
      <c r="P1991" s="3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E1991" s="57" t="str">
        <f t="shared" si="186"/>
        <v/>
      </c>
      <c r="AF1991" s="18" t="str">
        <f t="shared" si="187"/>
        <v/>
      </c>
      <c r="AG1991" s="18" t="str">
        <f t="shared" si="188"/>
        <v/>
      </c>
      <c r="AH1991" s="18" t="str">
        <f t="shared" si="189"/>
        <v/>
      </c>
      <c r="AI1991" s="18" t="str">
        <f t="shared" si="190"/>
        <v/>
      </c>
      <c r="AJ1991" s="18" t="str">
        <f t="shared" si="191"/>
        <v/>
      </c>
      <c r="AK1991" s="18" t="str">
        <f t="shared" si="192"/>
        <v/>
      </c>
      <c r="AL1991" s="18" t="str">
        <f t="shared" si="193"/>
        <v/>
      </c>
      <c r="AM1991" s="18" t="str">
        <f t="shared" si="194"/>
        <v/>
      </c>
    </row>
    <row r="1992" spans="1:39" x14ac:dyDescent="0.35">
      <c r="A1992" s="56" t="s">
        <v>2060</v>
      </c>
      <c r="B1992" s="31"/>
      <c r="C1992" s="54"/>
      <c r="D1992" s="31"/>
      <c r="E1992" s="31"/>
      <c r="F1992" s="31"/>
      <c r="G1992" s="31"/>
      <c r="H1992" s="31"/>
      <c r="I1992" s="31"/>
      <c r="J1992" s="31"/>
      <c r="K1992" s="31"/>
      <c r="L1992" s="31"/>
      <c r="M1992" s="31"/>
      <c r="N1992" s="31"/>
      <c r="O1992" s="31"/>
      <c r="P1992" s="3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E1992" s="57" t="str">
        <f t="shared" si="186"/>
        <v/>
      </c>
      <c r="AF1992" s="18" t="str">
        <f t="shared" si="187"/>
        <v/>
      </c>
      <c r="AG1992" s="18" t="str">
        <f t="shared" si="188"/>
        <v/>
      </c>
      <c r="AH1992" s="18" t="str">
        <f t="shared" si="189"/>
        <v/>
      </c>
      <c r="AI1992" s="18" t="str">
        <f t="shared" si="190"/>
        <v/>
      </c>
      <c r="AJ1992" s="18" t="str">
        <f t="shared" si="191"/>
        <v/>
      </c>
      <c r="AK1992" s="18" t="str">
        <f t="shared" si="192"/>
        <v/>
      </c>
      <c r="AL1992" s="18" t="str">
        <f t="shared" si="193"/>
        <v/>
      </c>
      <c r="AM1992" s="18" t="str">
        <f t="shared" si="194"/>
        <v/>
      </c>
    </row>
    <row r="1993" spans="1:39" x14ac:dyDescent="0.35">
      <c r="A1993" s="56" t="s">
        <v>2061</v>
      </c>
      <c r="B1993" s="31"/>
      <c r="C1993" s="54"/>
      <c r="D1993" s="31"/>
      <c r="E1993" s="31"/>
      <c r="F1993" s="31"/>
      <c r="G1993" s="31"/>
      <c r="H1993" s="31"/>
      <c r="I1993" s="31"/>
      <c r="J1993" s="31"/>
      <c r="K1993" s="31"/>
      <c r="L1993" s="31"/>
      <c r="M1993" s="31"/>
      <c r="N1993" s="31"/>
      <c r="O1993" s="31"/>
      <c r="P1993" s="3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E1993" s="57" t="str">
        <f t="shared" si="186"/>
        <v/>
      </c>
      <c r="AF1993" s="18" t="str">
        <f t="shared" si="187"/>
        <v/>
      </c>
      <c r="AG1993" s="18" t="str">
        <f t="shared" si="188"/>
        <v/>
      </c>
      <c r="AH1993" s="18" t="str">
        <f t="shared" si="189"/>
        <v/>
      </c>
      <c r="AI1993" s="18" t="str">
        <f t="shared" si="190"/>
        <v/>
      </c>
      <c r="AJ1993" s="18" t="str">
        <f t="shared" si="191"/>
        <v/>
      </c>
      <c r="AK1993" s="18" t="str">
        <f t="shared" si="192"/>
        <v/>
      </c>
      <c r="AL1993" s="18" t="str">
        <f t="shared" si="193"/>
        <v/>
      </c>
      <c r="AM1993" s="18" t="str">
        <f t="shared" si="194"/>
        <v/>
      </c>
    </row>
    <row r="1994" spans="1:39" x14ac:dyDescent="0.35">
      <c r="A1994" s="56" t="s">
        <v>2062</v>
      </c>
      <c r="B1994" s="31"/>
      <c r="C1994" s="54"/>
      <c r="D1994" s="31"/>
      <c r="E1994" s="31"/>
      <c r="F1994" s="31"/>
      <c r="G1994" s="31"/>
      <c r="H1994" s="31"/>
      <c r="I1994" s="31"/>
      <c r="J1994" s="31"/>
      <c r="K1994" s="31"/>
      <c r="L1994" s="31"/>
      <c r="M1994" s="31"/>
      <c r="N1994" s="31"/>
      <c r="O1994" s="31"/>
      <c r="P1994" s="3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E1994" s="57" t="str">
        <f t="shared" si="186"/>
        <v/>
      </c>
      <c r="AF1994" s="18" t="str">
        <f t="shared" si="187"/>
        <v/>
      </c>
      <c r="AG1994" s="18" t="str">
        <f t="shared" si="188"/>
        <v/>
      </c>
      <c r="AH1994" s="18" t="str">
        <f t="shared" si="189"/>
        <v/>
      </c>
      <c r="AI1994" s="18" t="str">
        <f t="shared" si="190"/>
        <v/>
      </c>
      <c r="AJ1994" s="18" t="str">
        <f t="shared" si="191"/>
        <v/>
      </c>
      <c r="AK1994" s="18" t="str">
        <f t="shared" si="192"/>
        <v/>
      </c>
      <c r="AL1994" s="18" t="str">
        <f t="shared" si="193"/>
        <v/>
      </c>
      <c r="AM1994" s="18" t="str">
        <f t="shared" si="194"/>
        <v/>
      </c>
    </row>
    <row r="1995" spans="1:39" x14ac:dyDescent="0.35">
      <c r="A1995" s="56" t="s">
        <v>2063</v>
      </c>
      <c r="B1995" s="31"/>
      <c r="C1995" s="54"/>
      <c r="D1995" s="31"/>
      <c r="E1995" s="31"/>
      <c r="F1995" s="31"/>
      <c r="G1995" s="31"/>
      <c r="H1995" s="31"/>
      <c r="I1995" s="31"/>
      <c r="J1995" s="31"/>
      <c r="K1995" s="31"/>
      <c r="L1995" s="31"/>
      <c r="M1995" s="31"/>
      <c r="N1995" s="31"/>
      <c r="O1995" s="31"/>
      <c r="P1995" s="3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E1995" s="57" t="str">
        <f t="shared" si="186"/>
        <v/>
      </c>
      <c r="AF1995" s="18" t="str">
        <f t="shared" si="187"/>
        <v/>
      </c>
      <c r="AG1995" s="18" t="str">
        <f t="shared" si="188"/>
        <v/>
      </c>
      <c r="AH1995" s="18" t="str">
        <f t="shared" si="189"/>
        <v/>
      </c>
      <c r="AI1995" s="18" t="str">
        <f t="shared" si="190"/>
        <v/>
      </c>
      <c r="AJ1995" s="18" t="str">
        <f t="shared" si="191"/>
        <v/>
      </c>
      <c r="AK1995" s="18" t="str">
        <f t="shared" si="192"/>
        <v/>
      </c>
      <c r="AL1995" s="18" t="str">
        <f t="shared" si="193"/>
        <v/>
      </c>
      <c r="AM1995" s="18" t="str">
        <f t="shared" si="194"/>
        <v/>
      </c>
    </row>
    <row r="1996" spans="1:39" x14ac:dyDescent="0.35">
      <c r="A1996" s="56" t="s">
        <v>2064</v>
      </c>
      <c r="B1996" s="31"/>
      <c r="C1996" s="54"/>
      <c r="D1996" s="31"/>
      <c r="E1996" s="31"/>
      <c r="F1996" s="31"/>
      <c r="G1996" s="31"/>
      <c r="H1996" s="31"/>
      <c r="I1996" s="31"/>
      <c r="J1996" s="31"/>
      <c r="K1996" s="31"/>
      <c r="L1996" s="31"/>
      <c r="M1996" s="31"/>
      <c r="N1996" s="31"/>
      <c r="O1996" s="31"/>
      <c r="P1996" s="3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E1996" s="57" t="str">
        <f t="shared" si="186"/>
        <v/>
      </c>
      <c r="AF1996" s="18" t="str">
        <f t="shared" si="187"/>
        <v/>
      </c>
      <c r="AG1996" s="18" t="str">
        <f t="shared" si="188"/>
        <v/>
      </c>
      <c r="AH1996" s="18" t="str">
        <f t="shared" si="189"/>
        <v/>
      </c>
      <c r="AI1996" s="18" t="str">
        <f t="shared" si="190"/>
        <v/>
      </c>
      <c r="AJ1996" s="18" t="str">
        <f t="shared" si="191"/>
        <v/>
      </c>
      <c r="AK1996" s="18" t="str">
        <f t="shared" si="192"/>
        <v/>
      </c>
      <c r="AL1996" s="18" t="str">
        <f t="shared" si="193"/>
        <v/>
      </c>
      <c r="AM1996" s="18" t="str">
        <f t="shared" si="194"/>
        <v/>
      </c>
    </row>
    <row r="1997" spans="1:39" x14ac:dyDescent="0.35">
      <c r="A1997" s="56" t="s">
        <v>2065</v>
      </c>
      <c r="B1997" s="31"/>
      <c r="C1997" s="54"/>
      <c r="D1997" s="31"/>
      <c r="E1997" s="31"/>
      <c r="F1997" s="31"/>
      <c r="G1997" s="31"/>
      <c r="H1997" s="31"/>
      <c r="I1997" s="31"/>
      <c r="J1997" s="31"/>
      <c r="K1997" s="31"/>
      <c r="L1997" s="31"/>
      <c r="M1997" s="31"/>
      <c r="N1997" s="31"/>
      <c r="O1997" s="31"/>
      <c r="P1997" s="3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E1997" s="57" t="str">
        <f t="shared" si="186"/>
        <v/>
      </c>
      <c r="AF1997" s="18" t="str">
        <f t="shared" si="187"/>
        <v/>
      </c>
      <c r="AG1997" s="18" t="str">
        <f t="shared" si="188"/>
        <v/>
      </c>
      <c r="AH1997" s="18" t="str">
        <f t="shared" si="189"/>
        <v/>
      </c>
      <c r="AI1997" s="18" t="str">
        <f t="shared" si="190"/>
        <v/>
      </c>
      <c r="AJ1997" s="18" t="str">
        <f t="shared" si="191"/>
        <v/>
      </c>
      <c r="AK1997" s="18" t="str">
        <f t="shared" si="192"/>
        <v/>
      </c>
      <c r="AL1997" s="18" t="str">
        <f t="shared" si="193"/>
        <v/>
      </c>
      <c r="AM1997" s="18" t="str">
        <f t="shared" si="194"/>
        <v/>
      </c>
    </row>
    <row r="1998" spans="1:39" x14ac:dyDescent="0.35">
      <c r="A1998" s="56" t="s">
        <v>2066</v>
      </c>
      <c r="B1998" s="31"/>
      <c r="C1998" s="54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E1998" s="57" t="str">
        <f t="shared" si="186"/>
        <v/>
      </c>
      <c r="AF1998" s="18" t="str">
        <f t="shared" si="187"/>
        <v/>
      </c>
      <c r="AG1998" s="18" t="str">
        <f t="shared" si="188"/>
        <v/>
      </c>
      <c r="AH1998" s="18" t="str">
        <f t="shared" si="189"/>
        <v/>
      </c>
      <c r="AI1998" s="18" t="str">
        <f t="shared" si="190"/>
        <v/>
      </c>
      <c r="AJ1998" s="18" t="str">
        <f t="shared" si="191"/>
        <v/>
      </c>
      <c r="AK1998" s="18" t="str">
        <f t="shared" si="192"/>
        <v/>
      </c>
      <c r="AL1998" s="18" t="str">
        <f t="shared" si="193"/>
        <v/>
      </c>
      <c r="AM1998" s="18" t="str">
        <f t="shared" si="194"/>
        <v/>
      </c>
    </row>
    <row r="1999" spans="1:39" x14ac:dyDescent="0.35">
      <c r="A1999" s="56" t="s">
        <v>2067</v>
      </c>
      <c r="B1999" s="31"/>
      <c r="C1999" s="54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E1999" s="57" t="str">
        <f t="shared" si="186"/>
        <v/>
      </c>
      <c r="AF1999" s="18" t="str">
        <f t="shared" si="187"/>
        <v/>
      </c>
      <c r="AG1999" s="18" t="str">
        <f t="shared" si="188"/>
        <v/>
      </c>
      <c r="AH1999" s="18" t="str">
        <f t="shared" si="189"/>
        <v/>
      </c>
      <c r="AI1999" s="18" t="str">
        <f t="shared" si="190"/>
        <v/>
      </c>
      <c r="AJ1999" s="18" t="str">
        <f t="shared" si="191"/>
        <v/>
      </c>
      <c r="AK1999" s="18" t="str">
        <f t="shared" si="192"/>
        <v/>
      </c>
      <c r="AL1999" s="18" t="str">
        <f t="shared" si="193"/>
        <v/>
      </c>
      <c r="AM1999" s="18" t="str">
        <f t="shared" si="194"/>
        <v/>
      </c>
    </row>
    <row r="2000" spans="1:39" x14ac:dyDescent="0.35">
      <c r="A2000" s="56" t="s">
        <v>2068</v>
      </c>
      <c r="B2000" s="31"/>
      <c r="C2000" s="54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E2000" s="57" t="str">
        <f t="shared" si="186"/>
        <v/>
      </c>
      <c r="AF2000" s="18" t="str">
        <f t="shared" si="187"/>
        <v/>
      </c>
      <c r="AG2000" s="18" t="str">
        <f t="shared" si="188"/>
        <v/>
      </c>
      <c r="AH2000" s="18" t="str">
        <f t="shared" si="189"/>
        <v/>
      </c>
      <c r="AI2000" s="18" t="str">
        <f t="shared" si="190"/>
        <v/>
      </c>
      <c r="AJ2000" s="18" t="str">
        <f t="shared" si="191"/>
        <v/>
      </c>
      <c r="AK2000" s="18" t="str">
        <f t="shared" si="192"/>
        <v/>
      </c>
      <c r="AL2000" s="18" t="str">
        <f t="shared" si="193"/>
        <v/>
      </c>
      <c r="AM2000" s="18" t="str">
        <f t="shared" si="194"/>
        <v/>
      </c>
    </row>
    <row r="2001" spans="1:27" x14ac:dyDescent="0.35">
      <c r="A2001" s="18">
        <v>2000</v>
      </c>
      <c r="B2001" s="31"/>
      <c r="C2001" s="54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</row>
    <row r="2002" spans="1:27" hidden="1" x14ac:dyDescent="0.35">
      <c r="B2002" s="31"/>
      <c r="C2002" s="54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</row>
    <row r="2003" spans="1:27" hidden="1" x14ac:dyDescent="0.35">
      <c r="B2003" s="31"/>
      <c r="C2003" s="54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</row>
    <row r="2004" spans="1:27" hidden="1" x14ac:dyDescent="0.35">
      <c r="B2004" s="31"/>
      <c r="C2004" s="54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</row>
    <row r="2005" spans="1:27" hidden="1" x14ac:dyDescent="0.35">
      <c r="B2005" s="31"/>
      <c r="C2005" s="54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</row>
    <row r="2006" spans="1:27" hidden="1" x14ac:dyDescent="0.35">
      <c r="B2006" s="31"/>
      <c r="C2006" s="54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</row>
    <row r="2007" spans="1:27" hidden="1" x14ac:dyDescent="0.35">
      <c r="B2007" s="31"/>
      <c r="C2007" s="54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</row>
    <row r="2008" spans="1:27" hidden="1" x14ac:dyDescent="0.35">
      <c r="B2008" s="31"/>
      <c r="C2008" s="54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</row>
    <row r="2009" spans="1:27" hidden="1" x14ac:dyDescent="0.35">
      <c r="B2009" s="31"/>
      <c r="C2009" s="54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</row>
    <row r="2010" spans="1:27" hidden="1" x14ac:dyDescent="0.35">
      <c r="B2010" s="31"/>
      <c r="C2010" s="54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</row>
    <row r="2011" spans="1:27" hidden="1" x14ac:dyDescent="0.35">
      <c r="B2011" s="31"/>
      <c r="C2011" s="54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</row>
    <row r="2012" spans="1:27" hidden="1" x14ac:dyDescent="0.35">
      <c r="B2012" s="31"/>
      <c r="C2012" s="54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</row>
    <row r="2013" spans="1:27" hidden="1" x14ac:dyDescent="0.35">
      <c r="B2013" s="31"/>
      <c r="C2013" s="54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</row>
    <row r="2014" spans="1:27" hidden="1" x14ac:dyDescent="0.35">
      <c r="B2014" s="31"/>
      <c r="C2014" s="54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</row>
    <row r="2015" spans="1:27" hidden="1" x14ac:dyDescent="0.35">
      <c r="B2015" s="31"/>
      <c r="C2015" s="54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</row>
    <row r="2016" spans="1:27" hidden="1" x14ac:dyDescent="0.35">
      <c r="B2016" s="31"/>
      <c r="C2016" s="54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</row>
    <row r="2017" spans="2:27" hidden="1" x14ac:dyDescent="0.35">
      <c r="B2017" s="31"/>
      <c r="C2017" s="54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</row>
    <row r="2018" spans="2:27" hidden="1" x14ac:dyDescent="0.35">
      <c r="B2018" s="31"/>
      <c r="C2018" s="54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</row>
    <row r="2019" spans="2:27" hidden="1" x14ac:dyDescent="0.35">
      <c r="B2019" s="31"/>
      <c r="C2019" s="54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</row>
    <row r="2020" spans="2:27" hidden="1" x14ac:dyDescent="0.35">
      <c r="B2020" s="31"/>
      <c r="C2020" s="54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</row>
    <row r="2021" spans="2:27" hidden="1" x14ac:dyDescent="0.35">
      <c r="B2021" s="31"/>
      <c r="C2021" s="54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</row>
    <row r="2022" spans="2:27" hidden="1" x14ac:dyDescent="0.35">
      <c r="B2022" s="31"/>
      <c r="C2022" s="54"/>
      <c r="D2022" s="31"/>
      <c r="E2022" s="31"/>
      <c r="F2022" s="31"/>
      <c r="G2022" s="31"/>
      <c r="H2022" s="31"/>
      <c r="I2022" s="31"/>
      <c r="J2022" s="31"/>
      <c r="K2022" s="31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</row>
    <row r="2023" spans="2:27" hidden="1" x14ac:dyDescent="0.35">
      <c r="B2023" s="31"/>
      <c r="C2023" s="54"/>
      <c r="D2023" s="31"/>
      <c r="E2023" s="31"/>
      <c r="F2023" s="31"/>
      <c r="G2023" s="31"/>
      <c r="H2023" s="31"/>
      <c r="I2023" s="31"/>
      <c r="J2023" s="31"/>
      <c r="K2023" s="31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</row>
    <row r="2024" spans="2:27" hidden="1" x14ac:dyDescent="0.35">
      <c r="B2024" s="31"/>
      <c r="C2024" s="54"/>
      <c r="D2024" s="31"/>
      <c r="E2024" s="31"/>
      <c r="F2024" s="31"/>
      <c r="G2024" s="31"/>
      <c r="H2024" s="31"/>
      <c r="I2024" s="31"/>
      <c r="J2024" s="31"/>
      <c r="K2024" s="31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</row>
    <row r="2025" spans="2:27" hidden="1" x14ac:dyDescent="0.35">
      <c r="B2025" s="31"/>
      <c r="C2025" s="54"/>
      <c r="D2025" s="31"/>
      <c r="E2025" s="31"/>
      <c r="F2025" s="31"/>
      <c r="G2025" s="31"/>
      <c r="H2025" s="31"/>
      <c r="I2025" s="31"/>
      <c r="J2025" s="31"/>
      <c r="K2025" s="31"/>
      <c r="L2025" s="31"/>
      <c r="M2025" s="31"/>
      <c r="N2025" s="31"/>
      <c r="O2025" s="31"/>
      <c r="P2025" s="3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</row>
    <row r="2026" spans="2:27" hidden="1" x14ac:dyDescent="0.35">
      <c r="B2026" s="31"/>
      <c r="C2026" s="54"/>
      <c r="D2026" s="31"/>
      <c r="E2026" s="31"/>
      <c r="F2026" s="31"/>
      <c r="G2026" s="31"/>
      <c r="H2026" s="31"/>
      <c r="I2026" s="31"/>
      <c r="J2026" s="31"/>
      <c r="K2026" s="31"/>
      <c r="L2026" s="31"/>
      <c r="M2026" s="31"/>
      <c r="N2026" s="31"/>
      <c r="O2026" s="31"/>
      <c r="P2026" s="3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</row>
    <row r="2027" spans="2:27" hidden="1" x14ac:dyDescent="0.35">
      <c r="B2027" s="31"/>
      <c r="C2027" s="54"/>
      <c r="D2027" s="31"/>
      <c r="E2027" s="31"/>
      <c r="F2027" s="31"/>
      <c r="G2027" s="31"/>
      <c r="H2027" s="31"/>
      <c r="I2027" s="31"/>
      <c r="J2027" s="31"/>
      <c r="K2027" s="31"/>
      <c r="L2027" s="31"/>
      <c r="M2027" s="31"/>
      <c r="N2027" s="31"/>
      <c r="O2027" s="31"/>
      <c r="P2027" s="3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</row>
    <row r="2028" spans="2:27" hidden="1" x14ac:dyDescent="0.35">
      <c r="B2028" s="31"/>
      <c r="C2028" s="54"/>
      <c r="D2028" s="31"/>
      <c r="E2028" s="31"/>
      <c r="F2028" s="31"/>
      <c r="G2028" s="31"/>
      <c r="H2028" s="31"/>
      <c r="I2028" s="31"/>
      <c r="J2028" s="31"/>
      <c r="K2028" s="31"/>
      <c r="L2028" s="31"/>
      <c r="M2028" s="31"/>
      <c r="N2028" s="31"/>
      <c r="O2028" s="31"/>
      <c r="P2028" s="3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</row>
    <row r="2029" spans="2:27" hidden="1" x14ac:dyDescent="0.35">
      <c r="B2029" s="31"/>
      <c r="C2029" s="54"/>
      <c r="D2029" s="31"/>
      <c r="E2029" s="31"/>
      <c r="F2029" s="31"/>
      <c r="G2029" s="31"/>
      <c r="H2029" s="31"/>
      <c r="I2029" s="31"/>
      <c r="J2029" s="31"/>
      <c r="K2029" s="31"/>
      <c r="L2029" s="31"/>
      <c r="M2029" s="31"/>
      <c r="N2029" s="31"/>
      <c r="O2029" s="31"/>
      <c r="P2029" s="3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</row>
    <row r="2030" spans="2:27" hidden="1" x14ac:dyDescent="0.35">
      <c r="B2030" s="31"/>
      <c r="C2030" s="54"/>
      <c r="D2030" s="31"/>
      <c r="E2030" s="31"/>
      <c r="F2030" s="31"/>
      <c r="G2030" s="31"/>
      <c r="H2030" s="31"/>
      <c r="I2030" s="31"/>
      <c r="J2030" s="31"/>
      <c r="K2030" s="31"/>
      <c r="L2030" s="31"/>
      <c r="M2030" s="31"/>
      <c r="N2030" s="31"/>
      <c r="O2030" s="31"/>
      <c r="P2030" s="3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</row>
    <row r="2031" spans="2:27" hidden="1" x14ac:dyDescent="0.35">
      <c r="B2031" s="31"/>
      <c r="C2031" s="54"/>
      <c r="D2031" s="31"/>
      <c r="E2031" s="31"/>
      <c r="F2031" s="31"/>
      <c r="G2031" s="31"/>
      <c r="H2031" s="31"/>
      <c r="I2031" s="31"/>
      <c r="J2031" s="31"/>
      <c r="K2031" s="31"/>
      <c r="L2031" s="31"/>
      <c r="M2031" s="31"/>
      <c r="N2031" s="31"/>
      <c r="O2031" s="31"/>
      <c r="P2031" s="3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</row>
    <row r="2032" spans="2:27" hidden="1" x14ac:dyDescent="0.35">
      <c r="B2032" s="31"/>
      <c r="C2032" s="54"/>
      <c r="D2032" s="31"/>
      <c r="E2032" s="31"/>
      <c r="F2032" s="31"/>
      <c r="G2032" s="31"/>
      <c r="H2032" s="31"/>
      <c r="I2032" s="31"/>
      <c r="J2032" s="31"/>
      <c r="K2032" s="31"/>
      <c r="L2032" s="31"/>
      <c r="M2032" s="31"/>
      <c r="N2032" s="31"/>
      <c r="O2032" s="31"/>
      <c r="P2032" s="3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</row>
    <row r="2033" spans="2:27" hidden="1" x14ac:dyDescent="0.35">
      <c r="B2033" s="31"/>
      <c r="C2033" s="54"/>
      <c r="D2033" s="31"/>
      <c r="E2033" s="31"/>
      <c r="F2033" s="31"/>
      <c r="G2033" s="31"/>
      <c r="H2033" s="31"/>
      <c r="I2033" s="31"/>
      <c r="J2033" s="31"/>
      <c r="K2033" s="31"/>
      <c r="L2033" s="31"/>
      <c r="M2033" s="31"/>
      <c r="N2033" s="31"/>
      <c r="O2033" s="31"/>
      <c r="P2033" s="3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</row>
    <row r="2034" spans="2:27" hidden="1" x14ac:dyDescent="0.35">
      <c r="B2034" s="31"/>
      <c r="C2034" s="54"/>
      <c r="D2034" s="31"/>
      <c r="E2034" s="31"/>
      <c r="F2034" s="31"/>
      <c r="G2034" s="31"/>
      <c r="H2034" s="31"/>
      <c r="I2034" s="31"/>
      <c r="J2034" s="31"/>
      <c r="K2034" s="31"/>
      <c r="L2034" s="31"/>
      <c r="M2034" s="31"/>
      <c r="N2034" s="31"/>
      <c r="O2034" s="31"/>
      <c r="P2034" s="3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</row>
    <row r="2035" spans="2:27" hidden="1" x14ac:dyDescent="0.35">
      <c r="B2035" s="31"/>
      <c r="C2035" s="54"/>
      <c r="D2035" s="31"/>
      <c r="E2035" s="31"/>
      <c r="F2035" s="31"/>
      <c r="G2035" s="31"/>
      <c r="H2035" s="31"/>
      <c r="I2035" s="31"/>
      <c r="J2035" s="31"/>
      <c r="K2035" s="31"/>
      <c r="L2035" s="31"/>
      <c r="M2035" s="31"/>
      <c r="N2035" s="31"/>
      <c r="O2035" s="31"/>
      <c r="P2035" s="3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</row>
    <row r="2036" spans="2:27" hidden="1" x14ac:dyDescent="0.35">
      <c r="B2036" s="31"/>
      <c r="C2036" s="54"/>
      <c r="D2036" s="31"/>
      <c r="E2036" s="31"/>
      <c r="F2036" s="31"/>
      <c r="G2036" s="31"/>
      <c r="H2036" s="31"/>
      <c r="I2036" s="31"/>
      <c r="J2036" s="31"/>
      <c r="K2036" s="31"/>
      <c r="L2036" s="31"/>
      <c r="M2036" s="31"/>
      <c r="N2036" s="31"/>
      <c r="O2036" s="31"/>
      <c r="P2036" s="3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</row>
    <row r="2037" spans="2:27" hidden="1" x14ac:dyDescent="0.35">
      <c r="B2037" s="31"/>
      <c r="C2037" s="54"/>
      <c r="D2037" s="31"/>
      <c r="E2037" s="31"/>
      <c r="F2037" s="31"/>
      <c r="G2037" s="31"/>
      <c r="H2037" s="31"/>
      <c r="I2037" s="31"/>
      <c r="J2037" s="31"/>
      <c r="K2037" s="31"/>
      <c r="L2037" s="31"/>
      <c r="M2037" s="31"/>
      <c r="N2037" s="31"/>
      <c r="O2037" s="31"/>
      <c r="P2037" s="3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</row>
    <row r="2038" spans="2:27" hidden="1" x14ac:dyDescent="0.35">
      <c r="B2038" s="31"/>
      <c r="C2038" s="54"/>
      <c r="D2038" s="31"/>
      <c r="E2038" s="31"/>
      <c r="F2038" s="31"/>
      <c r="G2038" s="31"/>
      <c r="H2038" s="31"/>
      <c r="I2038" s="31"/>
      <c r="J2038" s="31"/>
      <c r="K2038" s="31"/>
      <c r="L2038" s="31"/>
      <c r="M2038" s="31"/>
      <c r="N2038" s="31"/>
      <c r="O2038" s="31"/>
      <c r="P2038" s="3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</row>
    <row r="2039" spans="2:27" hidden="1" x14ac:dyDescent="0.35">
      <c r="B2039" s="31"/>
      <c r="C2039" s="54"/>
      <c r="D2039" s="31"/>
      <c r="E2039" s="31"/>
      <c r="F2039" s="31"/>
      <c r="G2039" s="31"/>
      <c r="H2039" s="31"/>
      <c r="I2039" s="31"/>
      <c r="J2039" s="31"/>
      <c r="K2039" s="31"/>
      <c r="L2039" s="31"/>
      <c r="M2039" s="31"/>
      <c r="N2039" s="31"/>
      <c r="O2039" s="31"/>
      <c r="P2039" s="3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</row>
    <row r="2040" spans="2:27" hidden="1" x14ac:dyDescent="0.35">
      <c r="B2040" s="31"/>
      <c r="C2040" s="54"/>
      <c r="D2040" s="31"/>
      <c r="E2040" s="31"/>
      <c r="F2040" s="31"/>
      <c r="G2040" s="31"/>
      <c r="H2040" s="31"/>
      <c r="I2040" s="31"/>
      <c r="J2040" s="31"/>
      <c r="K2040" s="31"/>
      <c r="L2040" s="31"/>
      <c r="M2040" s="31"/>
      <c r="N2040" s="31"/>
      <c r="O2040" s="31"/>
      <c r="P2040" s="3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</row>
    <row r="2041" spans="2:27" hidden="1" x14ac:dyDescent="0.35">
      <c r="B2041" s="31"/>
      <c r="C2041" s="54"/>
      <c r="D2041" s="31"/>
      <c r="E2041" s="31"/>
      <c r="F2041" s="31"/>
      <c r="G2041" s="31"/>
      <c r="H2041" s="31"/>
      <c r="I2041" s="31"/>
      <c r="J2041" s="31"/>
      <c r="K2041" s="31"/>
      <c r="L2041" s="31"/>
      <c r="M2041" s="31"/>
      <c r="N2041" s="31"/>
      <c r="O2041" s="31"/>
      <c r="P2041" s="3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</row>
    <row r="2042" spans="2:27" hidden="1" x14ac:dyDescent="0.35">
      <c r="B2042" s="31"/>
      <c r="C2042" s="54"/>
      <c r="D2042" s="31"/>
      <c r="E2042" s="31"/>
      <c r="F2042" s="31"/>
      <c r="G2042" s="31"/>
      <c r="H2042" s="31"/>
      <c r="I2042" s="31"/>
      <c r="J2042" s="31"/>
      <c r="K2042" s="31"/>
      <c r="L2042" s="31"/>
      <c r="M2042" s="31"/>
      <c r="N2042" s="31"/>
      <c r="O2042" s="31"/>
      <c r="P2042" s="3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</row>
    <row r="2043" spans="2:27" hidden="1" x14ac:dyDescent="0.35">
      <c r="B2043" s="31"/>
      <c r="C2043" s="54"/>
      <c r="D2043" s="31"/>
      <c r="E2043" s="31"/>
      <c r="F2043" s="31"/>
      <c r="G2043" s="31"/>
      <c r="H2043" s="31"/>
      <c r="I2043" s="31"/>
      <c r="J2043" s="31"/>
      <c r="K2043" s="31"/>
      <c r="L2043" s="31"/>
      <c r="M2043" s="31"/>
      <c r="N2043" s="31"/>
      <c r="O2043" s="31"/>
      <c r="P2043" s="3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</row>
    <row r="2044" spans="2:27" hidden="1" x14ac:dyDescent="0.35">
      <c r="B2044" s="31"/>
      <c r="C2044" s="54"/>
      <c r="D2044" s="31"/>
      <c r="E2044" s="31"/>
      <c r="F2044" s="31"/>
      <c r="G2044" s="31"/>
      <c r="H2044" s="31"/>
      <c r="I2044" s="31"/>
      <c r="J2044" s="31"/>
      <c r="K2044" s="31"/>
      <c r="L2044" s="31"/>
      <c r="M2044" s="31"/>
      <c r="N2044" s="31"/>
      <c r="O2044" s="31"/>
      <c r="P2044" s="3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</row>
    <row r="2045" spans="2:27" hidden="1" x14ac:dyDescent="0.35">
      <c r="B2045" s="31"/>
      <c r="C2045" s="54"/>
      <c r="D2045" s="31"/>
      <c r="E2045" s="31"/>
      <c r="F2045" s="31"/>
      <c r="G2045" s="31"/>
      <c r="H2045" s="31"/>
      <c r="I2045" s="31"/>
      <c r="J2045" s="31"/>
      <c r="K2045" s="31"/>
      <c r="L2045" s="31"/>
      <c r="M2045" s="31"/>
      <c r="N2045" s="31"/>
      <c r="O2045" s="31"/>
      <c r="P2045" s="3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</row>
    <row r="2046" spans="2:27" hidden="1" x14ac:dyDescent="0.35">
      <c r="B2046" s="31"/>
      <c r="C2046" s="54"/>
      <c r="D2046" s="31"/>
      <c r="E2046" s="31"/>
      <c r="F2046" s="31"/>
      <c r="G2046" s="31"/>
      <c r="H2046" s="31"/>
      <c r="I2046" s="31"/>
      <c r="J2046" s="31"/>
      <c r="K2046" s="31"/>
      <c r="L2046" s="31"/>
      <c r="M2046" s="31"/>
      <c r="N2046" s="31"/>
      <c r="O2046" s="31"/>
      <c r="P2046" s="3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</row>
    <row r="2047" spans="2:27" hidden="1" x14ac:dyDescent="0.35">
      <c r="B2047" s="31"/>
      <c r="C2047" s="54"/>
      <c r="D2047" s="31"/>
      <c r="E2047" s="31"/>
      <c r="F2047" s="31"/>
      <c r="G2047" s="31"/>
      <c r="H2047" s="31"/>
      <c r="I2047" s="31"/>
      <c r="J2047" s="31"/>
      <c r="K2047" s="31"/>
      <c r="L2047" s="31"/>
      <c r="M2047" s="31"/>
      <c r="N2047" s="31"/>
      <c r="O2047" s="31"/>
      <c r="P2047" s="3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</row>
    <row r="2048" spans="2:27" hidden="1" x14ac:dyDescent="0.35">
      <c r="B2048" s="31"/>
      <c r="C2048" s="54"/>
      <c r="D2048" s="31"/>
      <c r="E2048" s="31"/>
      <c r="F2048" s="31"/>
      <c r="G2048" s="31"/>
      <c r="H2048" s="31"/>
      <c r="I2048" s="31"/>
      <c r="J2048" s="31"/>
      <c r="K2048" s="31"/>
      <c r="L2048" s="31"/>
      <c r="M2048" s="31"/>
      <c r="N2048" s="31"/>
      <c r="O2048" s="31"/>
      <c r="P2048" s="3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</row>
    <row r="2049" spans="2:27" hidden="1" x14ac:dyDescent="0.35">
      <c r="B2049" s="31"/>
      <c r="C2049" s="54"/>
      <c r="D2049" s="31"/>
      <c r="E2049" s="31"/>
      <c r="F2049" s="31"/>
      <c r="G2049" s="31"/>
      <c r="H2049" s="31"/>
      <c r="I2049" s="31"/>
      <c r="J2049" s="31"/>
      <c r="K2049" s="31"/>
      <c r="L2049" s="31"/>
      <c r="M2049" s="31"/>
      <c r="N2049" s="31"/>
      <c r="O2049" s="31"/>
      <c r="P2049" s="3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</row>
    <row r="2050" spans="2:27" hidden="1" x14ac:dyDescent="0.35">
      <c r="B2050" s="31"/>
      <c r="C2050" s="54"/>
      <c r="D2050" s="31"/>
      <c r="E2050" s="31"/>
      <c r="F2050" s="31"/>
      <c r="G2050" s="31"/>
      <c r="H2050" s="31"/>
      <c r="I2050" s="31"/>
      <c r="J2050" s="31"/>
      <c r="K2050" s="31"/>
      <c r="L2050" s="31"/>
      <c r="M2050" s="31"/>
      <c r="N2050" s="31"/>
      <c r="O2050" s="31"/>
      <c r="P2050" s="3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</row>
    <row r="2051" spans="2:27" hidden="1" x14ac:dyDescent="0.35">
      <c r="B2051" s="31"/>
      <c r="C2051" s="54"/>
      <c r="D2051" s="31"/>
      <c r="E2051" s="31"/>
      <c r="F2051" s="31"/>
      <c r="G2051" s="31"/>
      <c r="H2051" s="31"/>
      <c r="I2051" s="31"/>
      <c r="J2051" s="31"/>
      <c r="K2051" s="31"/>
      <c r="L2051" s="31"/>
      <c r="M2051" s="31"/>
      <c r="N2051" s="31"/>
      <c r="O2051" s="31"/>
      <c r="P2051" s="3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</row>
    <row r="2052" spans="2:27" hidden="1" x14ac:dyDescent="0.35">
      <c r="B2052" s="31"/>
      <c r="C2052" s="54"/>
      <c r="D2052" s="31"/>
      <c r="E2052" s="31"/>
      <c r="F2052" s="31"/>
      <c r="G2052" s="31"/>
      <c r="H2052" s="31"/>
      <c r="I2052" s="31"/>
      <c r="J2052" s="31"/>
      <c r="K2052" s="31"/>
      <c r="L2052" s="31"/>
      <c r="M2052" s="31"/>
      <c r="N2052" s="31"/>
      <c r="O2052" s="31"/>
      <c r="P2052" s="3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</row>
    <row r="2053" spans="2:27" hidden="1" x14ac:dyDescent="0.35">
      <c r="B2053" s="31"/>
      <c r="C2053" s="54"/>
      <c r="D2053" s="31"/>
      <c r="E2053" s="31"/>
      <c r="F2053" s="31"/>
      <c r="G2053" s="31"/>
      <c r="H2053" s="31"/>
      <c r="I2053" s="31"/>
      <c r="J2053" s="31"/>
      <c r="K2053" s="31"/>
      <c r="L2053" s="31"/>
      <c r="M2053" s="31"/>
      <c r="N2053" s="31"/>
      <c r="O2053" s="31"/>
      <c r="P2053" s="3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</row>
    <row r="2054" spans="2:27" hidden="1" x14ac:dyDescent="0.35">
      <c r="B2054" s="31"/>
      <c r="C2054" s="54"/>
      <c r="D2054" s="31"/>
      <c r="E2054" s="31"/>
      <c r="F2054" s="31"/>
      <c r="G2054" s="31"/>
      <c r="H2054" s="31"/>
      <c r="I2054" s="31"/>
      <c r="J2054" s="31"/>
      <c r="K2054" s="31"/>
      <c r="L2054" s="31"/>
      <c r="M2054" s="31"/>
      <c r="N2054" s="31"/>
      <c r="O2054" s="31"/>
      <c r="P2054" s="3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</row>
    <row r="2055" spans="2:27" hidden="1" x14ac:dyDescent="0.35">
      <c r="B2055" s="31"/>
      <c r="C2055" s="54"/>
      <c r="D2055" s="31"/>
      <c r="E2055" s="31"/>
      <c r="F2055" s="31"/>
      <c r="G2055" s="31"/>
      <c r="H2055" s="31"/>
      <c r="I2055" s="31"/>
      <c r="J2055" s="31"/>
      <c r="K2055" s="31"/>
      <c r="L2055" s="31"/>
      <c r="M2055" s="31"/>
      <c r="N2055" s="31"/>
      <c r="O2055" s="31"/>
      <c r="P2055" s="3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</row>
    <row r="2056" spans="2:27" hidden="1" x14ac:dyDescent="0.35">
      <c r="B2056" s="31"/>
      <c r="C2056" s="54"/>
      <c r="D2056" s="31"/>
      <c r="E2056" s="31"/>
      <c r="F2056" s="31"/>
      <c r="G2056" s="31"/>
      <c r="H2056" s="31"/>
      <c r="I2056" s="31"/>
      <c r="J2056" s="31"/>
      <c r="K2056" s="31"/>
      <c r="L2056" s="31"/>
      <c r="M2056" s="31"/>
      <c r="N2056" s="31"/>
      <c r="O2056" s="31"/>
      <c r="P2056" s="3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</row>
    <row r="2057" spans="2:27" hidden="1" x14ac:dyDescent="0.35">
      <c r="B2057" s="31"/>
      <c r="C2057" s="54"/>
      <c r="D2057" s="31"/>
      <c r="E2057" s="31"/>
      <c r="F2057" s="31"/>
      <c r="G2057" s="31"/>
      <c r="H2057" s="31"/>
      <c r="I2057" s="31"/>
      <c r="J2057" s="31"/>
      <c r="K2057" s="31"/>
      <c r="L2057" s="31"/>
      <c r="M2057" s="31"/>
      <c r="N2057" s="31"/>
      <c r="O2057" s="31"/>
      <c r="P2057" s="3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</row>
    <row r="2058" spans="2:27" hidden="1" x14ac:dyDescent="0.35">
      <c r="B2058" s="31"/>
      <c r="C2058" s="54"/>
      <c r="D2058" s="31"/>
      <c r="E2058" s="31"/>
      <c r="F2058" s="31"/>
      <c r="G2058" s="31"/>
      <c r="H2058" s="31"/>
      <c r="I2058" s="31"/>
      <c r="J2058" s="31"/>
      <c r="K2058" s="31"/>
      <c r="L2058" s="31"/>
      <c r="M2058" s="31"/>
      <c r="N2058" s="31"/>
      <c r="O2058" s="31"/>
      <c r="P2058" s="3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</row>
    <row r="2059" spans="2:27" hidden="1" x14ac:dyDescent="0.35">
      <c r="B2059" s="31"/>
      <c r="C2059" s="54"/>
      <c r="D2059" s="31"/>
      <c r="E2059" s="31"/>
      <c r="F2059" s="31"/>
      <c r="G2059" s="31"/>
      <c r="H2059" s="31"/>
      <c r="I2059" s="31"/>
      <c r="J2059" s="31"/>
      <c r="K2059" s="31"/>
      <c r="L2059" s="31"/>
      <c r="M2059" s="31"/>
      <c r="N2059" s="31"/>
      <c r="O2059" s="31"/>
      <c r="P2059" s="3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</row>
    <row r="2060" spans="2:27" hidden="1" x14ac:dyDescent="0.35">
      <c r="B2060" s="31"/>
      <c r="C2060" s="54"/>
      <c r="D2060" s="31"/>
      <c r="E2060" s="31"/>
      <c r="F2060" s="31"/>
      <c r="G2060" s="31"/>
      <c r="H2060" s="31"/>
      <c r="I2060" s="31"/>
      <c r="J2060" s="31"/>
      <c r="K2060" s="31"/>
      <c r="L2060" s="31"/>
      <c r="M2060" s="31"/>
      <c r="N2060" s="31"/>
      <c r="O2060" s="31"/>
      <c r="P2060" s="3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</row>
    <row r="2061" spans="2:27" hidden="1" x14ac:dyDescent="0.35">
      <c r="B2061" s="31"/>
      <c r="C2061" s="54"/>
      <c r="D2061" s="31"/>
      <c r="E2061" s="31"/>
      <c r="F2061" s="31"/>
      <c r="G2061" s="31"/>
      <c r="H2061" s="31"/>
      <c r="I2061" s="31"/>
      <c r="J2061" s="31"/>
      <c r="K2061" s="31"/>
      <c r="L2061" s="31"/>
      <c r="M2061" s="31"/>
      <c r="N2061" s="31"/>
      <c r="O2061" s="31"/>
      <c r="P2061" s="3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</row>
    <row r="2062" spans="2:27" hidden="1" x14ac:dyDescent="0.35">
      <c r="B2062" s="31"/>
      <c r="C2062" s="54"/>
      <c r="D2062" s="31"/>
      <c r="E2062" s="31"/>
      <c r="F2062" s="31"/>
      <c r="G2062" s="31"/>
      <c r="H2062" s="31"/>
      <c r="I2062" s="31"/>
      <c r="J2062" s="31"/>
      <c r="K2062" s="31"/>
      <c r="L2062" s="31"/>
      <c r="M2062" s="31"/>
      <c r="N2062" s="31"/>
      <c r="O2062" s="31"/>
      <c r="P2062" s="3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</row>
    <row r="2063" spans="2:27" hidden="1" x14ac:dyDescent="0.35">
      <c r="B2063" s="31"/>
      <c r="C2063" s="54"/>
      <c r="D2063" s="31"/>
      <c r="E2063" s="31"/>
      <c r="F2063" s="31"/>
      <c r="G2063" s="31"/>
      <c r="H2063" s="31"/>
      <c r="I2063" s="31"/>
      <c r="J2063" s="31"/>
      <c r="K2063" s="31"/>
      <c r="L2063" s="31"/>
      <c r="M2063" s="31"/>
      <c r="N2063" s="31"/>
      <c r="O2063" s="31"/>
      <c r="P2063" s="3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</row>
    <row r="2064" spans="2:27" hidden="1" x14ac:dyDescent="0.35">
      <c r="B2064" s="31"/>
      <c r="C2064" s="54"/>
      <c r="D2064" s="31"/>
      <c r="E2064" s="31"/>
      <c r="F2064" s="31"/>
      <c r="G2064" s="31"/>
      <c r="H2064" s="31"/>
      <c r="I2064" s="31"/>
      <c r="J2064" s="31"/>
      <c r="K2064" s="31"/>
      <c r="L2064" s="31"/>
      <c r="M2064" s="31"/>
      <c r="N2064" s="31"/>
      <c r="O2064" s="31"/>
      <c r="P2064" s="3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</row>
    <row r="2065" spans="2:27" hidden="1" x14ac:dyDescent="0.35">
      <c r="B2065" s="31"/>
      <c r="C2065" s="54"/>
      <c r="D2065" s="31"/>
      <c r="E2065" s="31"/>
      <c r="F2065" s="31"/>
      <c r="G2065" s="31"/>
      <c r="H2065" s="31"/>
      <c r="I2065" s="31"/>
      <c r="J2065" s="31"/>
      <c r="K2065" s="31"/>
      <c r="L2065" s="31"/>
      <c r="M2065" s="31"/>
      <c r="N2065" s="31"/>
      <c r="O2065" s="31"/>
      <c r="P2065" s="3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</row>
    <row r="2066" spans="2:27" hidden="1" x14ac:dyDescent="0.35">
      <c r="B2066" s="31"/>
      <c r="C2066" s="54"/>
      <c r="D2066" s="31"/>
      <c r="E2066" s="31"/>
      <c r="F2066" s="31"/>
      <c r="G2066" s="31"/>
      <c r="H2066" s="31"/>
      <c r="I2066" s="31"/>
      <c r="J2066" s="31"/>
      <c r="K2066" s="31"/>
      <c r="L2066" s="31"/>
      <c r="M2066" s="31"/>
      <c r="N2066" s="31"/>
      <c r="O2066" s="31"/>
      <c r="P2066" s="3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</row>
    <row r="2067" spans="2:27" hidden="1" x14ac:dyDescent="0.35">
      <c r="B2067" s="31"/>
      <c r="C2067" s="54"/>
      <c r="D2067" s="31"/>
      <c r="E2067" s="31"/>
      <c r="F2067" s="31"/>
      <c r="G2067" s="31"/>
      <c r="H2067" s="31"/>
      <c r="I2067" s="31"/>
      <c r="J2067" s="31"/>
      <c r="K2067" s="31"/>
      <c r="L2067" s="31"/>
      <c r="M2067" s="31"/>
      <c r="N2067" s="31"/>
      <c r="O2067" s="31"/>
      <c r="P2067" s="3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</row>
    <row r="2068" spans="2:27" hidden="1" x14ac:dyDescent="0.35">
      <c r="B2068" s="31"/>
      <c r="C2068" s="54"/>
      <c r="D2068" s="31"/>
      <c r="E2068" s="31"/>
      <c r="F2068" s="31"/>
      <c r="G2068" s="31"/>
      <c r="H2068" s="31"/>
      <c r="I2068" s="31"/>
      <c r="J2068" s="31"/>
      <c r="K2068" s="31"/>
      <c r="L2068" s="31"/>
      <c r="M2068" s="31"/>
      <c r="N2068" s="31"/>
      <c r="O2068" s="31"/>
      <c r="P2068" s="3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</row>
    <row r="2069" spans="2:27" hidden="1" x14ac:dyDescent="0.35">
      <c r="B2069" s="31"/>
      <c r="C2069" s="54"/>
      <c r="D2069" s="31"/>
      <c r="E2069" s="31"/>
      <c r="F2069" s="31"/>
      <c r="G2069" s="31"/>
      <c r="H2069" s="31"/>
      <c r="I2069" s="31"/>
      <c r="J2069" s="31"/>
      <c r="K2069" s="31"/>
      <c r="L2069" s="31"/>
      <c r="M2069" s="31"/>
      <c r="N2069" s="31"/>
      <c r="O2069" s="31"/>
      <c r="P2069" s="3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</row>
    <row r="2070" spans="2:27" hidden="1" x14ac:dyDescent="0.35">
      <c r="B2070" s="31"/>
      <c r="C2070" s="54"/>
      <c r="D2070" s="31"/>
      <c r="E2070" s="31"/>
      <c r="F2070" s="31"/>
      <c r="G2070" s="31"/>
      <c r="H2070" s="31"/>
      <c r="I2070" s="31"/>
      <c r="J2070" s="31"/>
      <c r="K2070" s="31"/>
      <c r="L2070" s="31"/>
      <c r="M2070" s="31"/>
      <c r="N2070" s="31"/>
      <c r="O2070" s="31"/>
      <c r="P2070" s="3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</row>
    <row r="2071" spans="2:27" hidden="1" x14ac:dyDescent="0.35">
      <c r="B2071" s="31"/>
      <c r="C2071" s="54"/>
      <c r="D2071" s="31"/>
      <c r="E2071" s="31"/>
      <c r="F2071" s="31"/>
      <c r="G2071" s="31"/>
      <c r="H2071" s="31"/>
      <c r="I2071" s="31"/>
      <c r="J2071" s="31"/>
      <c r="K2071" s="31"/>
      <c r="L2071" s="31"/>
      <c r="M2071" s="31"/>
      <c r="N2071" s="31"/>
      <c r="O2071" s="31"/>
      <c r="P2071" s="3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</row>
    <row r="2072" spans="2:27" hidden="1" x14ac:dyDescent="0.35">
      <c r="B2072" s="31"/>
      <c r="C2072" s="54"/>
      <c r="D2072" s="31"/>
      <c r="E2072" s="31"/>
      <c r="F2072" s="31"/>
      <c r="G2072" s="31"/>
      <c r="H2072" s="31"/>
      <c r="I2072" s="31"/>
      <c r="J2072" s="31"/>
      <c r="K2072" s="31"/>
      <c r="L2072" s="31"/>
      <c r="M2072" s="31"/>
      <c r="N2072" s="31"/>
      <c r="O2072" s="31"/>
      <c r="P2072" s="3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</row>
    <row r="2073" spans="2:27" hidden="1" x14ac:dyDescent="0.35">
      <c r="B2073" s="31"/>
      <c r="C2073" s="54"/>
      <c r="D2073" s="31"/>
      <c r="E2073" s="31"/>
      <c r="F2073" s="31"/>
      <c r="G2073" s="31"/>
      <c r="H2073" s="31"/>
      <c r="I2073" s="31"/>
      <c r="J2073" s="31"/>
      <c r="K2073" s="31"/>
      <c r="L2073" s="31"/>
      <c r="M2073" s="31"/>
      <c r="N2073" s="31"/>
      <c r="O2073" s="31"/>
      <c r="P2073" s="3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</row>
    <row r="2074" spans="2:27" hidden="1" x14ac:dyDescent="0.35">
      <c r="B2074" s="31"/>
      <c r="C2074" s="54"/>
      <c r="D2074" s="31"/>
      <c r="E2074" s="31"/>
      <c r="F2074" s="31"/>
      <c r="G2074" s="31"/>
      <c r="H2074" s="31"/>
      <c r="I2074" s="31"/>
      <c r="J2074" s="31"/>
      <c r="K2074" s="31"/>
      <c r="L2074" s="31"/>
      <c r="M2074" s="31"/>
      <c r="N2074" s="31"/>
      <c r="O2074" s="31"/>
      <c r="P2074" s="3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</row>
    <row r="2075" spans="2:27" hidden="1" x14ac:dyDescent="0.35">
      <c r="B2075" s="31"/>
      <c r="C2075" s="54"/>
      <c r="D2075" s="31"/>
      <c r="E2075" s="31"/>
      <c r="F2075" s="31"/>
      <c r="G2075" s="31"/>
      <c r="H2075" s="31"/>
      <c r="I2075" s="31"/>
      <c r="J2075" s="31"/>
      <c r="K2075" s="31"/>
      <c r="L2075" s="31"/>
      <c r="M2075" s="31"/>
      <c r="N2075" s="31"/>
      <c r="O2075" s="31"/>
      <c r="P2075" s="3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</row>
    <row r="2076" spans="2:27" hidden="1" x14ac:dyDescent="0.35">
      <c r="B2076" s="31"/>
      <c r="C2076" s="54"/>
      <c r="D2076" s="31"/>
      <c r="E2076" s="31"/>
      <c r="F2076" s="31"/>
      <c r="G2076" s="31"/>
      <c r="H2076" s="31"/>
      <c r="I2076" s="31"/>
      <c r="J2076" s="31"/>
      <c r="K2076" s="31"/>
      <c r="L2076" s="31"/>
      <c r="M2076" s="31"/>
      <c r="N2076" s="31"/>
      <c r="O2076" s="31"/>
      <c r="P2076" s="3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</row>
    <row r="2077" spans="2:27" hidden="1" x14ac:dyDescent="0.35">
      <c r="B2077" s="31"/>
      <c r="C2077" s="54"/>
      <c r="D2077" s="31"/>
      <c r="E2077" s="31"/>
      <c r="F2077" s="31"/>
      <c r="G2077" s="31"/>
      <c r="H2077" s="31"/>
      <c r="I2077" s="31"/>
      <c r="J2077" s="31"/>
      <c r="K2077" s="31"/>
      <c r="L2077" s="31"/>
      <c r="M2077" s="31"/>
      <c r="N2077" s="31"/>
      <c r="O2077" s="31"/>
      <c r="P2077" s="3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</row>
    <row r="2078" spans="2:27" hidden="1" x14ac:dyDescent="0.35">
      <c r="B2078" s="31"/>
      <c r="C2078" s="54"/>
      <c r="D2078" s="31"/>
      <c r="E2078" s="31"/>
      <c r="F2078" s="31"/>
      <c r="G2078" s="31"/>
      <c r="H2078" s="31"/>
      <c r="I2078" s="31"/>
      <c r="J2078" s="31"/>
      <c r="K2078" s="31"/>
      <c r="L2078" s="31"/>
      <c r="M2078" s="31"/>
      <c r="N2078" s="31"/>
      <c r="O2078" s="31"/>
      <c r="P2078" s="3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</row>
    <row r="2079" spans="2:27" hidden="1" x14ac:dyDescent="0.35">
      <c r="B2079" s="31"/>
      <c r="C2079" s="54"/>
      <c r="D2079" s="31"/>
      <c r="E2079" s="31"/>
      <c r="F2079" s="31"/>
      <c r="G2079" s="31"/>
      <c r="H2079" s="31"/>
      <c r="I2079" s="31"/>
      <c r="J2079" s="31"/>
      <c r="K2079" s="31"/>
      <c r="L2079" s="31"/>
      <c r="M2079" s="31"/>
      <c r="N2079" s="31"/>
      <c r="O2079" s="31"/>
      <c r="P2079" s="3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</row>
    <row r="2080" spans="2:27" hidden="1" x14ac:dyDescent="0.35">
      <c r="B2080" s="31"/>
      <c r="C2080" s="54"/>
      <c r="D2080" s="31"/>
      <c r="E2080" s="31"/>
      <c r="F2080" s="31"/>
      <c r="G2080" s="31"/>
      <c r="H2080" s="31"/>
      <c r="I2080" s="31"/>
      <c r="J2080" s="31"/>
      <c r="K2080" s="31"/>
      <c r="L2080" s="31"/>
      <c r="M2080" s="31"/>
      <c r="N2080" s="31"/>
      <c r="O2080" s="31"/>
      <c r="P2080" s="3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</row>
    <row r="2081" spans="2:27" hidden="1" x14ac:dyDescent="0.35">
      <c r="B2081" s="31"/>
      <c r="C2081" s="54"/>
      <c r="D2081" s="31"/>
      <c r="E2081" s="31"/>
      <c r="F2081" s="31"/>
      <c r="G2081" s="31"/>
      <c r="H2081" s="31"/>
      <c r="I2081" s="31"/>
      <c r="J2081" s="31"/>
      <c r="K2081" s="31"/>
      <c r="L2081" s="31"/>
      <c r="M2081" s="31"/>
      <c r="N2081" s="31"/>
      <c r="O2081" s="31"/>
      <c r="P2081" s="3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</row>
    <row r="2082" spans="2:27" hidden="1" x14ac:dyDescent="0.35">
      <c r="B2082" s="31"/>
      <c r="C2082" s="54"/>
      <c r="D2082" s="31"/>
      <c r="E2082" s="31"/>
      <c r="F2082" s="31"/>
      <c r="G2082" s="31"/>
      <c r="H2082" s="31"/>
      <c r="I2082" s="31"/>
      <c r="J2082" s="31"/>
      <c r="K2082" s="31"/>
      <c r="L2082" s="31"/>
      <c r="M2082" s="31"/>
      <c r="N2082" s="31"/>
      <c r="O2082" s="31"/>
      <c r="P2082" s="3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</row>
    <row r="2083" spans="2:27" hidden="1" x14ac:dyDescent="0.35">
      <c r="B2083" s="31"/>
      <c r="C2083" s="54"/>
      <c r="D2083" s="31"/>
      <c r="E2083" s="31"/>
      <c r="F2083" s="31"/>
      <c r="G2083" s="31"/>
      <c r="H2083" s="31"/>
      <c r="I2083" s="31"/>
      <c r="J2083" s="31"/>
      <c r="K2083" s="31"/>
      <c r="L2083" s="31"/>
      <c r="M2083" s="31"/>
      <c r="N2083" s="31"/>
      <c r="O2083" s="31"/>
      <c r="P2083" s="3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</row>
    <row r="2084" spans="2:27" hidden="1" x14ac:dyDescent="0.35">
      <c r="B2084" s="31"/>
      <c r="C2084" s="54"/>
      <c r="D2084" s="31"/>
      <c r="E2084" s="31"/>
      <c r="F2084" s="31"/>
      <c r="G2084" s="31"/>
      <c r="H2084" s="31"/>
      <c r="I2084" s="31"/>
      <c r="J2084" s="31"/>
      <c r="K2084" s="31"/>
      <c r="L2084" s="31"/>
      <c r="M2084" s="31"/>
      <c r="N2084" s="31"/>
      <c r="O2084" s="31"/>
      <c r="P2084" s="3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</row>
    <row r="2085" spans="2:27" hidden="1" x14ac:dyDescent="0.35">
      <c r="B2085" s="31"/>
      <c r="C2085" s="54"/>
      <c r="D2085" s="31"/>
      <c r="E2085" s="31"/>
      <c r="F2085" s="31"/>
      <c r="G2085" s="31"/>
      <c r="H2085" s="31"/>
      <c r="I2085" s="31"/>
      <c r="J2085" s="31"/>
      <c r="K2085" s="31"/>
      <c r="L2085" s="31"/>
      <c r="M2085" s="31"/>
      <c r="N2085" s="31"/>
      <c r="O2085" s="31"/>
      <c r="P2085" s="3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</row>
    <row r="2086" spans="2:27" hidden="1" x14ac:dyDescent="0.35">
      <c r="B2086" s="31"/>
      <c r="C2086" s="54"/>
      <c r="D2086" s="31"/>
      <c r="E2086" s="31"/>
      <c r="F2086" s="31"/>
      <c r="G2086" s="31"/>
      <c r="H2086" s="31"/>
      <c r="I2086" s="31"/>
      <c r="J2086" s="31"/>
      <c r="K2086" s="31"/>
      <c r="L2086" s="31"/>
      <c r="M2086" s="31"/>
      <c r="N2086" s="31"/>
      <c r="O2086" s="31"/>
      <c r="P2086" s="3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</row>
    <row r="2087" spans="2:27" hidden="1" x14ac:dyDescent="0.35">
      <c r="B2087" s="31"/>
      <c r="C2087" s="54"/>
      <c r="D2087" s="31"/>
      <c r="E2087" s="31"/>
      <c r="F2087" s="31"/>
      <c r="G2087" s="31"/>
      <c r="H2087" s="31"/>
      <c r="I2087" s="31"/>
      <c r="J2087" s="31"/>
      <c r="K2087" s="31"/>
      <c r="L2087" s="31"/>
      <c r="M2087" s="31"/>
      <c r="N2087" s="31"/>
      <c r="O2087" s="31"/>
      <c r="P2087" s="3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</row>
    <row r="2088" spans="2:27" hidden="1" x14ac:dyDescent="0.35">
      <c r="B2088" s="31"/>
      <c r="C2088" s="54"/>
      <c r="D2088" s="31"/>
      <c r="E2088" s="31"/>
      <c r="F2088" s="31"/>
      <c r="G2088" s="31"/>
      <c r="H2088" s="31"/>
      <c r="I2088" s="31"/>
      <c r="J2088" s="31"/>
      <c r="K2088" s="31"/>
      <c r="L2088" s="31"/>
      <c r="M2088" s="31"/>
      <c r="N2088" s="31"/>
      <c r="O2088" s="31"/>
      <c r="P2088" s="3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</row>
    <row r="2089" spans="2:27" hidden="1" x14ac:dyDescent="0.35">
      <c r="B2089" s="31"/>
      <c r="C2089" s="54"/>
      <c r="D2089" s="31"/>
      <c r="E2089" s="31"/>
      <c r="F2089" s="31"/>
      <c r="G2089" s="31"/>
      <c r="H2089" s="31"/>
      <c r="I2089" s="31"/>
      <c r="J2089" s="31"/>
      <c r="K2089" s="31"/>
      <c r="L2089" s="31"/>
      <c r="M2089" s="31"/>
      <c r="N2089" s="31"/>
      <c r="O2089" s="31"/>
      <c r="P2089" s="3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</row>
    <row r="2090" spans="2:27" hidden="1" x14ac:dyDescent="0.35">
      <c r="B2090" s="31"/>
      <c r="C2090" s="54"/>
      <c r="D2090" s="31"/>
      <c r="E2090" s="31"/>
      <c r="F2090" s="31"/>
      <c r="G2090" s="31"/>
      <c r="H2090" s="31"/>
      <c r="I2090" s="31"/>
      <c r="J2090" s="31"/>
      <c r="K2090" s="31"/>
      <c r="L2090" s="31"/>
      <c r="M2090" s="31"/>
      <c r="N2090" s="31"/>
      <c r="O2090" s="31"/>
      <c r="P2090" s="3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</row>
    <row r="2091" spans="2:27" hidden="1" x14ac:dyDescent="0.35">
      <c r="B2091" s="31"/>
      <c r="C2091" s="54"/>
      <c r="D2091" s="31"/>
      <c r="E2091" s="31"/>
      <c r="F2091" s="31"/>
      <c r="G2091" s="31"/>
      <c r="H2091" s="31"/>
      <c r="I2091" s="31"/>
      <c r="J2091" s="31"/>
      <c r="K2091" s="31"/>
      <c r="L2091" s="31"/>
      <c r="M2091" s="31"/>
      <c r="N2091" s="31"/>
      <c r="O2091" s="31"/>
      <c r="P2091" s="3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</row>
    <row r="2092" spans="2:27" hidden="1" x14ac:dyDescent="0.35">
      <c r="B2092" s="31"/>
      <c r="C2092" s="31"/>
      <c r="D2092" s="31"/>
      <c r="E2092" s="31"/>
      <c r="F2092" s="31"/>
      <c r="G2092" s="31"/>
      <c r="H2092" s="31"/>
      <c r="I2092" s="31"/>
      <c r="J2092" s="31"/>
      <c r="K2092" s="31"/>
      <c r="L2092" s="31"/>
      <c r="M2092" s="31"/>
      <c r="N2092" s="31"/>
      <c r="O2092" s="31"/>
      <c r="P2092" s="3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</row>
    <row r="2093" spans="2:27" hidden="1" x14ac:dyDescent="0.35">
      <c r="B2093" s="31"/>
      <c r="C2093" s="31"/>
      <c r="D2093" s="31"/>
      <c r="E2093" s="31"/>
      <c r="F2093" s="31"/>
      <c r="G2093" s="31"/>
      <c r="H2093" s="31"/>
      <c r="I2093" s="31"/>
      <c r="J2093" s="31"/>
      <c r="K2093" s="31"/>
      <c r="L2093" s="31"/>
      <c r="M2093" s="31"/>
      <c r="N2093" s="31"/>
      <c r="O2093" s="31"/>
      <c r="P2093" s="3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</row>
    <row r="2094" spans="2:27" hidden="1" x14ac:dyDescent="0.35">
      <c r="B2094" s="31"/>
      <c r="C2094" s="31"/>
      <c r="D2094" s="31"/>
      <c r="E2094" s="31"/>
      <c r="F2094" s="31"/>
      <c r="G2094" s="31"/>
      <c r="H2094" s="31"/>
      <c r="I2094" s="31"/>
      <c r="J2094" s="31"/>
      <c r="K2094" s="31"/>
      <c r="L2094" s="31"/>
      <c r="M2094" s="31"/>
      <c r="N2094" s="31"/>
      <c r="O2094" s="31"/>
      <c r="P2094" s="3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</row>
    <row r="2095" spans="2:27" hidden="1" x14ac:dyDescent="0.35">
      <c r="B2095" s="31"/>
      <c r="C2095" s="31"/>
      <c r="D2095" s="31"/>
      <c r="E2095" s="31"/>
      <c r="F2095" s="31"/>
      <c r="G2095" s="31"/>
      <c r="H2095" s="31"/>
      <c r="I2095" s="31"/>
      <c r="J2095" s="31"/>
      <c r="K2095" s="31"/>
      <c r="L2095" s="31"/>
      <c r="M2095" s="31"/>
      <c r="N2095" s="31"/>
      <c r="O2095" s="31"/>
      <c r="P2095" s="3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</row>
    <row r="2096" spans="2:27" hidden="1" x14ac:dyDescent="0.35">
      <c r="B2096" s="31"/>
      <c r="C2096" s="31"/>
      <c r="D2096" s="31"/>
      <c r="E2096" s="31"/>
      <c r="F2096" s="31"/>
      <c r="G2096" s="31"/>
      <c r="H2096" s="31"/>
      <c r="I2096" s="31"/>
      <c r="J2096" s="31"/>
      <c r="K2096" s="31"/>
      <c r="L2096" s="31"/>
      <c r="M2096" s="31"/>
      <c r="N2096" s="31"/>
      <c r="O2096" s="31"/>
      <c r="P2096" s="3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</row>
    <row r="2097" spans="2:27" hidden="1" x14ac:dyDescent="0.35">
      <c r="B2097" s="31"/>
      <c r="C2097" s="31"/>
      <c r="D2097" s="31"/>
      <c r="E2097" s="31"/>
      <c r="F2097" s="31"/>
      <c r="G2097" s="31"/>
      <c r="H2097" s="31"/>
      <c r="I2097" s="31"/>
      <c r="J2097" s="31"/>
      <c r="K2097" s="31"/>
      <c r="L2097" s="31"/>
      <c r="M2097" s="31"/>
      <c r="N2097" s="31"/>
      <c r="O2097" s="31"/>
      <c r="P2097" s="3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</row>
    <row r="2098" spans="2:27" hidden="1" x14ac:dyDescent="0.35">
      <c r="B2098" s="31"/>
      <c r="C2098" s="31"/>
      <c r="D2098" s="31"/>
      <c r="E2098" s="31"/>
      <c r="F2098" s="31"/>
      <c r="G2098" s="31"/>
      <c r="H2098" s="31"/>
      <c r="I2098" s="31"/>
      <c r="J2098" s="31"/>
      <c r="K2098" s="31"/>
      <c r="L2098" s="31"/>
      <c r="M2098" s="31"/>
      <c r="N2098" s="31"/>
      <c r="O2098" s="31"/>
      <c r="P2098" s="3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</row>
    <row r="2099" spans="2:27" hidden="1" x14ac:dyDescent="0.35">
      <c r="B2099" s="31"/>
      <c r="C2099" s="31"/>
      <c r="D2099" s="31"/>
      <c r="E2099" s="31"/>
      <c r="F2099" s="31"/>
      <c r="G2099" s="31"/>
      <c r="H2099" s="31"/>
      <c r="I2099" s="31"/>
      <c r="J2099" s="31"/>
      <c r="K2099" s="31"/>
      <c r="L2099" s="31"/>
      <c r="M2099" s="31"/>
      <c r="N2099" s="31"/>
      <c r="O2099" s="31"/>
      <c r="P2099" s="3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</row>
    <row r="2100" spans="2:27" hidden="1" x14ac:dyDescent="0.35">
      <c r="B2100" s="31"/>
      <c r="C2100" s="31"/>
      <c r="D2100" s="31"/>
      <c r="E2100" s="31"/>
      <c r="F2100" s="31"/>
      <c r="G2100" s="31"/>
      <c r="H2100" s="31"/>
      <c r="I2100" s="31"/>
      <c r="J2100" s="31"/>
      <c r="K2100" s="31"/>
      <c r="L2100" s="31"/>
      <c r="M2100" s="31"/>
      <c r="N2100" s="31"/>
      <c r="O2100" s="31"/>
      <c r="P2100" s="3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</row>
    <row r="2101" spans="2:27" hidden="1" x14ac:dyDescent="0.35">
      <c r="B2101" s="31"/>
      <c r="C2101" s="31"/>
      <c r="D2101" s="31"/>
      <c r="E2101" s="31"/>
      <c r="F2101" s="31"/>
      <c r="G2101" s="31"/>
      <c r="H2101" s="31"/>
      <c r="I2101" s="31"/>
      <c r="J2101" s="31"/>
      <c r="K2101" s="31"/>
      <c r="L2101" s="31"/>
      <c r="M2101" s="31"/>
      <c r="N2101" s="31"/>
      <c r="O2101" s="31"/>
      <c r="P2101" s="3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</row>
    <row r="2102" spans="2:27" hidden="1" x14ac:dyDescent="0.35">
      <c r="B2102" s="31"/>
      <c r="C2102" s="31"/>
      <c r="D2102" s="31"/>
      <c r="E2102" s="31"/>
      <c r="F2102" s="31"/>
      <c r="G2102" s="31"/>
      <c r="H2102" s="31"/>
      <c r="I2102" s="31"/>
      <c r="J2102" s="31"/>
      <c r="K2102" s="31"/>
      <c r="L2102" s="31"/>
      <c r="M2102" s="31"/>
      <c r="N2102" s="31"/>
      <c r="O2102" s="31"/>
      <c r="P2102" s="3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</row>
    <row r="2103" spans="2:27" hidden="1" x14ac:dyDescent="0.35">
      <c r="B2103" s="31"/>
      <c r="C2103" s="31"/>
      <c r="D2103" s="31"/>
      <c r="E2103" s="31"/>
      <c r="F2103" s="31"/>
      <c r="G2103" s="31"/>
      <c r="H2103" s="31"/>
      <c r="I2103" s="31"/>
      <c r="J2103" s="31"/>
      <c r="K2103" s="31"/>
      <c r="L2103" s="31"/>
      <c r="M2103" s="31"/>
      <c r="N2103" s="31"/>
      <c r="O2103" s="31"/>
      <c r="P2103" s="3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</row>
    <row r="2104" spans="2:27" hidden="1" x14ac:dyDescent="0.35">
      <c r="B2104" s="31"/>
      <c r="C2104" s="31"/>
      <c r="D2104" s="31"/>
      <c r="E2104" s="31"/>
      <c r="F2104" s="31"/>
      <c r="G2104" s="31"/>
      <c r="H2104" s="31"/>
      <c r="I2104" s="31"/>
      <c r="J2104" s="31"/>
      <c r="K2104" s="31"/>
      <c r="L2104" s="31"/>
      <c r="M2104" s="31"/>
      <c r="N2104" s="31"/>
      <c r="O2104" s="31"/>
      <c r="P2104" s="3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</row>
    <row r="2105" spans="2:27" hidden="1" x14ac:dyDescent="0.35">
      <c r="B2105" s="31"/>
      <c r="C2105" s="31"/>
      <c r="D2105" s="31"/>
      <c r="E2105" s="31"/>
      <c r="F2105" s="31"/>
      <c r="G2105" s="31"/>
      <c r="H2105" s="31"/>
      <c r="I2105" s="31"/>
      <c r="J2105" s="31"/>
      <c r="K2105" s="31"/>
      <c r="L2105" s="31"/>
      <c r="M2105" s="31"/>
      <c r="N2105" s="31"/>
      <c r="O2105" s="31"/>
      <c r="P2105" s="3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</row>
    <row r="2106" spans="2:27" hidden="1" x14ac:dyDescent="0.35">
      <c r="B2106" s="31"/>
      <c r="C2106" s="31"/>
      <c r="D2106" s="31"/>
      <c r="E2106" s="31"/>
      <c r="F2106" s="31"/>
      <c r="G2106" s="31"/>
      <c r="H2106" s="31"/>
      <c r="I2106" s="31"/>
      <c r="J2106" s="31"/>
      <c r="K2106" s="31"/>
      <c r="L2106" s="31"/>
      <c r="M2106" s="31"/>
      <c r="N2106" s="31"/>
      <c r="O2106" s="31"/>
      <c r="P2106" s="3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</row>
    <row r="2107" spans="2:27" hidden="1" x14ac:dyDescent="0.35">
      <c r="B2107" s="31"/>
      <c r="C2107" s="31"/>
      <c r="D2107" s="31"/>
      <c r="E2107" s="31"/>
      <c r="F2107" s="31"/>
      <c r="G2107" s="31"/>
      <c r="H2107" s="31"/>
      <c r="I2107" s="31"/>
      <c r="J2107" s="31"/>
      <c r="K2107" s="31"/>
      <c r="L2107" s="31"/>
      <c r="M2107" s="31"/>
      <c r="N2107" s="31"/>
      <c r="O2107" s="31"/>
      <c r="P2107" s="3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</row>
    <row r="2108" spans="2:27" hidden="1" x14ac:dyDescent="0.35">
      <c r="B2108" s="31"/>
      <c r="C2108" s="31"/>
      <c r="D2108" s="31"/>
      <c r="E2108" s="31"/>
      <c r="F2108" s="31"/>
      <c r="G2108" s="31"/>
      <c r="H2108" s="31"/>
      <c r="I2108" s="31"/>
      <c r="J2108" s="31"/>
      <c r="K2108" s="31"/>
      <c r="L2108" s="31"/>
      <c r="M2108" s="31"/>
      <c r="N2108" s="31"/>
      <c r="O2108" s="31"/>
      <c r="P2108" s="3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</row>
    <row r="2109" spans="2:27" hidden="1" x14ac:dyDescent="0.35">
      <c r="B2109" s="31"/>
      <c r="C2109" s="31"/>
      <c r="D2109" s="31"/>
      <c r="E2109" s="31"/>
      <c r="F2109" s="31"/>
      <c r="G2109" s="31"/>
      <c r="H2109" s="31"/>
      <c r="I2109" s="31"/>
      <c r="J2109" s="31"/>
      <c r="K2109" s="31"/>
      <c r="L2109" s="31"/>
      <c r="M2109" s="31"/>
      <c r="N2109" s="31"/>
      <c r="O2109" s="31"/>
      <c r="P2109" s="3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</row>
    <row r="2110" spans="2:27" hidden="1" x14ac:dyDescent="0.35">
      <c r="B2110" s="31"/>
      <c r="C2110" s="31"/>
      <c r="D2110" s="31"/>
      <c r="E2110" s="31"/>
      <c r="F2110" s="31"/>
      <c r="G2110" s="31"/>
      <c r="H2110" s="31"/>
      <c r="I2110" s="31"/>
      <c r="J2110" s="31"/>
      <c r="K2110" s="31"/>
      <c r="L2110" s="31"/>
      <c r="M2110" s="31"/>
      <c r="N2110" s="31"/>
      <c r="O2110" s="31"/>
      <c r="P2110" s="3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</row>
    <row r="2111" spans="2:27" hidden="1" x14ac:dyDescent="0.35">
      <c r="B2111" s="31"/>
      <c r="C2111" s="31"/>
      <c r="D2111" s="31"/>
      <c r="E2111" s="31"/>
      <c r="F2111" s="31"/>
      <c r="G2111" s="31"/>
      <c r="H2111" s="31"/>
      <c r="I2111" s="31"/>
      <c r="J2111" s="31"/>
      <c r="K2111" s="31"/>
      <c r="L2111" s="31"/>
      <c r="M2111" s="31"/>
      <c r="N2111" s="31"/>
      <c r="O2111" s="31"/>
      <c r="P2111" s="3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</row>
    <row r="2112" spans="2:27" hidden="1" x14ac:dyDescent="0.35">
      <c r="B2112" s="31"/>
      <c r="C2112" s="31"/>
      <c r="D2112" s="31"/>
      <c r="E2112" s="31"/>
      <c r="F2112" s="31"/>
      <c r="G2112" s="31"/>
      <c r="H2112" s="31"/>
      <c r="I2112" s="31"/>
      <c r="J2112" s="31"/>
      <c r="K2112" s="31"/>
      <c r="L2112" s="31"/>
      <c r="M2112" s="31"/>
      <c r="N2112" s="31"/>
      <c r="O2112" s="31"/>
      <c r="P2112" s="3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</row>
    <row r="2113" spans="2:27" hidden="1" x14ac:dyDescent="0.35">
      <c r="B2113" s="31"/>
      <c r="C2113" s="31"/>
      <c r="D2113" s="31"/>
      <c r="E2113" s="31"/>
      <c r="F2113" s="31"/>
      <c r="G2113" s="31"/>
      <c r="H2113" s="31"/>
      <c r="I2113" s="31"/>
      <c r="J2113" s="31"/>
      <c r="K2113" s="31"/>
      <c r="L2113" s="31"/>
      <c r="M2113" s="31"/>
      <c r="N2113" s="31"/>
      <c r="O2113" s="31"/>
      <c r="P2113" s="3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</row>
    <row r="2114" spans="2:27" hidden="1" x14ac:dyDescent="0.35">
      <c r="B2114" s="31"/>
      <c r="C2114" s="31"/>
      <c r="D2114" s="31"/>
      <c r="E2114" s="31"/>
      <c r="F2114" s="31"/>
      <c r="G2114" s="31"/>
      <c r="H2114" s="31"/>
      <c r="I2114" s="31"/>
      <c r="J2114" s="31"/>
      <c r="K2114" s="31"/>
      <c r="L2114" s="31"/>
      <c r="M2114" s="31"/>
      <c r="N2114" s="31"/>
      <c r="O2114" s="31"/>
      <c r="P2114" s="3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</row>
    <row r="2115" spans="2:27" hidden="1" x14ac:dyDescent="0.35">
      <c r="B2115" s="31"/>
      <c r="C2115" s="31"/>
      <c r="D2115" s="31"/>
      <c r="E2115" s="31"/>
      <c r="F2115" s="31"/>
      <c r="G2115" s="31"/>
      <c r="H2115" s="31"/>
      <c r="I2115" s="31"/>
      <c r="J2115" s="31"/>
      <c r="K2115" s="31"/>
      <c r="L2115" s="31"/>
      <c r="M2115" s="31"/>
      <c r="N2115" s="31"/>
      <c r="O2115" s="31"/>
      <c r="P2115" s="3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</row>
    <row r="2116" spans="2:27" hidden="1" x14ac:dyDescent="0.35">
      <c r="B2116" s="31"/>
      <c r="C2116" s="31"/>
      <c r="D2116" s="31"/>
      <c r="E2116" s="31"/>
      <c r="F2116" s="31"/>
      <c r="G2116" s="31"/>
      <c r="H2116" s="31"/>
      <c r="I2116" s="31"/>
      <c r="J2116" s="31"/>
      <c r="K2116" s="31"/>
      <c r="L2116" s="31"/>
      <c r="M2116" s="31"/>
      <c r="N2116" s="31"/>
      <c r="O2116" s="31"/>
      <c r="P2116" s="3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</row>
    <row r="2117" spans="2:27" hidden="1" x14ac:dyDescent="0.35">
      <c r="B2117" s="31"/>
      <c r="C2117" s="31"/>
      <c r="D2117" s="31"/>
      <c r="E2117" s="31"/>
      <c r="F2117" s="31"/>
      <c r="G2117" s="31"/>
      <c r="H2117" s="31"/>
      <c r="I2117" s="31"/>
      <c r="J2117" s="31"/>
      <c r="K2117" s="31"/>
      <c r="L2117" s="31"/>
      <c r="M2117" s="31"/>
      <c r="N2117" s="31"/>
      <c r="O2117" s="31"/>
      <c r="P2117" s="3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</row>
    <row r="2118" spans="2:27" hidden="1" x14ac:dyDescent="0.35">
      <c r="B2118" s="31"/>
      <c r="C2118" s="31"/>
      <c r="D2118" s="31"/>
      <c r="E2118" s="31"/>
      <c r="F2118" s="31"/>
      <c r="G2118" s="31"/>
      <c r="H2118" s="31"/>
      <c r="I2118" s="31"/>
      <c r="J2118" s="31"/>
      <c r="K2118" s="31"/>
      <c r="L2118" s="31"/>
      <c r="M2118" s="31"/>
      <c r="N2118" s="31"/>
      <c r="O2118" s="31"/>
      <c r="P2118" s="3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</row>
    <row r="2119" spans="2:27" hidden="1" x14ac:dyDescent="0.35">
      <c r="B2119" s="31"/>
      <c r="C2119" s="31"/>
      <c r="D2119" s="31"/>
      <c r="E2119" s="31"/>
      <c r="F2119" s="31"/>
      <c r="G2119" s="31"/>
      <c r="H2119" s="31"/>
      <c r="I2119" s="31"/>
      <c r="J2119" s="31"/>
      <c r="K2119" s="31"/>
      <c r="L2119" s="31"/>
      <c r="M2119" s="31"/>
      <c r="N2119" s="31"/>
      <c r="O2119" s="31"/>
      <c r="P2119" s="3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</row>
  </sheetData>
  <sheetProtection algorithmName="SHA-512" hashValue="Gugg+n+9dYLOGZt+33C3CcTEEmsIXh2YpSD+A/Qt2G5RvsDKEN1PZ6s8Qxxa4hV7Hz5qkSYCNyPOIH3WAGUpIA==" saltValue="l1dgnzDtq6KiZXxYG0VpJA==" spinCount="100000" sheet="1" objects="1" scenarios="1" selectLockedCells="1"/>
  <phoneticPr fontId="9" type="noConversion"/>
  <pageMargins left="0.7" right="0.7" top="0.75" bottom="0.75" header="0.3" footer="0.3"/>
  <ignoredErrors>
    <ignoredError sqref="A2:A45 A46:A2000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3"/>
  <sheetViews>
    <sheetView workbookViewId="0">
      <selection activeCell="B2" sqref="B2"/>
    </sheetView>
  </sheetViews>
  <sheetFormatPr defaultRowHeight="14.5" x14ac:dyDescent="0.35"/>
  <cols>
    <col min="2" max="2" width="11" customWidth="1"/>
  </cols>
  <sheetData>
    <row r="2" spans="2:2" x14ac:dyDescent="0.25">
      <c r="B2" t="s">
        <v>0</v>
      </c>
    </row>
    <row r="3" spans="2:2" x14ac:dyDescent="0.25">
      <c r="B3" t="s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6BB070-6FF1-42C1-9EDE-41B1548E04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Calculation</vt:lpstr>
      <vt:lpstr>N_Range</vt:lpstr>
      <vt:lpstr>Calculation!Refresh_Status</vt:lpstr>
      <vt:lpstr>Calculation!Refresh_Time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</dc:creator>
  <cp:lastModifiedBy>OptionDiner</cp:lastModifiedBy>
  <dcterms:created xsi:type="dcterms:W3CDTF">2021-01-16T05:04:31Z</dcterms:created>
  <dcterms:modified xsi:type="dcterms:W3CDTF">2021-02-18T17:27:26Z</dcterms:modified>
</cp:coreProperties>
</file>